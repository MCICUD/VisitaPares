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norcl\Documents\2026\Udistrital\030.6 ACREDITACION\FACULTAD DE INGENIERIA\02 Maestria en\"/>
    </mc:Choice>
  </mc:AlternateContent>
  <xr:revisionPtr revIDLastSave="0" documentId="13_ncr:1_{1B7AEC2F-144E-4245-AE3D-A0F68145F3F7}" xr6:coauthVersionLast="47" xr6:coauthVersionMax="47" xr10:uidLastSave="{00000000-0000-0000-0000-000000000000}"/>
  <bookViews>
    <workbookView xWindow="-108" yWindow="-108" windowWidth="23256" windowHeight="12456" tabRatio="853" xr2:uid="{00000000-000D-0000-FFFF-FFFF00000000}"/>
  </bookViews>
  <sheets>
    <sheet name="Contenido" sheetId="17" r:id="rId1"/>
    <sheet name="A. Uso_Servicios CRAI+desglose" sheetId="11" r:id="rId2"/>
    <sheet name="B. Colecciones_bibliográficas" sheetId="1" r:id="rId3"/>
    <sheet name="C Colección_impresa_ubicación" sheetId="2" r:id="rId4"/>
    <sheet name="D. Biblioteca_digital_BDIGITAL" sheetId="3" r:id="rId5"/>
    <sheet name="E.Impact Colección_digital_RIUD" sheetId="9" r:id="rId6"/>
    <sheet name="F.CRAI+2_Alianza Interbiblio" sheetId="12" r:id="rId7"/>
    <sheet name="H.CRAI+11_Plan_formación" sheetId="15" r:id="rId8"/>
    <sheet name="I. Infraestructura Biblioteca" sheetId="19" r:id="rId9"/>
    <sheet name="G. Gestión Cultural" sheetId="20" r:id="rId10"/>
  </sheets>
  <definedNames>
    <definedName name="_xlnm._FilterDatabase" localSheetId="4" hidden="1">'D. Biblioteca_digital_BDIGITAL'!$C$233:$L$233</definedName>
    <definedName name="_xlnm._FilterDatabase" localSheetId="6" hidden="1">'F.CRAI+2_Alianza Interbiblio'!$B$12:$G$12</definedName>
    <definedName name="_xlnm._FilterDatabase" localSheetId="7" hidden="1">'H.CRAI+11_Plan_formación'!$C$59:$I$59</definedName>
    <definedName name="_xlnm._FilterDatabase" localSheetId="8" hidden="1">'I. Infraestructura Biblioteca'!$B$6:$I$6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15" l="1"/>
  <c r="H62" i="15"/>
  <c r="H60" i="15"/>
  <c r="I55" i="9"/>
  <c r="I56" i="9"/>
  <c r="I57" i="9"/>
  <c r="I54" i="9"/>
  <c r="L62" i="2"/>
  <c r="L63" i="2"/>
  <c r="L64" i="2"/>
  <c r="L61" i="2"/>
  <c r="L52" i="2"/>
  <c r="L53" i="2"/>
  <c r="L54" i="2"/>
  <c r="L55" i="2"/>
  <c r="L51" i="2"/>
  <c r="L42" i="2"/>
  <c r="L43" i="2"/>
  <c r="L44" i="2"/>
  <c r="L45" i="2"/>
  <c r="L46" i="2"/>
  <c r="L41" i="2"/>
  <c r="L34" i="2"/>
  <c r="L35" i="2"/>
  <c r="L36" i="2"/>
  <c r="L37" i="2"/>
  <c r="L33" i="2"/>
  <c r="H54" i="15"/>
  <c r="H53" i="15"/>
  <c r="L32" i="2"/>
  <c r="F48" i="15"/>
  <c r="G48" i="15"/>
  <c r="E48"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10" i="15"/>
  <c r="K230" i="3"/>
  <c r="H48" i="15" l="1"/>
  <c r="L32" i="1" l="1"/>
  <c r="K32" i="1"/>
  <c r="C18" i="2"/>
  <c r="L60" i="2" l="1"/>
  <c r="L50" i="2"/>
  <c r="I42" i="9"/>
  <c r="I43" i="9"/>
  <c r="I44" i="9"/>
  <c r="I45" i="9"/>
  <c r="I46" i="9"/>
  <c r="I47" i="9"/>
  <c r="H48" i="9"/>
  <c r="I31" i="9" l="1"/>
  <c r="I32" i="9"/>
  <c r="I30" i="9"/>
  <c r="L9" i="11"/>
  <c r="L10" i="11"/>
  <c r="L11" i="11"/>
  <c r="L12" i="11"/>
  <c r="L13" i="11"/>
  <c r="L14" i="11"/>
  <c r="L15" i="11"/>
  <c r="L16" i="11"/>
  <c r="L17" i="11"/>
  <c r="L18" i="11"/>
  <c r="L8" i="11"/>
  <c r="G48" i="9"/>
  <c r="K19" i="11"/>
  <c r="G53" i="19" l="1"/>
  <c r="H53" i="19"/>
  <c r="J18" i="19" l="1"/>
  <c r="O18" i="2" l="1"/>
  <c r="N18" i="2"/>
  <c r="M18" i="2"/>
  <c r="K18" i="2"/>
  <c r="J18" i="2"/>
  <c r="I18" i="2"/>
  <c r="H18" i="2"/>
  <c r="G18" i="2"/>
  <c r="F18" i="2"/>
  <c r="E18" i="2"/>
  <c r="D18" i="2"/>
  <c r="H32" i="1"/>
  <c r="G32" i="1"/>
  <c r="F32" i="1"/>
  <c r="E32" i="1"/>
  <c r="D32" i="1"/>
  <c r="J32" i="1"/>
  <c r="I32" i="1"/>
  <c r="L18" i="2" l="1"/>
  <c r="P18" i="2" l="1"/>
  <c r="C19" i="2" s="1"/>
  <c r="P19" i="2" l="1"/>
  <c r="I19" i="2"/>
  <c r="D19" i="2"/>
  <c r="H19" i="2"/>
  <c r="K19" i="2"/>
  <c r="N19" i="2"/>
  <c r="M19" i="2"/>
  <c r="L19" i="2"/>
  <c r="E19" i="2"/>
  <c r="F19" i="2"/>
  <c r="J19" i="2"/>
  <c r="G19" i="2"/>
  <c r="O19" i="2"/>
  <c r="J19" i="11" l="1"/>
  <c r="O53" i="19" l="1"/>
  <c r="M53" i="19"/>
  <c r="L53" i="19"/>
  <c r="K53" i="19"/>
  <c r="J53" i="19"/>
  <c r="I53" i="19"/>
  <c r="F53" i="19"/>
  <c r="E53" i="19"/>
  <c r="D53" i="19"/>
  <c r="C53" i="19"/>
  <c r="N52" i="19"/>
  <c r="N51" i="19"/>
  <c r="N50" i="19"/>
  <c r="N49" i="19"/>
  <c r="N48" i="19"/>
  <c r="N47" i="19"/>
  <c r="N46" i="19"/>
  <c r="N45" i="19"/>
  <c r="N44" i="19"/>
  <c r="N43" i="19"/>
  <c r="N42" i="19"/>
  <c r="N41" i="19"/>
  <c r="N40" i="19"/>
  <c r="N39" i="19"/>
  <c r="N38" i="19"/>
  <c r="N37" i="19"/>
  <c r="N36" i="19"/>
  <c r="N32" i="19"/>
  <c r="M32" i="19"/>
  <c r="L32" i="19"/>
  <c r="K32" i="19"/>
  <c r="J32" i="19"/>
  <c r="I32" i="19"/>
  <c r="H32" i="19"/>
  <c r="G32" i="19"/>
  <c r="F32" i="19"/>
  <c r="D32" i="19"/>
  <c r="E22" i="19"/>
  <c r="E32" i="19" s="1"/>
  <c r="I18" i="19"/>
  <c r="H18" i="19"/>
  <c r="G18" i="19"/>
  <c r="F18" i="19"/>
  <c r="N53" i="19" l="1"/>
  <c r="F41" i="9"/>
  <c r="E41" i="9"/>
  <c r="D41" i="9"/>
  <c r="C41" i="9"/>
  <c r="I41" i="9" l="1"/>
  <c r="I48" i="9" s="1"/>
  <c r="D48" i="9"/>
  <c r="D33" i="9" s="1"/>
  <c r="E48" i="9"/>
  <c r="E33" i="9" s="1"/>
  <c r="F48" i="9"/>
  <c r="F33" i="9" s="1"/>
  <c r="C48" i="9"/>
  <c r="C33" i="9" s="1"/>
  <c r="I33" i="9" l="1"/>
  <c r="L19" i="11"/>
  <c r="M15" i="11" s="1"/>
  <c r="I19" i="11"/>
  <c r="H19" i="11"/>
  <c r="G19" i="11"/>
  <c r="F19" i="11"/>
  <c r="E19" i="11"/>
  <c r="D19" i="11"/>
  <c r="C19" i="11"/>
  <c r="M17" i="11" l="1"/>
  <c r="M8" i="11"/>
  <c r="M9" i="11"/>
  <c r="M16" i="11"/>
  <c r="M18" i="11"/>
  <c r="M11" i="11"/>
  <c r="M19" i="11"/>
  <c r="M12" i="11"/>
  <c r="M14" i="11"/>
  <c r="M10" i="11"/>
  <c r="M13" i="11"/>
  <c r="J11" i="9" l="1"/>
  <c r="H11" i="9" l="1"/>
  <c r="E10" i="3" l="1"/>
</calcChain>
</file>

<file path=xl/sharedStrings.xml><?xml version="1.0" encoding="utf-8"?>
<sst xmlns="http://schemas.openxmlformats.org/spreadsheetml/2006/main" count="3664" uniqueCount="1589">
  <si>
    <t>UNIVERSIDAD DISTRITAL FRANCISCO JOSÉ DE CALDAS</t>
  </si>
  <si>
    <t xml:space="preserve">RECURSOS BIBLIOGRÁFICOS </t>
  </si>
  <si>
    <t>INFORMACIÓN GENERAL COLECCIONES UNIDAD BIBLIOTECA (En ejemplares)</t>
  </si>
  <si>
    <t>COLECCIÓN BIBLIOGRAFICA EN EJEMPLARES DISPONIBLE</t>
  </si>
  <si>
    <t>N°</t>
  </si>
  <si>
    <t xml:space="preserve">Tipo de recurso </t>
  </si>
  <si>
    <t>Ubicación (sede, unidad académica)</t>
  </si>
  <si>
    <t>Descripción (Incluya las características de los recursos )</t>
  </si>
  <si>
    <t xml:space="preserve">Unidad académica que presta el servicio </t>
  </si>
  <si>
    <t xml:space="preserve">Colección general </t>
  </si>
  <si>
    <t>Todas las Bibliotecas</t>
  </si>
  <si>
    <t>Compuesta por los diferentes libros, monografías, ensayos, antologías informes, investigaciones manuales, y todos aquellos que apoyen los programas de enseñanza aprendizaje. Además, todos aquellos materiales bibliográficos que sean de interés académico y general.</t>
  </si>
  <si>
    <t>Todas las Bibliotecas - Incluyen todas las Facultades</t>
  </si>
  <si>
    <t>Colección de referencia</t>
  </si>
  <si>
    <t>Constituida por las obras de información que, por sus objetivos, características y contenido, permiten obtener información de manera ágil y rápida, tales como: Enciclopedias, Diccionarios, Guías, Anuarios, Atlas, Bibliografías, Manuales y Compendios.</t>
  </si>
  <si>
    <t>Colección de reserva</t>
  </si>
  <si>
    <t>Los materiales de los formatos: Casetes de audio, Casetes de video, Diapositivas, Discos de acetato, Discos compactos, Juegos, Pruebas de psicología, Mapas (no publicados en formato de libro), Microfichas (reproducción de las tesis), Planos, Rompecabezas, Videodiscos., Blu-ray y videojuegos</t>
  </si>
  <si>
    <t>Colección hemerográfica (Publicaciones periódicas - Seriadas)</t>
  </si>
  <si>
    <t>Bibliotecas: Ingeniería, Paiba, Asab, Posgrados, Vivero.</t>
  </si>
  <si>
    <t>Revistas, periódicos, boletines, publicaciones anuales (informes, anuarios, directorios, etc.), memorias de sociedades, actas de congresos periódicos, transacciones.</t>
  </si>
  <si>
    <t>Biblioteca Heliodoro Sanchéz Paez - Sede Porvenir</t>
  </si>
  <si>
    <t>Incluye los trabajos presentados como requisito de grado de los estudiantes de los programas académicos del nivel pregrado, maestría y doctorado de la Universidad. Esta colección se encuentra en varios formatos, los ejemplares físicos (impreso,  digital)</t>
  </si>
  <si>
    <t>Tesis y Disertaciones  - Trabajos de grado (digital)- RIUD</t>
  </si>
  <si>
    <t>Digital Repositorio Institucional</t>
  </si>
  <si>
    <t>Colección de carácter académico con reconocimiento nacional o internacional, de los resultados de procesos de investigación, docencia o extensión,  virtual o electrónica.</t>
  </si>
  <si>
    <t>Todas las Bibliotecas - Digital</t>
  </si>
  <si>
    <t>Colección de carácter académico con reconocimiento nacional o internacional, de los resultados de procesos de investigación, docencia o extensión,Diversidad de libros, monografías, realizados por los Docentes , Investigados de la Universidad Distrital</t>
  </si>
  <si>
    <t>Archivo Sonoro Antonio Cuellar</t>
  </si>
  <si>
    <t>Centro de Documentación de Artes</t>
  </si>
  <si>
    <t>Coleccion Antanas Mockus</t>
  </si>
  <si>
    <t>Biblioteca Ramón D´Luyz Nieto - Sede Aduanilla de Paiba</t>
  </si>
  <si>
    <t>Coleccion Corporación Nacional de Investigación y Fomento Forestal</t>
  </si>
  <si>
    <t>Facultad Medio Ambiente y Recursos Naturales</t>
  </si>
  <si>
    <t>Coleccion de literatura</t>
  </si>
  <si>
    <t>Bases de datos suscritas</t>
  </si>
  <si>
    <t>En los recursos electrónicos cuenta con libros, publicaciones seriadas, material audiovisual, memoria institucional</t>
  </si>
  <si>
    <t xml:space="preserve">Bases de datos en acceso abierto </t>
  </si>
  <si>
    <t>Otros recursos bibliográficos Propios</t>
  </si>
  <si>
    <t>Repositorio RIUD, Catalogo en línea, Libguides, Descubridor, Herbario, Revistas Institucionales, Repositorio de datos REDI</t>
  </si>
  <si>
    <t>Colección digital Libros Electrónicos en Línea</t>
  </si>
  <si>
    <t>Todas las Bibliotecas - Biblioteca Digital</t>
  </si>
  <si>
    <t>Colección de libro electrónico a perpetuidad es la versión digitalizada de un libro que se publica justamente en la world wide web o en cualquier otro tipo de formato electrónico. Vale mencionar que también se lo puede denominar como libro digital, ciberlibro, e-book, ecolibro y asimismo se denomina como libro electrónico al dispositivo que se emplea para leer este tipo de libros.</t>
  </si>
  <si>
    <t>Colecciones especiales patrimoniales - Repositorio Institucional (digital)</t>
  </si>
  <si>
    <t>Producción Editorial (digital)</t>
  </si>
  <si>
    <t>Colecciones científicas (digital)</t>
  </si>
  <si>
    <t>Colección de caracter científico de la Universidad Distrital que alberga recursos bibliográficos creados apartir de procesos de investigación y que son patrimonino natural de la nación.</t>
  </si>
  <si>
    <t>TOTAL</t>
  </si>
  <si>
    <t>Colección Bibliográfica en títulos Sistema de información bibliográfico SIB</t>
  </si>
  <si>
    <t>BIBLIOTECAS (UBICACIÓN)</t>
  </si>
  <si>
    <t>FACULTAD DE CIENCIAS Y EDUCACIÓN</t>
  </si>
  <si>
    <t>FACULTAD DE MATEMATICAS Y NATURALES</t>
  </si>
  <si>
    <t>PAIBA RAMON DLUYZ NIETO</t>
  </si>
  <si>
    <t>CENT. DOC. SOCIALES</t>
  </si>
  <si>
    <t>MACARENA B</t>
  </si>
  <si>
    <t>MACARENA A</t>
  </si>
  <si>
    <t>POSTGRADOS EN EDUCACION</t>
  </si>
  <si>
    <t>INSTITUTO DE LENGUAS DE LA UD</t>
  </si>
  <si>
    <t>Coleccion general</t>
  </si>
  <si>
    <t>Coleccion de trabajos de grado</t>
  </si>
  <si>
    <t xml:space="preserve">PART % COLECCIÓN </t>
  </si>
  <si>
    <t>TOTAL CATEGORÍAS</t>
  </si>
  <si>
    <t>TOTAL RECURSOS</t>
  </si>
  <si>
    <t>TOTAL RECURSOS SUSCRITOS</t>
  </si>
  <si>
    <t>TOTAL RECURSOS ACCESO ABIERTO</t>
  </si>
  <si>
    <t>Descripción (Incluya las características de los recursos)</t>
  </si>
  <si>
    <t>Biblioteca es la Dependencia encargada de Administrar las Bases de datos solicitadas por la Comunidad Académica y realizar la suscripción. Plataforma BDIGITAL</t>
  </si>
  <si>
    <t>https://bibliotecas.udistrital.edu.co/ud/bdigital2/subjects/index.php</t>
  </si>
  <si>
    <t xml:space="preserve">Otros recursos bibliográficos definidos por la institución </t>
  </si>
  <si>
    <t xml:space="preserve">Repositorio Insitucional RIUD </t>
  </si>
  <si>
    <t>Aplica para toda la Comunidad Académica en el Campus o fuera de él. Acceso por medio de la Plataforma Biblioteca Bdigital https://udistrital.edu.co/servicios/biblioteca/</t>
  </si>
  <si>
    <t>Repositorio Institucional de la Universidad Distrital Francisco Jose de Caldas. es una herramienta donde se depositan los objetos digitales que corresponden a la producción intelectual de la Universidad para proteger, preservar, y difundir.</t>
  </si>
  <si>
    <t>Biblioteca es la Dependencia encargada de Administrar el Repositorio Institucional de la Unviersidad Distrital Francisco José de Caldas</t>
  </si>
  <si>
    <t>https://repository.udistrital.edu.co/home</t>
  </si>
  <si>
    <t>http://biblioteca.udistrital.edu.co/F?RN=927836072</t>
  </si>
  <si>
    <t>Biblioteca Digital - BDIGITAL</t>
  </si>
  <si>
    <t>Aplica para toda la Comunidad Académica en el Campus o fuera de él. Acceso por medio de la Plataforma Biblioteca Digital - Bdigital</t>
  </si>
  <si>
    <t>Biblioteca Digital definida, administrada por el Sistema de Biblioteca, alojada en el Portal Bdigital, el cual  permitió ordena los recursos electrónicos (bases de datos) en un solo lugar, a fin que el Usuario realice las búsquedas de acuerdo con sus necesidades de información tanto a Recursos Propios, Contratados, recursos en acceso abierto, igualmente se potencia el Uso de los Gestores Bibliográficos por parte de los Usuarios, como herramientas que le ayudaran a organizar la diversa información encontrada y recuperada desde los distintos recursos y/o sitios en la Internet.</t>
  </si>
  <si>
    <t>Revistas Cientificas Udistrital - OJS</t>
  </si>
  <si>
    <t xml:space="preserve">Aplica para toda la Comunidad Académica en el Campus o fuera de él. Acceso por medio de la Biblioteca Digital - Bdigital </t>
  </si>
  <si>
    <t>Portal de revistas cientificas y académicas de Acceso abierto de la Universidad Distrital</t>
  </si>
  <si>
    <t>Oficina de investigaciones ODI es la encargada de administratar el portal OJS revistas científicas</t>
  </si>
  <si>
    <t>https://revistas.udistrital.edu.co/</t>
  </si>
  <si>
    <t>Herbario Virtual</t>
  </si>
  <si>
    <t>El herbario Forestal UDBC es una Unidad Académica de la Facultad del Medio Ambiente y recursos Naturales que realiza actividades de investigación, docencia y extensión relacionadas con la flora colombiana, con especial énfasis en las especies arbóeras</t>
  </si>
  <si>
    <t>Oficina del Herbario Forestal es la encargada de administratar el portal Herbario Forestal desde la Facultad de Medio Ambiente y Recursos Naturales. El acceso se da desde el RIUD Colección científica.</t>
  </si>
  <si>
    <t>http://hdl.handle.net/11349/42615</t>
  </si>
  <si>
    <t>REDI Repositorio de Datos de Investigación Universidad Distrital Francisco José de Caldas</t>
  </si>
  <si>
    <t> es una plataforma en línea que permite a los usuarios almacenar, compartir, citar, explorar y analizar datos de investigación. Esta plataforma está diseñada no solo para almacenar datos, sino también para proporcionar herramientas que facilitan la colaboración entre investigadores y la visibilidad de sus trabajos. Es ampliamente utilizado por universidades, centros de investigación y otras instituciones académicas a nivel mundial.</t>
  </si>
  <si>
    <t>Biblioteca es la Dependencia encargada de Administrar el Repositorio de datos Institucional de la Univiersidad Distrital Francisco José de Caldas</t>
  </si>
  <si>
    <t>https://bibliotecas.udistrital.edu.co/repositorio/index.html</t>
  </si>
  <si>
    <t>X</t>
  </si>
  <si>
    <t>x</t>
  </si>
  <si>
    <t>UNIDAD DE BIBLIOTECA</t>
  </si>
  <si>
    <t>Contenido</t>
  </si>
  <si>
    <t>RECURSOS BIBLIOGRÁFICOS DIGITALES</t>
  </si>
  <si>
    <t>Títulos colección digital</t>
  </si>
  <si>
    <t>Consulta BDIGITAL en:</t>
  </si>
  <si>
    <t>Consulta estadísticas ELOGIM:</t>
  </si>
  <si>
    <t>https://udistrital.elogim.com/</t>
  </si>
  <si>
    <t>https://research.ebsco.com/c/2gsfcu/search/results?autocorrect=y&amp;q=ingenieria</t>
  </si>
  <si>
    <t>Consulta catalogo en línea en:</t>
  </si>
  <si>
    <t>Consulta RIUD en:</t>
  </si>
  <si>
    <t>Accesos. Bdigital</t>
  </si>
  <si>
    <t>Suscrito</t>
  </si>
  <si>
    <t>Acceso Abierto</t>
  </si>
  <si>
    <t xml:space="preserve">    Biblioteca digital -BDIGITAL</t>
  </si>
  <si>
    <t>Nombre</t>
  </si>
  <si>
    <t>RECURSO</t>
  </si>
  <si>
    <t>RECURSOS</t>
  </si>
  <si>
    <t>CONSORTIA</t>
  </si>
  <si>
    <t>SCIENCE DIRECT (Elsevier)</t>
  </si>
  <si>
    <t>SCOPUS (Elsevier) (**Usos)</t>
  </si>
  <si>
    <t>OXFORD UNIVERSTY</t>
  </si>
  <si>
    <t>TAYLOR &amp; FRANCIS GROUP</t>
  </si>
  <si>
    <t>SPRINGER LINK</t>
  </si>
  <si>
    <t>SPRINGER EBOOKS (*descargas)</t>
  </si>
  <si>
    <t>SPRINGER NATURE (descargas)</t>
  </si>
  <si>
    <t>SAGE JOURNALS</t>
  </si>
  <si>
    <t>SAGE KNOWLEDGE</t>
  </si>
  <si>
    <t>SAGE Ebooks</t>
  </si>
  <si>
    <t>PASA LA PAGINA</t>
  </si>
  <si>
    <t>NEW BANKS</t>
  </si>
  <si>
    <t>PUBLICIENCIA</t>
  </si>
  <si>
    <t>ACM</t>
  </si>
  <si>
    <t>ENVIRONMENTAL</t>
  </si>
  <si>
    <t>FORESTRY</t>
  </si>
  <si>
    <t>INFOLINK</t>
  </si>
  <si>
    <t>NAXOS (**usos)</t>
  </si>
  <si>
    <t>Naxos Music Library</t>
  </si>
  <si>
    <t>Naxos Sheet Music</t>
  </si>
  <si>
    <t>E-Global Services</t>
  </si>
  <si>
    <t>AMBIENTALEX</t>
  </si>
  <si>
    <t>ICONTEC</t>
  </si>
  <si>
    <t>E-NORMAS</t>
  </si>
  <si>
    <t>PROQUEST</t>
  </si>
  <si>
    <t>ERIC PLUS</t>
  </si>
  <si>
    <t>EDUCATION COLLECTION</t>
  </si>
  <si>
    <t>DOT LIB</t>
  </si>
  <si>
    <t>SPRINGER</t>
  </si>
  <si>
    <t>JSTOR</t>
  </si>
  <si>
    <t>ITMS GROUP</t>
  </si>
  <si>
    <t>SCIENCE MAGAZINE</t>
  </si>
  <si>
    <t>IOP</t>
  </si>
  <si>
    <t xml:space="preserve">Iop Science </t>
  </si>
  <si>
    <t>PEARSON</t>
  </si>
  <si>
    <t>BIBLIOTECA VIRTUAL PEARSON</t>
  </si>
  <si>
    <t>MAGISTERIO</t>
  </si>
  <si>
    <t xml:space="preserve">BIBLIOTECA VIRTUAL MAGISTERIO  </t>
  </si>
  <si>
    <t>CENGAGE</t>
  </si>
  <si>
    <t>ACADEMIC ONE FILE</t>
  </si>
  <si>
    <t>INFORME ACADEMICO</t>
  </si>
  <si>
    <t>BRITANNICA</t>
  </si>
  <si>
    <t>Britannica Image Quest</t>
  </si>
  <si>
    <t xml:space="preserve">Britannica Academic </t>
  </si>
  <si>
    <t>Britannica Moderna</t>
  </si>
  <si>
    <t>Digitalia</t>
  </si>
  <si>
    <t>Digitalia - Digitalia Hispanica</t>
  </si>
  <si>
    <t>Thomson Reuters</t>
  </si>
  <si>
    <t>Web of Science</t>
  </si>
  <si>
    <t>IEEE</t>
  </si>
  <si>
    <t>Academic Search Complete</t>
  </si>
  <si>
    <t>Business Source Complete</t>
  </si>
  <si>
    <t xml:space="preserve">Fuente Académica Premier </t>
  </si>
  <si>
    <t>Environment Complete</t>
  </si>
  <si>
    <t>SPORTDISCUSS With Full Text</t>
  </si>
  <si>
    <t>International Bibliography of Theatre &amp; Dance with Full Text</t>
  </si>
  <si>
    <t>ART SOURCE</t>
  </si>
  <si>
    <t>MUSIC INDEX</t>
  </si>
  <si>
    <t>Engineering Source</t>
  </si>
  <si>
    <t>APPLIED SCIENCE AND TECHNOLOGY SOURCE</t>
  </si>
  <si>
    <t>SCIENCE FULL TEXT</t>
  </si>
  <si>
    <t>EDUCATION SOURCE</t>
  </si>
  <si>
    <t>Green file</t>
  </si>
  <si>
    <t>RILM</t>
  </si>
  <si>
    <t>BIOLOGY ABSTRACTS</t>
  </si>
  <si>
    <t>History of Science, Technology and Medicine</t>
  </si>
  <si>
    <t>eBook Academic Collection</t>
  </si>
  <si>
    <t>Humanities Interna-tional Complete-Humanidades</t>
  </si>
  <si>
    <t>MasterFILE</t>
  </si>
  <si>
    <t>Newspaper Source</t>
  </si>
  <si>
    <t>Regional Businees News</t>
  </si>
  <si>
    <t>MC GRAW HILL</t>
  </si>
  <si>
    <t>McGraw-Hill Interamericana</t>
  </si>
  <si>
    <t>ALFAOMEGA</t>
  </si>
  <si>
    <t>alfaomega Icloud - Alpha Editorial Cloud</t>
  </si>
  <si>
    <t>ELSEVIER</t>
  </si>
  <si>
    <t>REAXYS</t>
  </si>
  <si>
    <t>USA LIBROS</t>
  </si>
  <si>
    <t>Ebooks digitalia</t>
  </si>
  <si>
    <t>Libros leídos</t>
  </si>
  <si>
    <t xml:space="preserve">Ejournals </t>
  </si>
  <si>
    <t>Libros prestados</t>
  </si>
  <si>
    <t>Ejournals leídos</t>
  </si>
  <si>
    <t>Documentales</t>
  </si>
  <si>
    <t>Films</t>
  </si>
  <si>
    <t>EBOOKS 7/24</t>
  </si>
  <si>
    <t>Cengage 61</t>
  </si>
  <si>
    <t>Diaz de Santos 32</t>
  </si>
  <si>
    <t>IC Editorial 53</t>
  </si>
  <si>
    <t>Pearson Educación 141</t>
  </si>
  <si>
    <t>Editorial Brujas</t>
  </si>
  <si>
    <t>Narcea</t>
  </si>
  <si>
    <t>Paraninfo</t>
  </si>
  <si>
    <t>ECOE</t>
  </si>
  <si>
    <t>Manual Moderno</t>
  </si>
  <si>
    <t>Siglo del Hombre 70</t>
  </si>
  <si>
    <t>ZENTRALBLATT</t>
  </si>
  <si>
    <t>zbMATH</t>
  </si>
  <si>
    <t>EDITORIAL MEDICA PANAMERICANA</t>
  </si>
  <si>
    <t>Eureka</t>
  </si>
  <si>
    <t>Ebooks Consultados</t>
  </si>
  <si>
    <t>Libros leídos (**usos)</t>
  </si>
  <si>
    <t>Libros prestados (***descargas)</t>
  </si>
  <si>
    <t>Ejournals Consultados</t>
  </si>
  <si>
    <t>Films consultados</t>
  </si>
  <si>
    <t>Films visionados (**usos)</t>
  </si>
  <si>
    <t xml:space="preserve">Documentales mas consultados </t>
  </si>
  <si>
    <t xml:space="preserve">Documentales mas visionados </t>
  </si>
  <si>
    <t>Recursos Educativos Abiertos</t>
  </si>
  <si>
    <t>Colecciones especiales patrimoniales (digital)</t>
  </si>
  <si>
    <t>Trabajos de grado (digital)- RIUD</t>
  </si>
  <si>
    <t>Tesis y Disertaciones  (digital)- RIUD</t>
  </si>
  <si>
    <t>(Factor 4 Característica 24)</t>
  </si>
  <si>
    <t xml:space="preserve">USOS DE LOS SERVICIOS CRAI+ DESGLOSADOS </t>
  </si>
  <si>
    <t>Consulta en portal biblioteca:</t>
  </si>
  <si>
    <t>https://bibliotecas.udistrital.edu.co/</t>
  </si>
  <si>
    <t>SERVICIOS CRAI+</t>
  </si>
  <si>
    <t>% PARTICIPACIÓN</t>
  </si>
  <si>
    <r>
      <t>Servicios CRAI+1:</t>
    </r>
    <r>
      <rPr>
        <sz val="10"/>
        <color rgb="FF000000"/>
        <rFont val="Arial Narrow"/>
        <family val="2"/>
      </rPr>
      <t xml:space="preserve"> Servicio de información y acogida de la Universidad</t>
    </r>
  </si>
  <si>
    <r>
      <t>Servicios CRAI+ 2.</t>
    </r>
    <r>
      <rPr>
        <sz val="10"/>
        <color rgb="FF000000"/>
        <rFont val="Arial Narrow"/>
        <family val="2"/>
      </rPr>
      <t xml:space="preserve"> Servicios fundamentales de Biblioteca</t>
    </r>
  </si>
  <si>
    <r>
      <t>Servicios CRAI+3.</t>
    </r>
    <r>
      <rPr>
        <sz val="10"/>
        <color rgb="FF000000"/>
        <rFont val="Arial Narrow"/>
        <family val="2"/>
      </rPr>
      <t xml:space="preserve"> Servicios Tic´s,</t>
    </r>
  </si>
  <si>
    <r>
      <t>Servicios CRAI+4</t>
    </r>
    <r>
      <rPr>
        <sz val="10"/>
        <color rgb="FF000000"/>
        <rFont val="Arial Narrow"/>
        <family val="2"/>
      </rPr>
      <t>. Servicios de apoyo en idiomas</t>
    </r>
  </si>
  <si>
    <r>
      <t>Servicios CRAI+5.</t>
    </r>
    <r>
      <rPr>
        <sz val="10"/>
        <color rgb="FF000000"/>
        <rFont val="Arial Narrow"/>
        <family val="2"/>
      </rPr>
      <t xml:space="preserve"> Servicios de apoyo a los retos profesionales</t>
    </r>
  </si>
  <si>
    <r>
      <t>Servicios CRAI+6</t>
    </r>
    <r>
      <rPr>
        <sz val="10"/>
        <color rgb="FF000000"/>
        <rFont val="Arial Narrow"/>
        <family val="2"/>
      </rPr>
      <t xml:space="preserve"> Servicios y recursos 24/7</t>
    </r>
  </si>
  <si>
    <r>
      <t>Servicios CRAI+7.</t>
    </r>
    <r>
      <rPr>
        <sz val="10"/>
        <color rgb="FF000000"/>
        <rFont val="Arial Narrow"/>
        <family val="2"/>
      </rPr>
      <t xml:space="preserve"> Servicios de ideación, creación, e innovación</t>
    </r>
  </si>
  <si>
    <r>
      <t>Servicios CRAI+8.</t>
    </r>
    <r>
      <rPr>
        <sz val="10"/>
        <color rgb="FF000000"/>
        <rFont val="Arial Narrow"/>
        <family val="2"/>
      </rPr>
      <t xml:space="preserve"> Servicios de creación y elaboración de contenido multimedia</t>
    </r>
  </si>
  <si>
    <r>
      <t>Servicios CRAI+9.</t>
    </r>
    <r>
      <rPr>
        <sz val="10"/>
        <color rgb="FF000000"/>
        <rFont val="Arial Narrow"/>
        <family val="2"/>
      </rPr>
      <t xml:space="preserve"> Gestión Cultural y proyección social</t>
    </r>
  </si>
  <si>
    <r>
      <t>Servicios CRAI+11.</t>
    </r>
    <r>
      <rPr>
        <sz val="10"/>
        <color rgb="FF000000"/>
        <rFont val="Arial Narrow"/>
        <family val="2"/>
      </rPr>
      <t xml:space="preserve"> Desarrollo de competencias académicas</t>
    </r>
  </si>
  <si>
    <r>
      <t>Servicios CRAI+12</t>
    </r>
    <r>
      <rPr>
        <sz val="10"/>
        <color rgb="FF000000"/>
        <rFont val="Arial Narrow"/>
        <family val="2"/>
      </rPr>
      <t>. Desarrollo de competencias de investigación,</t>
    </r>
  </si>
  <si>
    <t>LINEA CRAI</t>
  </si>
  <si>
    <t>LINEA CRAI+</t>
  </si>
  <si>
    <t>SERVICIOS</t>
  </si>
  <si>
    <t>DESCRIPCIÓN</t>
  </si>
  <si>
    <t>AÑO DE IMPLEMENTACIÓN</t>
  </si>
  <si>
    <t>PRESENCIAL</t>
  </si>
  <si>
    <t>LINEA</t>
  </si>
  <si>
    <t>ESTADO SERVICIO</t>
  </si>
  <si>
    <t>Línea CRAI+1: Servicio de información y acogida de la Universidad</t>
  </si>
  <si>
    <t>Servicios de información y acogida de la Universidad</t>
  </si>
  <si>
    <t>¡Conoce tu U! Servicio FAQs</t>
  </si>
  <si>
    <t>Servicios que orientan a la comunidad universitaria sobre el quehacer, la vida universitaria, educativa y académica. Así mismo integra a la comunidad universitaria a las actividades de la ciudad.</t>
  </si>
  <si>
    <t>Disponible</t>
  </si>
  <si>
    <t>¡Conoce tu U! Servicio Inducciones</t>
  </si>
  <si>
    <t>¿Sabías qué?</t>
  </si>
  <si>
    <t>¡Enterate hoy!</t>
  </si>
  <si>
    <t>¡A parchar en la ciudad!</t>
  </si>
  <si>
    <t>Línea CRAI 2. Servicios fundamentales de Biblioteca</t>
  </si>
  <si>
    <t xml:space="preserve">Préstamo de colecciones </t>
  </si>
  <si>
    <t>Préstamo en Sala</t>
  </si>
  <si>
    <t>Servicios bibliotecarios básicos orientados a dar acceso a la información básica o especializada para toda la comunidad universitaria.</t>
  </si>
  <si>
    <t>Préstamo Externo</t>
  </si>
  <si>
    <t>Servicio Préstamo Interbibliotecario (PIB)</t>
  </si>
  <si>
    <t xml:space="preserve">                            -  </t>
  </si>
  <si>
    <t>Servicio Alianza Interbibliotecaria</t>
  </si>
  <si>
    <t>Cartas de presentación</t>
  </si>
  <si>
    <t xml:space="preserve"> x </t>
  </si>
  <si>
    <t>Reubicada</t>
  </si>
  <si>
    <t>Reubicado</t>
  </si>
  <si>
    <t>Servicio Obtención de documentos</t>
  </si>
  <si>
    <t>Servicio Bibliografías</t>
  </si>
  <si>
    <t>Servicios Administrativos</t>
  </si>
  <si>
    <t>Multas y Paz y Salvos bloqueos/descloqueos/</t>
  </si>
  <si>
    <t>Multas y Paz y Salvos aplazamiento, cancelación y retiro</t>
  </si>
  <si>
    <t>Paz y salvos grados</t>
  </si>
  <si>
    <t>Biblioteca Inclusiva</t>
  </si>
  <si>
    <t xml:space="preserve">Proyectar y transformar las Bibliotecas de la Universidad Distrital en escenarios capaces de ofrecer  servicios a plenitud para las comunidades minoritarias con necesidades especiales en contextos en los que sea posible y pertinente. </t>
  </si>
  <si>
    <t xml:space="preserve">                    -  </t>
  </si>
  <si>
    <t>Línea 3. Servicios Tic´s</t>
  </si>
  <si>
    <t>Servicios préstamo de equipos - Apoyo académico</t>
  </si>
  <si>
    <t>Préstamo PC Portátiles</t>
  </si>
  <si>
    <t xml:space="preserve"> - </t>
  </si>
  <si>
    <t>Préstamo   tablets</t>
  </si>
  <si>
    <t>Préstamo   multimedia (Televisores, carteleras)</t>
  </si>
  <si>
    <t>Préstamo casilleros</t>
  </si>
  <si>
    <t>Préstamo de Espacios</t>
  </si>
  <si>
    <t>Servicios Tics</t>
  </si>
  <si>
    <t>Mantenimientos preventivos y correctivos</t>
  </si>
  <si>
    <t>Soporte al parque tecnológico del Sistema de Bibliotecas</t>
  </si>
  <si>
    <t>Sistematización e innovación tecnológica</t>
  </si>
  <si>
    <t>Seguridad - backups</t>
  </si>
  <si>
    <t>Línea 4. Servicios de apoyo en idiomas</t>
  </si>
  <si>
    <t>Laboratorio Plurilingüismo</t>
  </si>
  <si>
    <t>Servicios que permiten fortalecer o complementar los procesos de aprendizaje de forma autónoma en otros idiomas a toda la comunidad universitaria.</t>
  </si>
  <si>
    <t>Encuentro</t>
  </si>
  <si>
    <t>Talleres</t>
  </si>
  <si>
    <t>Formación de usuarios</t>
  </si>
  <si>
    <t>Club Plurilingüismo</t>
  </si>
  <si>
    <t>Club Plurilingüismo (sala)</t>
  </si>
  <si>
    <t xml:space="preserve">Línea 5. Servicios de apoyo a los retos profesionales </t>
  </si>
  <si>
    <t xml:space="preserve"> Servicios de apoyo a los retos profesionales</t>
  </si>
  <si>
    <t>Servicios conformados por asesorías, talleres, orientaciones o cualquier actividad que faciliten el desarrollo de habilidades y competencias para los profesionales de nuestra comunidad universitaria. </t>
  </si>
  <si>
    <t>Línea 6 Servicios y recursos 24/7</t>
  </si>
  <si>
    <t>Servicios 24/7</t>
  </si>
  <si>
    <t>OPAC Catalogo en Línea http://biblioteca.udistrital.edu.co: Es una herramienta que permite la consulta y visualización de los registros bibliográficos; el usuario tiene la posibilidad de recuperar información sobre un tema, autor o colección específica. También, permite conocer en qué Biblioteca se encuentra el documento que se requiere y si está disponible para su consulta</t>
  </si>
  <si>
    <t>Descubridor</t>
  </si>
  <si>
    <t>Repositorio Institucional RIUD</t>
  </si>
  <si>
    <t>Renovaciones en Línea</t>
  </si>
  <si>
    <t>Servicios que garantizan el acceso, uso, consulta y disponibilidad, de manera continua, presencial o virtual de los recursos del Sistema de Bibliotecas para la comunidad universitaria.</t>
  </si>
  <si>
    <t>Línea 7. Servicios de ideación, creación, e innovación</t>
  </si>
  <si>
    <t>Servicios de ideación, creación e innovación</t>
  </si>
  <si>
    <t>Talleres (usuarios)</t>
  </si>
  <si>
    <t> Servicios orientados a facilitar herramientas y recursos que permitan la ideación, creación e innovación de nuestra comunidad.</t>
  </si>
  <si>
    <t>Laboratorios (Salas de innovación)</t>
  </si>
  <si>
    <t>Línea 8. Servicios de creación y elaboración de contenido multimedia</t>
  </si>
  <si>
    <t>servicios orientados a gestionar formaciones y asesorías para fortalecer habilidades y destrezas en el uso de herramientas web, plataformas educativas digitales, laboratorios de autoaprendizajes que faciliten el proceso de diseño y la visibilidad de contenidos multimedia como apoyo a la gestión de actividades académicas o investigativas.</t>
  </si>
  <si>
    <t>Reubico</t>
  </si>
  <si>
    <t>Creación de material docente</t>
  </si>
  <si>
    <t xml:space="preserve">Laboratorio de autoaprendizaje </t>
  </si>
  <si>
    <t>Línea 9. Gestión Cultural y Proyección Social</t>
  </si>
  <si>
    <t>Taller (asistentes)</t>
  </si>
  <si>
    <t>Servicios y proyectos orientados a establecer espacios culturales y de proyección social que fomenten el arte y la sensibilidad humana como eje articulador de los saberes, escenarios de reflexión, experimentación, construcción de pensamiento, inclusión y apropiación de la vida contribuyendo al desarrollo de la formación integral de la comunidad.</t>
  </si>
  <si>
    <t xml:space="preserve">Proyectos expositivos </t>
  </si>
  <si>
    <t>Exposiciones (asistentes)</t>
  </si>
  <si>
    <t>Reflexión y construcción de pensamiento</t>
  </si>
  <si>
    <t>Promoción De Lectura (asistentes)</t>
  </si>
  <si>
    <t>Visitas Guiadas (asistentes)</t>
  </si>
  <si>
    <t>Conversatorios (asistentes)</t>
  </si>
  <si>
    <t>Cine Foro (asistentes)</t>
  </si>
  <si>
    <t>Representaciones Teatrales (asistentes)</t>
  </si>
  <si>
    <t>Conciertos (asistentes)</t>
  </si>
  <si>
    <t>Línea 11. Desarrollo de competencias académicas</t>
  </si>
  <si>
    <t>Cursos y Talleres que apoyen los procesos formativos</t>
  </si>
  <si>
    <t>Servicios orientados a fortalecer los procesos de enseñanza y aprendizaje duraderos para la Comunidad Universitaria.</t>
  </si>
  <si>
    <t>Material de autoformación</t>
  </si>
  <si>
    <t>Línea 12. Desarrollo de competencias de investigación</t>
  </si>
  <si>
    <t>Servicios orientados a visibilizar, posicionar e impactar las publicaciones científicas, académicas y la institución contribuyendo en la función general de la Universidad de la investigación</t>
  </si>
  <si>
    <t>ESTADISTICAS GENERALES (Factor 4 Característica 24)</t>
  </si>
  <si>
    <t>SERVICIOS CRAI+2 ALIANZAS INTERBIBLIOTECARIAS</t>
  </si>
  <si>
    <t>Consulta alianzas:</t>
  </si>
  <si>
    <t>https://bibliotecas.udistrital.edu.co/prestamo_interbibliotecario</t>
  </si>
  <si>
    <t>Para los años 2020 y 2021 se ve afectados los convenios por la no presencialidad a causa de emergencia sanitaria Covid19</t>
  </si>
  <si>
    <t>No.</t>
  </si>
  <si>
    <t>Archivo General De La Nación</t>
  </si>
  <si>
    <t>Ceipa Business School</t>
  </si>
  <si>
    <t>Centro De Estudios Fiscales - Contraloría General De La República</t>
  </si>
  <si>
    <t>Corporación Escuela De Artes Y Letras</t>
  </si>
  <si>
    <t>Corporación Tecnológica De Bogotá</t>
  </si>
  <si>
    <t>Corporación Unificada Nacional De Educación Superior - Cun</t>
  </si>
  <si>
    <t>Corporación Universitaria Minuto De Dios</t>
  </si>
  <si>
    <t>Corporación Universitaria Unitec</t>
  </si>
  <si>
    <t>Escuela Colombiana De Rehabilitación-Institución Universitaria</t>
  </si>
  <si>
    <t>Escuela De Ingeniería Del Ejército</t>
  </si>
  <si>
    <t>Escuela Superior De Administración Pública - Esap</t>
  </si>
  <si>
    <t>Fundación Cidca</t>
  </si>
  <si>
    <t>Fundación Universitaria Agraria De Colombia - Uniagraria</t>
  </si>
  <si>
    <t>Fundación Universitaria Del Área Andina</t>
  </si>
  <si>
    <t>Fundación Universitaria Konrad Lorenz</t>
  </si>
  <si>
    <t>Fundación Universitaria Los Libertadores</t>
  </si>
  <si>
    <t>Fundación Universitaria Luis Amigo</t>
  </si>
  <si>
    <t>Fundalectura</t>
  </si>
  <si>
    <t>Instituto Caro Y Cuervo</t>
  </si>
  <si>
    <t>Instituto Colombiano De Antropología E Historia Icanh</t>
  </si>
  <si>
    <t>Instituto De Cultura Brasil Colombia Ibraco</t>
  </si>
  <si>
    <t>Instituto Nacional De Seguros</t>
  </si>
  <si>
    <t>Politécnico Icaft</t>
  </si>
  <si>
    <t>Secretaria Distrital De Ambiente</t>
  </si>
  <si>
    <t>Sena Regional D.C. Centro De Formación De Talento Humano En Salud</t>
  </si>
  <si>
    <t>Universidad Católica De Colombia</t>
  </si>
  <si>
    <t>Universidad Central</t>
  </si>
  <si>
    <t>Universidad Colegio Mayor De Cundinamarca</t>
  </si>
  <si>
    <t>Universidad Cooperativa De Colombia</t>
  </si>
  <si>
    <t>Universidad De Caldas</t>
  </si>
  <si>
    <t>Universidad De Cartagena</t>
  </si>
  <si>
    <t>Universidad De La Sabana</t>
  </si>
  <si>
    <t>Universidad De La Salle</t>
  </si>
  <si>
    <t>Universidad De Los Andes</t>
  </si>
  <si>
    <t>Universidad De Medellín</t>
  </si>
  <si>
    <t>Universidad De San Buenaventura Bogotá</t>
  </si>
  <si>
    <t>Universidad Del Bosque</t>
  </si>
  <si>
    <t>Universidad Del Norte</t>
  </si>
  <si>
    <t>Universidad Del Rosario</t>
  </si>
  <si>
    <t>Universidad Ean</t>
  </si>
  <si>
    <t>Universidad Ecci</t>
  </si>
  <si>
    <t>Universidad Externado De Colombia</t>
  </si>
  <si>
    <t>Universidad Incca De Colombia</t>
  </si>
  <si>
    <t>Universidad Javeriana</t>
  </si>
  <si>
    <t>Universidad La Gran Colombia</t>
  </si>
  <si>
    <t>Universidad Libre</t>
  </si>
  <si>
    <t>Universidad Militar Nueva Granada</t>
  </si>
  <si>
    <t>Universidad Nacional De Colombia</t>
  </si>
  <si>
    <t>Universidad Pedagógica Nacional De Colombia</t>
  </si>
  <si>
    <t>Universidad Piloto De Colombia</t>
  </si>
  <si>
    <t>Universidad Pontificia Bolivariana</t>
  </si>
  <si>
    <t>Universidad Santo Tomás</t>
  </si>
  <si>
    <t>Universidad Uniagustiniana</t>
  </si>
  <si>
    <t>Universidad Sergio Arboleda</t>
  </si>
  <si>
    <t xml:space="preserve">SERVICIOS CRAI+6: CONSULTA ACCESO A RECURSOS ELECTRONICOS - BASES DE DATOS. (Adquiridos por suscripcción) BIBLIOTECA DIGITAL BDIGITAL 2018 -2024 </t>
  </si>
  <si>
    <t>ESTADISTICAS POR PROYECTO CURRICULAR (Factor 4 Característica 24)</t>
  </si>
  <si>
    <t>Consulta estadísticas RIUD:</t>
  </si>
  <si>
    <t>https://repository.udistrital.edu.co/page/gtm</t>
  </si>
  <si>
    <t>Información General Consutas RIUD</t>
  </si>
  <si>
    <t>TIPO</t>
  </si>
  <si>
    <t>Usuarios</t>
  </si>
  <si>
    <t>Descargas</t>
  </si>
  <si>
    <t>Interaciones - Sesiones</t>
  </si>
  <si>
    <t>Consultas</t>
  </si>
  <si>
    <r>
      <t>* El reporte fue extraído a partir de la implementación de estadísticas por GTM (Google Tag Manager) a mediados de 2020, debido a que nos permite identificar y catalogar los datos que contiene Google Analtytics, de forma más fácil.
Antes de estas fechas se cuenta con la información de forma generalizadas (de todo el sistema) y no de forma puntual (por comunidad, colección, etc.), debido a que el sistema de Analytics lo maneja de esa forma y en el periodo 2019 no se estaba implementado el modulo GTM.</t>
    </r>
    <r>
      <rPr>
        <u/>
        <sz val="10"/>
        <color rgb="FF000000"/>
        <rFont val="Arial Narrow"/>
        <family val="2"/>
      </rPr>
      <t xml:space="preserve"> https://repository.udistrital.edu.co/page/statistics
</t>
    </r>
  </si>
  <si>
    <t>REPOSITORIO INSTITUCIONAL RIUD - CONSULTAS GENERALES -COLECCIONES DIGITALES UNIVERSIDAD DISTRITAL</t>
  </si>
  <si>
    <t>DATOS GENERALES TODAS LAS FACULTADES</t>
  </si>
  <si>
    <t>CONSULTAS GENERALES -COLECCIONES DIGITALES</t>
  </si>
  <si>
    <t>Producción Editorial</t>
  </si>
  <si>
    <t>Trabajos de grado Pregrado y Especializaciones</t>
  </si>
  <si>
    <t>Tesis y disertaciones maestrias y doctorados</t>
  </si>
  <si>
    <t>Colecciones Especiales y Patrimoniales</t>
  </si>
  <si>
    <t>Colecciones Científicas</t>
  </si>
  <si>
    <t xml:space="preserve">SERVICIO CRAI+11 DESARROLLO DE COMPETENCIAS ACADÉMICAS - PLAN DE FORMACIÓN BIBLIOTECA </t>
  </si>
  <si>
    <t>Consulta servicio:</t>
  </si>
  <si>
    <t>https://bibliotecas.udistrital.edu.co/formacion</t>
  </si>
  <si>
    <t xml:space="preserve">Plan de Formación Biblioteca </t>
  </si>
  <si>
    <t>Talleres de formación</t>
  </si>
  <si>
    <t>Uso de Bases de Datos de Publicaciones de Alto Factor de Impacto</t>
  </si>
  <si>
    <t>Uso y Aplicación Normas APA Séptima edición - Formato y Libros</t>
  </si>
  <si>
    <t>Talleres Herramientas web</t>
  </si>
  <si>
    <t>Diseño y Herramientas para realizar Infografías</t>
  </si>
  <si>
    <t>Diseño y presentación de posters científicos efectivos</t>
  </si>
  <si>
    <t>Creación de comic e historietas imágenes fijas</t>
  </si>
  <si>
    <t xml:space="preserve">Organizadores gráficos </t>
  </si>
  <si>
    <t>Talleres herramientas especializadas</t>
  </si>
  <si>
    <t>Análisis bibliométrico de la vigilancia tecnológica con herramienta de software para construir y visualizar redes...</t>
  </si>
  <si>
    <t>La transición hacia la ciencia abierta: ¿ estamos preparados ?</t>
  </si>
  <si>
    <t>Uso de Herramientas para el Seguimiento, Análisis y Visualización de la Investigación</t>
  </si>
  <si>
    <t>Otros talleres</t>
  </si>
  <si>
    <t>Ruta de la Empleabilidad UD</t>
  </si>
  <si>
    <t xml:space="preserve">II Intercambio de saberes y experiencias para el mejoramiento del que hacer del profesional en información </t>
  </si>
  <si>
    <t>Ir a la fecha que requiera información. Dar clic</t>
  </si>
  <si>
    <t>SERVICIO CRAI+10: COLECCIONES BIBLIOGRÁFICAS IMPRESAS  BIBLIOTECA (En ejemplares)</t>
  </si>
  <si>
    <t>SERVICIOS CRAI+6: COLECCIÓN DIGITAL INSTITUCIONAL REPOSITORIO INSTITUCIONAL RIUD (Accesos)</t>
  </si>
  <si>
    <t>FACULTADES</t>
  </si>
  <si>
    <t>2018</t>
  </si>
  <si>
    <t>2019</t>
  </si>
  <si>
    <t>2020</t>
  </si>
  <si>
    <t>2021</t>
  </si>
  <si>
    <t>2022</t>
  </si>
  <si>
    <t>*2023</t>
  </si>
  <si>
    <t>BASE DE DATOS CONSULTADA</t>
  </si>
  <si>
    <t>INFRAESTRUCTURA FÍSICA BIBLIOTECAS</t>
  </si>
  <si>
    <t>SEDE</t>
  </si>
  <si>
    <t>BIBLIOTECAS</t>
  </si>
  <si>
    <t>DIRECCIÓN</t>
  </si>
  <si>
    <t>Año que entró en funcionamiento</t>
  </si>
  <si>
    <t>2020 Total Área Mts2</t>
  </si>
  <si>
    <t>2022 Total Área Mts2</t>
  </si>
  <si>
    <t>2023 Total Área Mts2</t>
  </si>
  <si>
    <t>2024 Total Área Mts2</t>
  </si>
  <si>
    <t>Facultad Medio Ambiente y Recursos Naturales - Porvenir</t>
  </si>
  <si>
    <t>Biblioeca Heliodoro Sánchez Páez</t>
  </si>
  <si>
    <t>Calle 52 Sur # 88b-37</t>
  </si>
  <si>
    <t>2018 Creación Nueva</t>
  </si>
  <si>
    <t>Facultad de Tecnológica - Ensueño</t>
  </si>
  <si>
    <t>Biblioteca Ricardo Piraján Cantillo -Edificio Lectus</t>
  </si>
  <si>
    <t>Calle 68D Bis A Sur # 49F-70 Candelaria La Nueva IV</t>
  </si>
  <si>
    <t>2010 - Nueva 2023
2021 Edificio Ensueño (1300Mt2 aprox)</t>
  </si>
  <si>
    <t>Aduanilla de Paiba</t>
  </si>
  <si>
    <t>Biblioteca Ramón Eduardo D’Luyz Nieto</t>
  </si>
  <si>
    <t>Carrera 13 # 31 – 75</t>
  </si>
  <si>
    <t>2013 Creación Nueva</t>
  </si>
  <si>
    <t>Facultad Ciencias y Educación - Macarena A</t>
  </si>
  <si>
    <t xml:space="preserve">Biblioteca Comandante Camilo Torres Restrepo </t>
  </si>
  <si>
    <t>Carrera 3 # 26A – 40</t>
  </si>
  <si>
    <t>Creación
 2013 Remodelada</t>
  </si>
  <si>
    <t>Facultad Medio Ambiente y Recursos Naturales - Vivero</t>
  </si>
  <si>
    <t>Biblioteca Hipólito Camargo</t>
  </si>
  <si>
    <t>Carrera 5 Este # 15-82</t>
  </si>
  <si>
    <t>Remodelada 2012</t>
  </si>
  <si>
    <t xml:space="preserve">Facultad de Ingeniería - </t>
  </si>
  <si>
    <t xml:space="preserve">Biblioteca Vytautas Gabriunas </t>
  </si>
  <si>
    <t>Carrera 7 # 40-53 Edificio Sabio Caldas</t>
  </si>
  <si>
    <t>2010 - Remodelada</t>
  </si>
  <si>
    <t>Facultad de Artes - Sede ASAB</t>
  </si>
  <si>
    <t>BIblioteca Antonio Nariño</t>
  </si>
  <si>
    <t>Carrera 13 # 14-69</t>
  </si>
  <si>
    <t>Creación año 2005 - 2012- Remodelada
 2018- Remodelada</t>
  </si>
  <si>
    <t>Facultad Ciencias y Educación - Macarena B</t>
  </si>
  <si>
    <t>Biblioteca Jairo Aníbal Niño</t>
  </si>
  <si>
    <t>Carrera 4 # 26B – 54</t>
  </si>
  <si>
    <t>Centro de Documentación Ciencias Sociales - CDSO</t>
  </si>
  <si>
    <t>1996 creación
 2013 Remodelada</t>
  </si>
  <si>
    <t>Centro de Documentación de las Artes "Gabriel Esquinas"</t>
  </si>
  <si>
    <t>Facultad Ciencias y Educación - Posgrados</t>
  </si>
  <si>
    <t>Biblioteca Posgrados</t>
  </si>
  <si>
    <t>Carrera 6 #10-72, Bogotá - La Candelaria</t>
  </si>
  <si>
    <t>Creación 1994 traslado sede posgrados año 2005. Traslado 2023</t>
  </si>
  <si>
    <t>SALAS DE LECTURA</t>
  </si>
  <si>
    <t>PUESTOS DE LECTURA</t>
  </si>
  <si>
    <t>COMPUTADORES FUNCIONARIOS (puestos de trabajo)</t>
  </si>
  <si>
    <t>COMPUTADORES CONSULTA CATALOGO</t>
  </si>
  <si>
    <t>COMPUTADORES PRESTAMO-USUARIOS</t>
  </si>
  <si>
    <t xml:space="preserve">PORTATILES </t>
  </si>
  <si>
    <t>TABLETS</t>
  </si>
  <si>
    <t>CARTELERAS DIGITALES</t>
  </si>
  <si>
    <t>TV</t>
  </si>
  <si>
    <t>AUDIFONOS</t>
  </si>
  <si>
    <t>VIDEO JUEGOS</t>
  </si>
  <si>
    <t xml:space="preserve">SALAS / ESPACIOS </t>
  </si>
  <si>
    <t>Comandante Camilo Torres Restrepo - Sede Macarena A-</t>
  </si>
  <si>
    <t>Jairo Aníbal Niño -Sede Macarena B</t>
  </si>
  <si>
    <t>Ramón Eduardo D’Luyz Nieto . Sede Aduanilla de Paiba</t>
  </si>
  <si>
    <t>Vytautas Gabriunas -Facultad Ingeniería</t>
  </si>
  <si>
    <t>Hipólito Camargo -Sede Medio Ambiente Vivero-</t>
  </si>
  <si>
    <t xml:space="preserve">Heliodoro Sánchez Páez - Sede Porvenir </t>
  </si>
  <si>
    <t>Ensueño - Facultad Tecnológica-</t>
  </si>
  <si>
    <t>ASAB - Antonio Nariño</t>
  </si>
  <si>
    <t>CDOSO - Centro de documentación de sociales</t>
  </si>
  <si>
    <t>CDARTES - Centro de documentación de Artes</t>
  </si>
  <si>
    <t>Posgrados</t>
  </si>
  <si>
    <t>Proyección</t>
  </si>
  <si>
    <t>SALA DE LECTURA</t>
  </si>
  <si>
    <t>AUDITORIOS</t>
  </si>
  <si>
    <t>TEATRO - AUDITORIO</t>
  </si>
  <si>
    <t>SALA GRUPAL - SALA DE REUNIONES</t>
  </si>
  <si>
    <t>SALA DE EXPOSICIÓN ARTE</t>
  </si>
  <si>
    <t>SALA MULTIFUNCIONAL</t>
  </si>
  <si>
    <t xml:space="preserve">SALAS DE INFORMATICA - </t>
  </si>
  <si>
    <t>SALAS MULTIMEDIA</t>
  </si>
  <si>
    <t>SALA MAKERSPACE</t>
  </si>
  <si>
    <t>MEDIATECA SONOTECA - VIDEOTECA -MEDIALAB</t>
  </si>
  <si>
    <t>SALA DE CAPACITACIÓN</t>
  </si>
  <si>
    <t xml:space="preserve">COWORKING / SALA DE INNOVACION </t>
  </si>
  <si>
    <t>CLUB BILINGÜE</t>
  </si>
  <si>
    <t xml:space="preserve">FABLAB </t>
  </si>
  <si>
    <t xml:space="preserve">CAFÉ LIBRO </t>
  </si>
  <si>
    <t>SALONES</t>
  </si>
  <si>
    <t>SALA BIBLIOTECA INCLUSIÓN</t>
  </si>
  <si>
    <t>Ambientalex</t>
  </si>
  <si>
    <t>EBSCO</t>
  </si>
  <si>
    <t>Science Direct</t>
  </si>
  <si>
    <t>Scopus</t>
  </si>
  <si>
    <t>Springer Link</t>
  </si>
  <si>
    <t>FACULTAD DE INGENIERIA</t>
  </si>
  <si>
    <t>INGENIERÍA</t>
  </si>
  <si>
    <t>FACULTAD TECNOLOGICA</t>
  </si>
  <si>
    <t>ARTES</t>
  </si>
  <si>
    <t>FACULTAD MEDIO AMBIENTE Y RECURSOS NATURALES</t>
  </si>
  <si>
    <t>TECNOLOGICA</t>
  </si>
  <si>
    <t>ACADEMIA SUPERIOR DE ARTES</t>
  </si>
  <si>
    <t>CENT. DOC. DE LAS ARTES ASAB</t>
  </si>
  <si>
    <t>VIVERO</t>
  </si>
  <si>
    <t>PORVENIR</t>
  </si>
  <si>
    <t>HERBARIO FORESTAL</t>
  </si>
  <si>
    <t>Mathscinet</t>
  </si>
  <si>
    <t xml:space="preserve">¡Conoce tu U! Servicio Chat </t>
  </si>
  <si>
    <t>Talleres-creación de contenido</t>
  </si>
  <si>
    <t>Recursos 24/7</t>
  </si>
  <si>
    <t>Formación de usuarios (solicitudes)</t>
  </si>
  <si>
    <t>Talleres (Solicitudes)</t>
  </si>
  <si>
    <t>Formación - Apoyo al aprendizaje (solicitudes)</t>
  </si>
  <si>
    <t>Asesoría en Normas APA para trabajos de grado</t>
  </si>
  <si>
    <t>Turnitin Check Servicio de Revisión de Trabajos Académico</t>
  </si>
  <si>
    <t>Asesoría Especializada</t>
  </si>
  <si>
    <t>Colección multimedia (Videos, DVD,CD)</t>
  </si>
  <si>
    <t>Buscador - Descubridor - EDS</t>
  </si>
  <si>
    <t>Catalogo en línea_ LOCATE</t>
  </si>
  <si>
    <t xml:space="preserve">Aplica para toda la Comunidad Académica en el Campus o fuera de él. Acceso por medio de la Plataforma Biblioteca OPAC </t>
  </si>
  <si>
    <t>Biblioteca es la dependencia encargada de administrar el catalogo en línea LOCATE</t>
  </si>
  <si>
    <t xml:space="preserve">Es una plataforma de búsqueda y descubrimiento que permite a los usuarios encontrar recursos de información de la biblioteca, incluyendo bases de datos, libros electrónicos y revistas, a través de un único cuadro de búsqueda. 
</t>
  </si>
  <si>
    <t>Catalogo en línea Sistema de Biblioteca donde se consulta todos los recursos impresos disponibles en la diferentes biblioteca. "Locate" se refiere a la solución de catálogo de acceso público en línea.</t>
  </si>
  <si>
    <t>https://udistrital.locate.ebsco.com/search</t>
  </si>
  <si>
    <t>Biblioteca es la dependencia encargada de administrar el descubridor-EDS</t>
  </si>
  <si>
    <t>Recurso adquirido por suscripción 2018</t>
  </si>
  <si>
    <t>Emerald</t>
  </si>
  <si>
    <t>BIOONE</t>
  </si>
  <si>
    <t>MATHSCINET</t>
  </si>
  <si>
    <t>O´REALLY</t>
  </si>
  <si>
    <t>CAS</t>
  </si>
  <si>
    <t>VIRTUAL PRO</t>
  </si>
  <si>
    <t>2025*consultas</t>
  </si>
  <si>
    <t>PASA LA PAGINA*usos</t>
  </si>
  <si>
    <t>EBSCO HOST (**usos)</t>
  </si>
  <si>
    <t>Centro De Investigación Y Educación Popular / Programa Por La Paz - Cinep</t>
  </si>
  <si>
    <t>Fundación Universitaria Cervantina De San Agustín - Unicerventina</t>
  </si>
  <si>
    <t>Ministerio Del Medio Ambiente vivienda y desarrollo territorial</t>
  </si>
  <si>
    <t>Universidad Jorge Tadeo Lozano</t>
  </si>
  <si>
    <t>Uniempresarial Fundacion Universitaria Empresarial De La Camara De Comercio De Bogota</t>
  </si>
  <si>
    <t>Biblioteca Luis Angel Arango</t>
  </si>
  <si>
    <t>Corporación Educativa Indoamericana</t>
  </si>
  <si>
    <t>Fundacion Universitaria Colombo Germana</t>
  </si>
  <si>
    <t>Fundación Universitaria Sanitas</t>
  </si>
  <si>
    <t>Jardin Botanico de Bogotá José Celestino Mutis</t>
  </si>
  <si>
    <t>Sena Centro De Gestión De Mercados, Logística Y Tecnologías De La Información</t>
  </si>
  <si>
    <t>Universidad Nacional Abierta Y A Distancia Unad</t>
  </si>
  <si>
    <t>Universitaria Politécnico Grancolombiano</t>
  </si>
  <si>
    <t>Artesanías de Colombia</t>
  </si>
  <si>
    <t>Fundación Universitaria San Martín</t>
  </si>
  <si>
    <t>Corporación Universitaria Taller 5</t>
  </si>
  <si>
    <t>Escuela de Ingenieros Militares</t>
  </si>
  <si>
    <t>Escuela de Suboficiales de la Fuerza Aéreoespacial</t>
  </si>
  <si>
    <t>Universidad De La Costa CUC</t>
  </si>
  <si>
    <t>Instituto Distrital de Patrimonio Cultural</t>
  </si>
  <si>
    <t>SERVICIOS CRAI+10: RECURSOS ADQUIRIDOS_SUSCRIPCIÓN BASES DE DATOS  POR PROYECTO CURRICULAR Y DISPONIBLES EN LA BIBLIOTECA</t>
  </si>
  <si>
    <t>Base de datos</t>
  </si>
  <si>
    <t xml:space="preserve">Acceso por suscripción (47)
</t>
  </si>
  <si>
    <t>Acceso abierto (40)
Gestores Bibliográficos (2)
Guías (1)
Herramientas de investigación (4)
Términos (1)</t>
  </si>
  <si>
    <t>Academic Search Complete (EBSCO)</t>
  </si>
  <si>
    <t>Applied Science &amp; Technology Full Text (H.W. Wilson) (EBSCO)</t>
  </si>
  <si>
    <t>Banco de Imágenes de Bogotá</t>
  </si>
  <si>
    <t>Biblioteca Digital Mundial</t>
  </si>
  <si>
    <t>BioOne </t>
  </si>
  <si>
    <t>CINEP</t>
  </si>
  <si>
    <t>CLACSO</t>
  </si>
  <si>
    <t>Dialnet</t>
  </si>
  <si>
    <t>Digitalia Films Library</t>
  </si>
  <si>
    <t>Digitalia Hispanica</t>
  </si>
  <si>
    <t>DOAJ</t>
  </si>
  <si>
    <t>E-books 7/24</t>
  </si>
  <si>
    <t>E-collection (icontec)</t>
  </si>
  <si>
    <t>E-Revistas</t>
  </si>
  <si>
    <t>EBook Collection (EBSCOhost)</t>
  </si>
  <si>
    <t>Encyclopedia Britanica</t>
  </si>
  <si>
    <t>Environment Complete (EBSCO)</t>
  </si>
  <si>
    <t>ERIC</t>
  </si>
  <si>
    <t>F1000Investigación</t>
  </si>
  <si>
    <t>agris fao</t>
  </si>
  <si>
    <t>Fuente Académica Plus (EBSCO)</t>
  </si>
  <si>
    <t>Highwire</t>
  </si>
  <si>
    <t>Latindex</t>
  </si>
  <si>
    <t>MasterFILE Elite (EBSCO)</t>
  </si>
  <si>
    <t>MasterFILE Reference eBook Collection (EBSCO)</t>
  </si>
  <si>
    <t>Mendeley</t>
  </si>
  <si>
    <t>MIAR</t>
  </si>
  <si>
    <t>Nature</t>
  </si>
  <si>
    <t>Newspaper Source (EBSCO)</t>
  </si>
  <si>
    <t>Oxford Learner´s Dictionaries</t>
  </si>
  <si>
    <t>Oxford University Press</t>
  </si>
  <si>
    <t>Pasa la página</t>
  </si>
  <si>
    <t>Plants of the World Online</t>
  </si>
  <si>
    <t>Pub-med</t>
  </si>
  <si>
    <t>Publindex</t>
  </si>
  <si>
    <t>Real Academia Española</t>
  </si>
  <si>
    <t>Reaxys</t>
  </si>
  <si>
    <t>Redalyc</t>
  </si>
  <si>
    <t>REDIB (Red Iberoamericana de Innovación y Conocimiento Científico)</t>
  </si>
  <si>
    <t>Regional Business News (EBSCO)</t>
  </si>
  <si>
    <t>Revistas UNAM</t>
  </si>
  <si>
    <t>Revistas Universidad Distrital</t>
  </si>
  <si>
    <t>SAGE Books</t>
  </si>
  <si>
    <t>SAGE Publishing</t>
  </si>
  <si>
    <t>SCIELO</t>
  </si>
  <si>
    <t>Scimago Institutions Rankin</t>
  </si>
  <si>
    <t>SIDALC (Servicios de Información Agropecuaria en las Américas)</t>
  </si>
  <si>
    <t>SJR (Scimago Journal Ranking)</t>
  </si>
  <si>
    <t>Springer Books</t>
  </si>
  <si>
    <t>Taylor &amp; Francis</t>
  </si>
  <si>
    <t>VirtualPro</t>
  </si>
  <si>
    <t>Web Of Science</t>
  </si>
  <si>
    <t>Zotero</t>
  </si>
  <si>
    <t>Domina las normas APA: tu guía completa para citar y referenciar con excelencia</t>
  </si>
  <si>
    <t>Potenciando la investigación con IA: estrategias de búsqueda y recuperación de información</t>
  </si>
  <si>
    <t>Publica tu trabajo de grado en el RIUD: taller paso a paso</t>
  </si>
  <si>
    <t>Presentaciones interactivas: captura la atención y potencia tu mensaje</t>
  </si>
  <si>
    <t>Gamificación: innovando la educación en el aula</t>
  </si>
  <si>
    <t>Diseño de podcast: crea, relata y comunica con propósito</t>
  </si>
  <si>
    <t xml:space="preserve">Creación y edición de video </t>
  </si>
  <si>
    <t>Actualiza tu huella en la ciencia: taller de firma y optimización del perfil del investigador</t>
  </si>
  <si>
    <t>Impacta tu investigación: taller de publicación en revistas top</t>
  </si>
  <si>
    <t>Acceso y ciencia abierta: impulsando la sociedad del conocimiento</t>
  </si>
  <si>
    <t>Conectando con la ciencia: uso de revistas de alto Impacto en tu investigacion</t>
  </si>
  <si>
    <t>Redes bibliométricas: estrategias para la toma de decisiones en investigación y publicación</t>
  </si>
  <si>
    <t>Conexión estrategica</t>
  </si>
  <si>
    <t>PROYECTO CURRICULAR</t>
  </si>
  <si>
    <t>2025 Total Área Mts2</t>
  </si>
  <si>
    <t>Datos propios de biblioteca. Corte 30/7/2024. En la vigencia 2022 la Biblioteca Administración Deportiva fue cerrada por condiciones de infraestructura de la Universidad Distrital Francisco Jose de Caldas
En la vigencia 2023 la Biblioteca Posgrados fue reubicada de lugar por tanto la disminución en metros cuadrados.</t>
  </si>
  <si>
    <t>Guías de Autoaprendizaje (visualizaciones)</t>
  </si>
  <si>
    <t>AGRIS</t>
  </si>
  <si>
    <t xml:space="preserve"> -   </t>
  </si>
  <si>
    <t xml:space="preserve">x </t>
  </si>
  <si>
    <t>Servicios que dan soporte presencial y/o virtual en herramientas y/o tecnologías para toda la comunidad universitaria.</t>
  </si>
  <si>
    <t>Préstamo   sonoteca</t>
  </si>
  <si>
    <t xml:space="preserve">- </t>
  </si>
  <si>
    <t>Préstamo   videoteca</t>
  </si>
  <si>
    <t>Servicio multimedia Videojuegos</t>
  </si>
  <si>
    <t>Talleres (asistentes)</t>
  </si>
  <si>
    <t>Asesorías-Alianzas - Talleres</t>
  </si>
  <si>
    <t>Accesos Recursos electrónicos (Bdigital) usos</t>
  </si>
  <si>
    <t>BDIGITAL -Recursos electrónicos http://bdigital.udistrital.edu.co</t>
  </si>
  <si>
    <t>Sitio el cual permitió ordena los recursos electrónicos (bases de datos) en un solo lugar, a fin que el Usuario realice las búsquedas de acuerdo con sus necesidades de información diigital  tanto a Recursos Propios, suscritos,  como Open Access.</t>
  </si>
  <si>
    <t>Guías de autoaprendizaje (Visitas)</t>
  </si>
  <si>
    <t>Serivicio de consulta guías bibliotecarias</t>
  </si>
  <si>
    <t>Servicio de Descubrimiento INDEX-K http://index-k.udistrital.edu.co</t>
  </si>
  <si>
    <t>Servicio que recoge en un solo índice bibliográfico el Catalogo Bibliográfico de la Universidad, el repositorio Institucional, los Recursos Electrónicos comerciales contratados por la Universidad, Catalogo Bibliográficos de otras Instituciones Nacionales e Internacionales y Recursos de Acceso Abierto (OpenAccess).</t>
  </si>
  <si>
    <t>Sistema de Información que reúne, preserva, divulga y da acceso a la producción académica e investigativa de la comunidad universitaria.</t>
  </si>
  <si>
    <t xml:space="preserve">El repositorio digital institucional es creado mantenido y autorizado por el Sistema de Bibliotecas con el fin de recoger los contenidos digitales generados en la actividad de los miembros de la institución, en este caso trabajos de grado, tesis, disertaciones, investigaciones y producción académica GIB-PR-007, Registro y Entrega de Trabajos de Grado en el Repositorio Institucional, RIUD  </t>
  </si>
  <si>
    <t xml:space="preserve">  </t>
  </si>
  <si>
    <t>Tutorias</t>
  </si>
  <si>
    <t>Tutorías (asistentes)</t>
  </si>
  <si>
    <t>Tutorías_Talleres (asistentes)</t>
  </si>
  <si>
    <t>Formaciones</t>
  </si>
  <si>
    <t>Informes</t>
  </si>
  <si>
    <t>Informes bibliométricos y cienciométricos</t>
  </si>
  <si>
    <t>Asesorías</t>
  </si>
  <si>
    <t>Asesoría de firma científica del autor y la institución</t>
  </si>
  <si>
    <t>Asesoría en Perfiles del investigador para incrementar la visibilidad y la citación</t>
  </si>
  <si>
    <t xml:space="preserve">Asesoría Divulgación de Productos Académicos y Científicos Crai 12 </t>
  </si>
  <si>
    <t xml:space="preserve">TOTAL USUARIOS </t>
  </si>
  <si>
    <t>Conformada por los ejemplares seleccionados de la colección general, que por su alto nivel de rotación requieren un tiempo de préstamo especial,  a fin de garantizar la disponibilidad de la información para el usuario</t>
  </si>
  <si>
    <t>Colección Trabajos de grado (Impreso)</t>
  </si>
  <si>
    <t>Biblioteca Heliodoro Sanchéz Paez - Sede Porvenir-Asab</t>
  </si>
  <si>
    <t>Colección Memoria Institucional</t>
  </si>
  <si>
    <t>Títulos Colección Bibliográfica impresa sistema de información bibliográfico SIB</t>
  </si>
  <si>
    <t>Colección Multimedia</t>
  </si>
  <si>
    <t>Colección Hemeroteca</t>
  </si>
  <si>
    <t>Fondo Archivo Sonoro Antonio Cuellar</t>
  </si>
  <si>
    <t>Ediciones de la U</t>
  </si>
  <si>
    <t>Editoriales universitarias (CIB - Univ. del Valle Bolivia)</t>
  </si>
  <si>
    <t>Reverte</t>
  </si>
  <si>
    <t>Alfagrama</t>
  </si>
  <si>
    <t>Art &amp; Architecture Source (EBSCO)</t>
  </si>
  <si>
    <t>ArXiv</t>
  </si>
  <si>
    <t>Biblioteca Jurídica Virtual – ASTREA</t>
  </si>
  <si>
    <t>Business Source Complete (EBSCO)</t>
  </si>
  <si>
    <t>CAS SciFinder Discovery Platform</t>
  </si>
  <si>
    <t>Education Source (EBSCO)</t>
  </si>
  <si>
    <t>El Cofre</t>
  </si>
  <si>
    <t>Eprints In Library And Information Science</t>
  </si>
  <si>
    <t>EUREKA</t>
  </si>
  <si>
    <t>Freebooks4doctors</t>
  </si>
  <si>
    <t>GreenFILE (EBSCO)</t>
  </si>
  <si>
    <t>Herbario Forestal UDBC</t>
  </si>
  <si>
    <t>History of Science, Technology and Medicine (EBSCO)</t>
  </si>
  <si>
    <t>International Bibliography of Theatre &amp; Dance with Full Text (EBSCO)</t>
  </si>
  <si>
    <t>IOP Science</t>
  </si>
  <si>
    <t>IPNI</t>
  </si>
  <si>
    <t>Jstor OS</t>
  </si>
  <si>
    <t>Library, Information Science &amp; Technology Abstracts (EBSCO)</t>
  </si>
  <si>
    <t>Naxos Music Jazz</t>
  </si>
  <si>
    <t>O'Reilly</t>
  </si>
  <si>
    <t>SPORTDiscus with Full Text (EBSCO)</t>
  </si>
  <si>
    <t>Viref - Biblioteca Virtual de Educación Física</t>
  </si>
  <si>
    <t>IC Editorial</t>
  </si>
  <si>
    <t>DIGITALIA PUBLISHING</t>
  </si>
  <si>
    <t>NOMBRE INSTITUCION</t>
  </si>
  <si>
    <t>NIT</t>
  </si>
  <si>
    <t>UNIDAD</t>
  </si>
  <si>
    <t>DIRECCION</t>
  </si>
  <si>
    <t>ALIANZA</t>
  </si>
  <si>
    <t>TIPO ENTIDAD</t>
  </si>
  <si>
    <t>SERVICIO</t>
  </si>
  <si>
    <t>ENLACE WEB</t>
  </si>
  <si>
    <t>ENLACE CATALOGO</t>
  </si>
  <si>
    <t>AÑO ACTIVACIÓN</t>
  </si>
  <si>
    <t>FECHA ACTIVACION</t>
  </si>
  <si>
    <t>Camara De Comercio De Bogotá</t>
  </si>
  <si>
    <t>860040470-1</t>
  </si>
  <si>
    <t xml:space="preserve">Biblioteca Chapienro </t>
  </si>
  <si>
    <t>Calle 67 #8-32, piso 1 – Chapinero</t>
  </si>
  <si>
    <t>Alianza Interbibliotecaria</t>
  </si>
  <si>
    <t>Publica</t>
  </si>
  <si>
    <t>Nacional</t>
  </si>
  <si>
    <t>https://bibliotecadigital.ccb.org.co/home</t>
  </si>
  <si>
    <t>890910961-7</t>
  </si>
  <si>
    <t>Biblioteca Antonio Mazo Majía</t>
  </si>
  <si>
    <t>Calle 77 Sur No. 40-165 Vía principal a Sabaneta Antioquia</t>
  </si>
  <si>
    <t>Privada</t>
  </si>
  <si>
    <t>https://aplicaciones.ceipa.edu.co/biblioteca/index.jsp</t>
  </si>
  <si>
    <t>https://aplicaciones.ceipa.edu.co/biblioteca/biblio_digital/catalogo/catalogo.jsp</t>
  </si>
  <si>
    <t>860401734-9</t>
  </si>
  <si>
    <t>Corporación Unificada Nacional de Educación Superior - CUN</t>
  </si>
  <si>
    <t>Carrera 12B No. 4-79 Bogotá</t>
  </si>
  <si>
    <t>https://cun.edu.co/bibliotecas</t>
  </si>
  <si>
    <t>https://biblioteca.cun.edu.co/</t>
  </si>
  <si>
    <t>800116217-2</t>
  </si>
  <si>
    <t>Biblioteca Rafael García-Herreros</t>
  </si>
  <si>
    <t>Cra 73 A N° 81B-70</t>
  </si>
  <si>
    <t>http://biblioteca.uniminuto.edu/</t>
  </si>
  <si>
    <t>http://biblioteca.uniminuto.edu/catalogo-en-linea.</t>
  </si>
  <si>
    <t>830011184-5</t>
  </si>
  <si>
    <t>Biblioteca Elvira Concha de Saldarriaga</t>
  </si>
  <si>
    <t>Ak. 15 #151-68, Bogotá</t>
  </si>
  <si>
    <t>Mixta</t>
  </si>
  <si>
    <t>https://www.ecr.edu.co/biblioteca</t>
  </si>
  <si>
    <t>Escuela De Suboficiales Y Nivel Ejecutivo - Policia Nacional</t>
  </si>
  <si>
    <t>800141206-7</t>
  </si>
  <si>
    <t>Biblioteca Espoe</t>
  </si>
  <si>
    <t>VIA SIBATE VEREDA SAN BENITO KILOMETRO 20</t>
  </si>
  <si>
    <t>https://www.policia.gov.co/escuelas/suboficiales/biblioteca</t>
  </si>
  <si>
    <t>https://revistalogos.policia.edu.co:8443/biblioteca/</t>
  </si>
  <si>
    <t>899999054-7</t>
  </si>
  <si>
    <t>Biblioteca &amp; CDIM</t>
  </si>
  <si>
    <t>Calle 44 # 53 -37, CAN, Bogotá D.C.</t>
  </si>
  <si>
    <t>https://www.esap.edu.co/inicio/academia/biblioteca-y-cdim/</t>
  </si>
  <si>
    <t>https://biblioteca.esap.edu.co/</t>
  </si>
  <si>
    <t>Fundacion Universidad De América</t>
  </si>
  <si>
    <t>860006806-7</t>
  </si>
  <si>
    <t>SANIN CANO</t>
  </si>
  <si>
    <t>Avenida Circunvalar No. 20-53 Bogotá</t>
  </si>
  <si>
    <t>https://www.uamerica.edu.co/bibliotecas/</t>
  </si>
  <si>
    <t>660531,081-5</t>
  </si>
  <si>
    <t>Biblioteca uniagraria - la biblioteca verde de colombia</t>
  </si>
  <si>
    <t>Cl. 170 #54a-10, Bogotá</t>
  </si>
  <si>
    <t>https://www.uniagraria.edu.co/category/formacion/biblioteca/</t>
  </si>
  <si>
    <t>https://www.uniagraria.edu.co/catalogo-en-linea/</t>
  </si>
  <si>
    <t xml:space="preserve">Fundacion Universitaria Juan N Corpas </t>
  </si>
  <si>
    <t>860038374-4</t>
  </si>
  <si>
    <t>Carrera 111 No. 159A-61</t>
  </si>
  <si>
    <t>https://www.juanncorpas.edu.co/cic/bases/</t>
  </si>
  <si>
    <t>https://catalogo.juanncorpas.edu.co/</t>
  </si>
  <si>
    <t>860504759-5</t>
  </si>
  <si>
    <t>Biblioteca Juan Alberto Aragón Bateman</t>
  </si>
  <si>
    <t>arrera 9° bis # 62-43 – Piso 2</t>
  </si>
  <si>
    <t>https://biblioteca.konradlorenz.edu.co/</t>
  </si>
  <si>
    <t>860507903-3</t>
  </si>
  <si>
    <t>Biblioteca Digital Magisterio Web 2.0</t>
  </si>
  <si>
    <t>Cra. 16 #63a-68, Bogotá</t>
  </si>
  <si>
    <t>https://www.ulibertadores.edu.co/biblioteca/</t>
  </si>
  <si>
    <t>UNINPAHU - Institución Universitaria</t>
  </si>
  <si>
    <t>860504360-0</t>
  </si>
  <si>
    <t>Biblioteca Hernán Linares</t>
  </si>
  <si>
    <t>Diagonal 40 A. N°18-29 Bogotá</t>
  </si>
  <si>
    <t>https://uninpahu.edu.co/biblioteca/</t>
  </si>
  <si>
    <t>Fundación Universitaria San Mateo</t>
  </si>
  <si>
    <t>800040295-9</t>
  </si>
  <si>
    <t>N/A</t>
  </si>
  <si>
    <t>Transversal 17 Nº 25 - 25 Bogotá</t>
  </si>
  <si>
    <t>https://www.sanmateo.edu.co/biblioteca.php</t>
  </si>
  <si>
    <t>https://apps.sanmateo.edu.co/pub/biblioteca/index.php</t>
  </si>
  <si>
    <t>899999096-6</t>
  </si>
  <si>
    <t>Biblioteca José Manuel Rivas Sacconi</t>
  </si>
  <si>
    <t>Calle 10 # 4-69, Bogotá</t>
  </si>
  <si>
    <t>https://bibliotecadigital.caroycuervo.gov.co/</t>
  </si>
  <si>
    <t>https://www.caroycuervo.gov.co/investigacion/bibliotecas/recursos-electronicos/catalogos-de-otras-bibliotecas/</t>
  </si>
  <si>
    <t xml:space="preserve">Universidad Antonio Nariño </t>
  </si>
  <si>
    <t>860056070-7</t>
  </si>
  <si>
    <t xml:space="preserve">Biblioteca Federman </t>
  </si>
  <si>
    <t>Carrera 3 Este # 47A-15 Bogotá</t>
  </si>
  <si>
    <t>http://biblioteca.uan.edu.co/</t>
  </si>
  <si>
    <t>http://catalogo.uan.edu.co/</t>
  </si>
  <si>
    <t>Fundación Universidad Autónoma De Colombia</t>
  </si>
  <si>
    <t>860034667-9</t>
  </si>
  <si>
    <t>Biblioteca Autonoma de Colombia</t>
  </si>
  <si>
    <t>Calle 12 No. 4-68 Bloque 12</t>
  </si>
  <si>
    <t>http://www.fuac.edu.co/biblioteca</t>
  </si>
  <si>
    <t>http://www.fuac.edu.co/index.php?mod=54</t>
  </si>
  <si>
    <t>860028971-9</t>
  </si>
  <si>
    <t>Biblioteca Universidad Catolica de Colombia</t>
  </si>
  <si>
    <t>Carrera 13 # 47-49 Bogotá</t>
  </si>
  <si>
    <t>https://biblioteca.ucatolica.edu.co/</t>
  </si>
  <si>
    <t>800144829-9</t>
  </si>
  <si>
    <t>Biblioteca Colegio Mayor de Cundinamarca</t>
  </si>
  <si>
    <t xml:space="preserve">Calle 28 No 5 B -02 </t>
  </si>
  <si>
    <t>https://www.unicolmayor.edu.co/universidad/dependencias/vicerrectoria-academica/area-biblioteca</t>
  </si>
  <si>
    <t>https://portalold.unicolmayor.edu.co/portal/index.php?idcategoria=111</t>
  </si>
  <si>
    <t>860006848-6</t>
  </si>
  <si>
    <t>Biblioteca Univesidad Jorge Tadeo Lozano</t>
  </si>
  <si>
    <t>Cra. 4 #22-61</t>
  </si>
  <si>
    <t>https://www.utadeo.edu.co/es/sistema-de-bibliotecas</t>
  </si>
  <si>
    <t>860007759-3</t>
  </si>
  <si>
    <t>CRAI</t>
  </si>
  <si>
    <t>Calle 14 # 6- 25 Torre 1 Piso 4 Bogotá</t>
  </si>
  <si>
    <t>https://catalogo.urosario.edu.co/</t>
  </si>
  <si>
    <t>860026058-1</t>
  </si>
  <si>
    <t>Biblioteca Hildebrando Perico Afanador</t>
  </si>
  <si>
    <t>Cra. 11 No.78-47. Edificio Fundadores</t>
  </si>
  <si>
    <t>https://universidadean.edu.co/biblioteca</t>
  </si>
  <si>
    <t>860401496-0</t>
  </si>
  <si>
    <t>biblioteca Wolmar Casadiego</t>
  </si>
  <si>
    <t>Carrera 19 No. 40 20 Bogotá</t>
  </si>
  <si>
    <t>https://biblioteca.ecci.edu.co/</t>
  </si>
  <si>
    <t>860013720-1</t>
  </si>
  <si>
    <t>Biblioteca General Alfonso Borrero Cabal, S.J.  </t>
  </si>
  <si>
    <t>Edificio Jesús María Fernández, S.J.Cra 7a No. 41-00 Bogotá</t>
  </si>
  <si>
    <t>https://www.javeriana.edu.co/biblos</t>
  </si>
  <si>
    <t>800225340-8</t>
  </si>
  <si>
    <t>Transv. 5 No. 49-00 piso 2</t>
  </si>
  <si>
    <t>https://catalogo.unimilitar.edu.co/</t>
  </si>
  <si>
    <t>860351894-3</t>
  </si>
  <si>
    <t>Biblioteca Sergio Arboleda</t>
  </si>
  <si>
    <t>CALLE 74 # 14-14</t>
  </si>
  <si>
    <t>https://www.usergioarboleda.edu.co/biblioteca</t>
  </si>
  <si>
    <t>https://bibliotecausa.janium.net/janium-bin/busqueda_rapida.pl?Id=20231109183204</t>
  </si>
  <si>
    <t>830027493-6</t>
  </si>
  <si>
    <t>Biblioteca Uniagustiniana</t>
  </si>
  <si>
    <t>Avenida Carrera 86 #11b-95</t>
  </si>
  <si>
    <t>https://www.uniagustiniana.edu.co/biblioteca</t>
  </si>
  <si>
    <t>800.194.297-4</t>
  </si>
  <si>
    <t>Fundación Universitaria San Martín CRAI</t>
  </si>
  <si>
    <t>CRA 18 # 80/25 CRA 15 A 60 -80 Bta</t>
  </si>
  <si>
    <t>https://sanmartin.edu.co/crai/</t>
  </si>
  <si>
    <t>https://biblioteca.sanmartin.edu.co/</t>
  </si>
  <si>
    <t>Biblioteca Alejandro Alvarez Revuelt</t>
  </si>
  <si>
    <t xml:space="preserve">Cra 14 No 79 -80 </t>
  </si>
  <si>
    <t>https://www.taller5.edu.co/</t>
  </si>
  <si>
    <t>https://catalogo.taller5.edu.co/</t>
  </si>
  <si>
    <t xml:space="preserve">Cancillería </t>
  </si>
  <si>
    <t>899999042-9</t>
  </si>
  <si>
    <t xml:space="preserve">Calle 10 No. 5 - 51 </t>
  </si>
  <si>
    <t>biblioteca.cancilleria.gov.co</t>
  </si>
  <si>
    <t>https://biblioteca.cancilleria.gov.co/abcd/opac/php/index.php</t>
  </si>
  <si>
    <t>860005216-7</t>
  </si>
  <si>
    <t>Dirección. Cll. 11 No. 4 -14</t>
  </si>
  <si>
    <t>https://www.banrepcultural.org/bogota/biblioteca-luis-angel-arango</t>
  </si>
  <si>
    <t>860033857-7</t>
  </si>
  <si>
    <t>Biblioteca Javier Giraldo</t>
  </si>
  <si>
    <t>https://www.cinep.org.co/biblio/</t>
  </si>
  <si>
    <t>https://biblioteca.cinep.org.co/</t>
  </si>
  <si>
    <t>Corporación Colombiana De Investigación Agropecuaria Agrosavia</t>
  </si>
  <si>
    <t>800194600-3</t>
  </si>
  <si>
    <t>Biblioteca Agropecuaria de Colombia</t>
  </si>
  <si>
    <t>Km 14 Vía Mosquera - Bogotá</t>
  </si>
  <si>
    <t>https://repository.agrosavia.co/</t>
  </si>
  <si>
    <t>800022076-6</t>
  </si>
  <si>
    <t>Cl. 39 #14-62</t>
  </si>
  <si>
    <t>https://indoamericana.edu.co/</t>
  </si>
  <si>
    <t>Corporacion Universitaria Cenda</t>
  </si>
  <si>
    <t>860504984-6</t>
  </si>
  <si>
    <t>Avenida Caracas No. 35-18</t>
  </si>
  <si>
    <t>https://www.cenda.edu.co/biblioteca-cenda</t>
  </si>
  <si>
    <t xml:space="preserve">Corporacion Universitaria Iberoamericana </t>
  </si>
  <si>
    <t>860503837-7</t>
  </si>
  <si>
    <t>Francisco Xavier Clavigero</t>
  </si>
  <si>
    <t>https://biblioteca.ibero.edu.co/</t>
  </si>
  <si>
    <t>https://catalogo.iberoamericana.edu.co/</t>
  </si>
  <si>
    <t>860510627-6</t>
  </si>
  <si>
    <t>Cl. 76 #N° 12-58, Bogotá</t>
  </si>
  <si>
    <t>https://unitec.edu.co/biblioteca</t>
  </si>
  <si>
    <t>https://unitec.cloudbiteca.com/</t>
  </si>
  <si>
    <t>Escuela Colombiana De Ingeniería Julio Garavito</t>
  </si>
  <si>
    <t>860034811-3</t>
  </si>
  <si>
    <t>Biblioteca Jorge Álvarez Lleras</t>
  </si>
  <si>
    <t>AK 45 (Autonorte) #205-59</t>
  </si>
  <si>
    <t>https://www.escuelaing.edu.co/es/campus/biblioteca/</t>
  </si>
  <si>
    <t>https://catalogo.escuelaing.edu.co/</t>
  </si>
  <si>
    <t>Federación Nacional De Cultivadores De Palma De Aceite  Fedepalma</t>
  </si>
  <si>
    <t>860024423-6</t>
  </si>
  <si>
    <t>Calle 98 No. 70 - 91 Piso 14 y 15 - Centro Empresarial Pontevedra</t>
  </si>
  <si>
    <t>https://web.fedepalma.org/</t>
  </si>
  <si>
    <t>900294120-1</t>
  </si>
  <si>
    <t>Biblioteca Fray Luis de León OSA</t>
  </si>
  <si>
    <t>Calle 209 Nº 104  15</t>
  </si>
  <si>
    <t>https://www.unicervantes.edu.co/recorrido/biblioteca/</t>
  </si>
  <si>
    <t>900407222-1</t>
  </si>
  <si>
    <t>Juliana Lesmes</t>
  </si>
  <si>
    <t>Cra. 5 #20 - 08, Bogotá, Cundinamarca</t>
  </si>
  <si>
    <t>https://www.unigermana.edu.co/</t>
  </si>
  <si>
    <t>830113458-6</t>
  </si>
  <si>
    <t>Biblioteca Sanitas</t>
  </si>
  <si>
    <t>Calle 170 #8 - 41</t>
  </si>
  <si>
    <t>https://www.unisanitas.edu.co/medios-educativos/biblioteca</t>
  </si>
  <si>
    <t>https://www.unisanitas.edu.co/biblioteca</t>
  </si>
  <si>
    <t>830067892-2</t>
  </si>
  <si>
    <t>https://biblioteca.icanh.gov.co/</t>
  </si>
  <si>
    <t>Biblioteca Especializada Enrique Pérez Arbeláez</t>
  </si>
  <si>
    <t>Avenida Calle 63 No. 68-95</t>
  </si>
  <si>
    <t>http://catalogo.jbb.gov.co/cgi-bin/koha/opac-detail.pl?biblionumber=4119</t>
  </si>
  <si>
    <t>https://catalogo.jbb.gov.co/</t>
  </si>
  <si>
    <t>830115395-1</t>
  </si>
  <si>
    <t>https://bibliovirtual.minambiente.gov.co/?AspxAutoDetectCookieSupport=1</t>
  </si>
  <si>
    <t>https://bibliovirtual.minambiente.gov.co/Admin/ReservarMaterial.aspx</t>
  </si>
  <si>
    <t>899999034-1</t>
  </si>
  <si>
    <t>Dirección. Calle 52 No 13 - 65</t>
  </si>
  <si>
    <t>https://www.sena.edu.co/sites/bibliotecas/Paginas/bibliotecas.aspx</t>
  </si>
  <si>
    <t>830084876-6</t>
  </si>
  <si>
    <t>Tv. 34 Bis No. 29ª - 44</t>
  </si>
  <si>
    <t>https://www.uniempresarial.edu.co/biblioteca/</t>
  </si>
  <si>
    <t>860024746-1</t>
  </si>
  <si>
    <t>Biblioteca Universidad Central</t>
  </si>
  <si>
    <t>Cra. 5 # 21-38,Bogotá</t>
  </si>
  <si>
    <t>https://www.ucentral.edu.co/crai/biblioteca-virtual</t>
  </si>
  <si>
    <t>https://ucentral.primo.exlibrisgroup.com/discovery/search?query=any,contains,a,AND&amp;tab=Todo&amp;search_scope=MyInstitution&amp;sortby=rank&amp;vid=57UCEN_INST:57UCEN_INST&amp;mfacet=rtype,include,books,1&amp;lang=es&amp;mode=advanced&amp;offset=0</t>
  </si>
  <si>
    <t>860029924-7</t>
  </si>
  <si>
    <t>Biblioteca Universidad Cooperativa de Colombia</t>
  </si>
  <si>
    <t>Av. Caracas # 37  63</t>
  </si>
  <si>
    <t>https://ucc.edu.co/biblioteca</t>
  </si>
  <si>
    <t xml:space="preserve">860075558-1 </t>
  </si>
  <si>
    <t>Octavio Arizmendi Posada</t>
  </si>
  <si>
    <t>Campus del Puente del Común, Km. 7 Autopista Norte de Chía  Cundinamarca</t>
  </si>
  <si>
    <t>https://www.unisabana.edu.co/biblioteca/</t>
  </si>
  <si>
    <t>860015542-6</t>
  </si>
  <si>
    <t>Biblioteca de la Salle</t>
  </si>
  <si>
    <t>Carrera 5 No. 59A-44</t>
  </si>
  <si>
    <t>https://www.lasalle.edu.co/biblioteca</t>
  </si>
  <si>
    <t>https://ediciones.lasalle.edu.co/catalogo/</t>
  </si>
  <si>
    <t>860007386-1</t>
  </si>
  <si>
    <t>Biblioteca Uniandes</t>
  </si>
  <si>
    <t>Cra. 1ª Este No. 19A - 40, edificio Mario Laserna, Bogotá</t>
  </si>
  <si>
    <t>https://biblioteca.uniandes.edu.co/</t>
  </si>
  <si>
    <t>860066789-6</t>
  </si>
  <si>
    <t>Biblioteca Juan Roa Vasquez.</t>
  </si>
  <si>
    <t>Av. Cra 9 No. 131 A - 02 | Bloque O Bogotá</t>
  </si>
  <si>
    <t>https://biblioteca.unbosque.edu.co/</t>
  </si>
  <si>
    <t>860014918-7</t>
  </si>
  <si>
    <t>Biblioteca U del externado</t>
  </si>
  <si>
    <t>Calle 12 No. 1-17 Este. Edificio E. Bogotá</t>
  </si>
  <si>
    <t>https://www.uexternado.edu.co/biblioteca/prestamo-interbibliotecario/</t>
  </si>
  <si>
    <t>https://www.uexternado.edu.co/biblioteca/</t>
  </si>
  <si>
    <t>860013798-5</t>
  </si>
  <si>
    <t>Biblioteca Gerardo Molina</t>
  </si>
  <si>
    <t>https://www.unilibre.edu.co/bogota/biblioteca/</t>
  </si>
  <si>
    <t>860526545-0</t>
  </si>
  <si>
    <t>https://biblioteca.unad.edu.co/</t>
  </si>
  <si>
    <t>https://biblioteca.unad.edu.co/servicios/catalogo-en-linea</t>
  </si>
  <si>
    <t>899999124-4</t>
  </si>
  <si>
    <t>Biblioteca UPN</t>
  </si>
  <si>
    <t>Cl. 72 #11-86</t>
  </si>
  <si>
    <t>http://catalogo.upn.edu.co/</t>
  </si>
  <si>
    <t>860022382-3</t>
  </si>
  <si>
    <t>biblioteca Alfonso Palacio Rudas.  </t>
  </si>
  <si>
    <t>Carrera 9 No. 45A - 44</t>
  </si>
  <si>
    <t>https://www.unipiloto.edu.co/biblioteca/</t>
  </si>
  <si>
    <t>https://www.unipiloto.edu.co/biblioteca/catalogo-de-busqueda/</t>
  </si>
  <si>
    <t>860012357-6</t>
  </si>
  <si>
    <t>Biblioteca Fray Luis J. Torres</t>
  </si>
  <si>
    <t>Cra. 9 #51-11</t>
  </si>
  <si>
    <t>https://crai.usta.edu.co/</t>
  </si>
  <si>
    <t>860078643-1</t>
  </si>
  <si>
    <t>Biblioteca CityCampus</t>
  </si>
  <si>
    <t>https://www.poli.edu.co/content/biblioteca-virtual-0</t>
  </si>
  <si>
    <t>https://www.poli.edu.co/crea</t>
  </si>
  <si>
    <t>Cra. 46 #18 - 30, Bogotá</t>
  </si>
  <si>
    <t>https://www.esing.mil.co/</t>
  </si>
  <si>
    <t>800141642-5</t>
  </si>
  <si>
    <t>BIBLIOTECA ESUFA</t>
  </si>
  <si>
    <t>Cra. 5 #2 - 92 sur, Madrid, Cundinamarca</t>
  </si>
  <si>
    <t>https://www.esufa.edu.co/es/servicios/biblioteca</t>
  </si>
  <si>
    <t>https://mindefensa.primo.exlibrisgroup.com/discovery/search?vid=57MDN_INST:MDN</t>
  </si>
  <si>
    <t>Biblioteca CUC</t>
  </si>
  <si>
    <t>Cl. 58 #55 - 66, Nte. Centro Historico, Barranquilla, Atlántico</t>
  </si>
  <si>
    <t>https://biblioteca.cuc.edu.co/</t>
  </si>
  <si>
    <t>https://catalogobibliografico.cuc.edu.co/</t>
  </si>
  <si>
    <t>860.506.170-7</t>
  </si>
  <si>
    <t>Centro de Documentación de Patrimonio Cultural</t>
  </si>
  <si>
    <t>Calle 12B # 2-91</t>
  </si>
  <si>
    <t xml:space="preserve">www.idpc.gov.co </t>
  </si>
  <si>
    <t>BiblioRed</t>
  </si>
  <si>
    <t>899999061-9</t>
  </si>
  <si>
    <t>Avenida Carrera 60 No. 57 - 60 Piso 2</t>
  </si>
  <si>
    <t>https://www.biblored.gov.co/</t>
  </si>
  <si>
    <t>https://catalogo.biblored.gov.co/</t>
  </si>
  <si>
    <t>Corporación Universitaria Republicana</t>
  </si>
  <si>
    <t>830065186-1</t>
  </si>
  <si>
    <t>Cra. 7 #19 - 38, Bogotá</t>
  </si>
  <si>
    <t>https://urepublicana.edu.co/pages/biblioteca.php</t>
  </si>
  <si>
    <t>860517302-1</t>
  </si>
  <si>
    <t>Biblioteca Gustavo Eastman Vélez</t>
  </si>
  <si>
    <t>Cl. 69 #15-40, Bogotá</t>
  </si>
  <si>
    <t>https://www.areandina.edu.co/biblioteca</t>
  </si>
  <si>
    <t>https://biblioteca.areandina.edu.co/</t>
  </si>
  <si>
    <t>Fundación Universitaria Monserrate - Unimonserrate</t>
  </si>
  <si>
    <t>860513077-9</t>
  </si>
  <si>
    <t>Biblioteca Virtual Miguel de Cervantes</t>
  </si>
  <si>
    <t>Avenida Calle 68 # 62-11 Bogotá</t>
  </si>
  <si>
    <t>https://www.unimonserrate.edu.co/icreadigital/</t>
  </si>
  <si>
    <t xml:space="preserve">Instituto De Desarrollo Urbano </t>
  </si>
  <si>
    <t>899999081-6</t>
  </si>
  <si>
    <t>Calle 22 No. 6 - 27, Bogotá</t>
  </si>
  <si>
    <t>https://bogota.gov.co/servicios/guia-de-tramites-y-servicios/consulta-bibliografica-en-el-centro-de-documentacion-del-idu-opa</t>
  </si>
  <si>
    <t xml:space="preserve">Institucion Universitaria Latina </t>
  </si>
  <si>
    <t>860516428-4</t>
  </si>
  <si>
    <t>Think Beyond Your Limits</t>
  </si>
  <si>
    <t>Calle 46 # 3-05 Bogotá, Chapinero Alto</t>
  </si>
  <si>
    <t>https://unilatina.edu.co/biblioteca-site/</t>
  </si>
  <si>
    <t>Carrera 6 No.45-52 - Bogotá</t>
  </si>
  <si>
    <t>https://biblioteca.sena.edu.co/</t>
  </si>
  <si>
    <t>Universidad de Ciencias Aplicadas Y Ambientales UDCA</t>
  </si>
  <si>
    <t>860403721-2</t>
  </si>
  <si>
    <t>Sidre</t>
  </si>
  <si>
    <t xml:space="preserve">Cl. 222 #55 - 37 </t>
  </si>
  <si>
    <t>https://biblioteca.udca.edu.co/</t>
  </si>
  <si>
    <t>Universidad Manuela Beltrán</t>
  </si>
  <si>
    <t>860517647-5</t>
  </si>
  <si>
    <t>Biblioteca Manuela Beltran</t>
  </si>
  <si>
    <t>https://umb.edu.co/recursos-de-investigacion/</t>
  </si>
  <si>
    <t>https://umb.edu.co/biblioteca-umb/</t>
  </si>
  <si>
    <t>899999063-3</t>
  </si>
  <si>
    <t>Bilioteca UNAL</t>
  </si>
  <si>
    <t>Carrera 45 # 26-85</t>
  </si>
  <si>
    <t>https://bibliotecas.unal.edu.co/</t>
  </si>
  <si>
    <t>860.007.887-8</t>
  </si>
  <si>
    <t>CENTRO DE DOCUMENTACIÓN PARA LA ARTESANÍA “CENDAR”</t>
  </si>
  <si>
    <t>Carrera 2 No. 18A-58</t>
  </si>
  <si>
    <t>https://cendar.artesaniasdecolombia.com.co/</t>
  </si>
  <si>
    <t>https://cendar.artesaniasdecolombia.com.co/Content/bibliotecas</t>
  </si>
  <si>
    <t>800128835-6</t>
  </si>
  <si>
    <t>Biblioteca-Hemeroteca Ignacio Cubas del AGN</t>
  </si>
  <si>
    <t>Cr. 6 No. 6-91 Bogotá D.C</t>
  </si>
  <si>
    <t>https://www.archivogeneral.gov.co/consulte/biblioteca</t>
  </si>
  <si>
    <t>https://biblioteca.archivogeneral.gov.co/pmb/opac_css/</t>
  </si>
  <si>
    <t>900718378-6</t>
  </si>
  <si>
    <t>Biblioteca Esteban Jaramillo</t>
  </si>
  <si>
    <t xml:space="preserve">Carrera 69 No. 44-35 - 5º piso, Edificio Contraloría </t>
  </si>
  <si>
    <t>https://portalcef.contraloria.gov.co/Biblioteca/Biblioteca-Esteban-Jaramillo</t>
  </si>
  <si>
    <t>https://portalcef.contraloria.gov.co/Biblioteca/Colecciones-Digitales</t>
  </si>
  <si>
    <t>Corporacion Autonoma Regional De Cundinamarca Car</t>
  </si>
  <si>
    <t>900650608-0</t>
  </si>
  <si>
    <t>Centro de documentacion ambiental</t>
  </si>
  <si>
    <t>Carrera 20 No. 37 - 34</t>
  </si>
  <si>
    <t>https://www.car.gov.co/cendoc</t>
  </si>
  <si>
    <t>http://catalogo.car.gov.co/</t>
  </si>
  <si>
    <t>860504543-1</t>
  </si>
  <si>
    <t>Carrera 12 No. 70-44 Bogotá</t>
  </si>
  <si>
    <t>https://itmstrial.libsteps.com/Rumbo/index.php/default_search</t>
  </si>
  <si>
    <t>860404351-5</t>
  </si>
  <si>
    <t>Carrera 21 No. 53D - 35</t>
  </si>
  <si>
    <t>https://www.ctb.edu.co/recursos/</t>
  </si>
  <si>
    <t>830087443-4</t>
  </si>
  <si>
    <t>Carrera 46 # 18 - 30 Cantón Militar Caldas Bogotá D.C</t>
  </si>
  <si>
    <t>https://www.esing.mil.co/biblioteca/</t>
  </si>
  <si>
    <t>Biblioteca esace</t>
  </si>
  <si>
    <t>https://www.epfac.edu.co/es/servicios/biblioteca</t>
  </si>
  <si>
    <t>https://www.policia.gov.co/escuelas/postgrados/biblioteca</t>
  </si>
  <si>
    <t>860404579-7</t>
  </si>
  <si>
    <t>Biblioteca Dra. Miriam Martino</t>
  </si>
  <si>
    <t>Carrera 13 No. 60 - 44, Bogotá</t>
  </si>
  <si>
    <t>https://cidca.conicet.gov.ar/biblioteca/</t>
  </si>
  <si>
    <t>https://biblioteca-cidca.webnode.es/</t>
  </si>
  <si>
    <t>Fundación Universitaria Compensar</t>
  </si>
  <si>
    <t>860506140-6</t>
  </si>
  <si>
    <t>Avenida (Calle) 32 No. 17  30</t>
  </si>
  <si>
    <t>https://crai.ucompensar.edu.co/cgi-bin/koha/opac-library.pl</t>
  </si>
  <si>
    <t>890,985,189-9</t>
  </si>
  <si>
    <t>Biblioteca de la Funlam</t>
  </si>
  <si>
    <t>Av Suba #128A-51, Bogotá</t>
  </si>
  <si>
    <t>https://www.funlam.edu.co/modules/departamentobiblioteca/</t>
  </si>
  <si>
    <t>https://www.funlam.edu.co/modules/departamentobiblioteca/item.php?itemid=74#inicio</t>
  </si>
  <si>
    <t>800108032-3</t>
  </si>
  <si>
    <t>Dg. 40a Bis #16-2, Bogotá</t>
  </si>
  <si>
    <t>https://www.fundalectura.org/</t>
  </si>
  <si>
    <t>https://catalogo.fundalectura.org/content/catalogo-de-autores-e-ilustradores-colombianos-de-lij</t>
  </si>
  <si>
    <t>Ideam -Instituto De Hidrología, Meteorología Y Estudios Ambientales</t>
  </si>
  <si>
    <t>830000602-5</t>
  </si>
  <si>
    <t>Dirección: Calle 25 D No. 96 B - 70</t>
  </si>
  <si>
    <t>http://documentacion.ideam.gov.co/</t>
  </si>
  <si>
    <t>830015104-4</t>
  </si>
  <si>
    <t>Biblioteca Érico Veríssimo</t>
  </si>
  <si>
    <t>Calle 104 No. 15 - 31 Piso 6 - Bogotá</t>
  </si>
  <si>
    <t>https://biblioteca.ibraco.co/pmb/opac_css/</t>
  </si>
  <si>
    <t>Instituto Geografico Agustin Codazzi</t>
  </si>
  <si>
    <t>899999004-9</t>
  </si>
  <si>
    <t>Carrera 30 Nº 48-51</t>
  </si>
  <si>
    <t>www.bit.ly/BibliotecaVirtualIGAC</t>
  </si>
  <si>
    <t>860076579-9</t>
  </si>
  <si>
    <t>Fasecolda</t>
  </si>
  <si>
    <t>Carrera 7 # 26-20 Bogotá</t>
  </si>
  <si>
    <t>https://www.ins.edu.co/biblioteca/</t>
  </si>
  <si>
    <t>https://biblioteca.fasecolda.com/</t>
  </si>
  <si>
    <t>800029090-1</t>
  </si>
  <si>
    <t>Avenida Calle 13 # 68d-70 Bogotá</t>
  </si>
  <si>
    <t>https://icaft.edu.co/bibliotecaicaft/</t>
  </si>
  <si>
    <t>http://icaft.catalogokohaplus.com/</t>
  </si>
  <si>
    <t>89999906-1</t>
  </si>
  <si>
    <t>Av Caracas No. 54 -38</t>
  </si>
  <si>
    <t>https://www.ambientebogota.gov.co/search?p_p_id=101&amp;p_p_lifecycle=0&amp;p_p_state=maximized&amp;p_p_mode=view&amp;_101_struts_action=%2Fasset_publisher%2Fview_content&amp;_101_returnToFullPageURL=https%3A%2F%2Fwww.ambientebogota.gov.co%2Fsearch%3Fp_auth%3DYnpktKEW%26p_p_id%3D3%26p_p_lifecycle%3D1%26p_p_state%3Dnormal%26p_p_state_rcv%3D1&amp;_101_assetEntryId=409359&amp;_101_type=content&amp;_101_urlTitle=biblioteca-virtual&amp;inheritRedirect=true</t>
  </si>
  <si>
    <t>890801063-0</t>
  </si>
  <si>
    <t>Sistema de bibliotecas U Caldas</t>
  </si>
  <si>
    <t>Cl. 65 #26-10, Manizales, Caldas</t>
  </si>
  <si>
    <t>https://catalogo.ucaldas.edu.co/</t>
  </si>
  <si>
    <t>https://biblio.ucaldas.edu.co/</t>
  </si>
  <si>
    <t>890480123-5</t>
  </si>
  <si>
    <t>Biblioteca Unicartagena</t>
  </si>
  <si>
    <t>Avenida del Consulado #Calle 30 No. 48 152 Cartagena, Cartagena, Bolívar</t>
  </si>
  <si>
    <t>https://www.unicartagena.edu.co/biblioteca/</t>
  </si>
  <si>
    <t>https://repositorio.unicartagena.edu.co/handle/11227/15108</t>
  </si>
  <si>
    <t>890902920-1</t>
  </si>
  <si>
    <t>Biblioteca UniMedellin</t>
  </si>
  <si>
    <t>Cra. 87 #30-65, Medellín, Antioquia</t>
  </si>
  <si>
    <t>https://biblioteca.udemedellin.edu.co/catalogos/</t>
  </si>
  <si>
    <t>No ha llegado el correo</t>
  </si>
  <si>
    <t>890307400-1</t>
  </si>
  <si>
    <t> Fray Alberto Montealegre González</t>
  </si>
  <si>
    <t>Carrera 8H # 172-20 - Bogotá</t>
  </si>
  <si>
    <t>https://www.usbbog.edu.co/biblioteca/</t>
  </si>
  <si>
    <t>https://www.usbbog.edu.co/biblioteca/nuestra-coleccion/</t>
  </si>
  <si>
    <t>890101681-9</t>
  </si>
  <si>
    <t>Biblioteca Karl C. Parrish Jr. </t>
  </si>
  <si>
    <t>Km. 5 vía Puerto ColombiaÁrea Metropolitana de Barranquilla</t>
  </si>
  <si>
    <t>https://www.uninorte.edu.co/web/biblioteca</t>
  </si>
  <si>
    <t>Universidad Del Tolima</t>
  </si>
  <si>
    <t>890700640-7</t>
  </si>
  <si>
    <t>Rafael Parga Cortez</t>
  </si>
  <si>
    <t>Barrio santa Helena Parte alt- Ibague Tolima</t>
  </si>
  <si>
    <t>http://administrativos.ut.edu.co/simbolos/31-vicedesarrollo-humano/biblioteca.html</t>
  </si>
  <si>
    <t>https://catalogo.ut.edu.co/</t>
  </si>
  <si>
    <t>860011285-1</t>
  </si>
  <si>
    <t>https://institucional.unincca.edu.co/</t>
  </si>
  <si>
    <t>860015685-0</t>
  </si>
  <si>
    <t>Biblitoteca la Gran Colombia</t>
  </si>
  <si>
    <t>Cll 12 B # 5-59 Bogotá</t>
  </si>
  <si>
    <t>https://biblioteca.ugc.edu.co/</t>
  </si>
  <si>
    <t>890902922-6</t>
  </si>
  <si>
    <t>Biblioteca Pontifica Bolivariana</t>
  </si>
  <si>
    <t>Cra. 7 ## 33- 91</t>
  </si>
  <si>
    <t>https://www.upb.edu.co/es/sistema-de-bibliotecas/servicios</t>
  </si>
  <si>
    <t>https://catalogoenlinea.upb.edu.co/janium-bin/busqueda_rapida.pl?Id=20231109184252</t>
  </si>
  <si>
    <t>Servicio Nacional de Aprendizaje SENA - Centro De Manufactura En Textil Y Cuero</t>
  </si>
  <si>
    <t>899.999.034-1</t>
  </si>
  <si>
    <t>Avenida 30 No 17B-25 Sur</t>
  </si>
  <si>
    <t xml:space="preserve">https://biblioteca.sena.edu.co/paginas/equipo.html </t>
  </si>
  <si>
    <t>Calle 74 No. 14-14 Bogotá</t>
  </si>
  <si>
    <t>hemerotecausabogota@usa.edu.co</t>
  </si>
  <si>
    <t>Diagonal 53 N0. 34 - 53</t>
  </si>
  <si>
    <t>https://catalogo.sgc.gov.co/</t>
  </si>
  <si>
    <t>Escuela De Diseño Lci Fundacion Tecnologica</t>
  </si>
  <si>
    <t>900262351-9</t>
  </si>
  <si>
    <t>Calle 77A # 13-12</t>
  </si>
  <si>
    <t>https://www.lci.edu.co/servicios-estudiantiles/biblioteca</t>
  </si>
  <si>
    <t xml:space="preserve">Fundación De Educación Superior San José </t>
  </si>
  <si>
    <t>860524219-5</t>
  </si>
  <si>
    <t>Av Caracas #63 - 17</t>
  </si>
  <si>
    <t>Cl. 67 #14a 29 Bogotá</t>
  </si>
  <si>
    <t>https://sitio.usanjose.edu.co/links-bibliotecas-publicas/</t>
  </si>
  <si>
    <t xml:space="preserve">Fundacion Universitaria Cafam </t>
  </si>
  <si>
    <t>900262398-4</t>
  </si>
  <si>
    <t>Epistemonikos.</t>
  </si>
  <si>
    <t>AVENIDA CARRERA 68 90 88 BLOQUE 1 PISO 1</t>
  </si>
  <si>
    <t>https://www.unicafam.edu.co/index.php/biblioteca/</t>
  </si>
  <si>
    <t>Politécnico Internacional</t>
  </si>
  <si>
    <t>900002845-0</t>
  </si>
  <si>
    <t>Scientific Electronic Library Online</t>
  </si>
  <si>
    <t>Autopista Sur No. 67  71</t>
  </si>
  <si>
    <t>https://campusvirtual.politecnicointernacional.edu.co/mod/page/view.php?id=525</t>
  </si>
  <si>
    <t>Secretaria De Educacion Del Distrito</t>
  </si>
  <si>
    <t>Av. El Dorado #66-63</t>
  </si>
  <si>
    <t>https://bibliotecasescolares.educacionbogota.edu.co/</t>
  </si>
  <si>
    <t>Tecnológica Del Sur</t>
  </si>
  <si>
    <t>90062917-9</t>
  </si>
  <si>
    <t>Carrera 5 No 23  16 Bogotá</t>
  </si>
  <si>
    <t>https://www.educaweb.com.co/centro/tecnologica-sur-48671/</t>
  </si>
  <si>
    <t xml:space="preserve">Universidad Del Cauca </t>
  </si>
  <si>
    <t>891500319-2</t>
  </si>
  <si>
    <t>Biblioteca Central José María Serrano Prada</t>
  </si>
  <si>
    <t>http://biblio.unicauca.edu.co/</t>
  </si>
  <si>
    <t>Universidad Simón Bolivar</t>
  </si>
  <si>
    <t>890104633-9</t>
  </si>
  <si>
    <t>Biblioteca Virtual LatAm</t>
  </si>
  <si>
    <t>Cl. 15 #142</t>
  </si>
  <si>
    <t>https://biblioteca.unisimon.edu.co/</t>
  </si>
  <si>
    <t>https://bibliotecas.udistrital.edu.co/nosotros/alianzas</t>
  </si>
  <si>
    <t xml:space="preserve">Consulta Servicios: </t>
  </si>
  <si>
    <t>Inteligencia Artificial en la Ciencia: Potenciando la Investigación y el Desarrollo del Conocimiento</t>
  </si>
  <si>
    <t>Física</t>
  </si>
  <si>
    <t>Química</t>
  </si>
  <si>
    <t>Matemáticas</t>
  </si>
  <si>
    <t>Lecto-escritura</t>
  </si>
  <si>
    <t>Biología</t>
  </si>
  <si>
    <t xml:space="preserve">Datos propios del Sistema de Bibliotecas. 30 de junio del  2026 </t>
  </si>
  <si>
    <t>Fuente: SIB 30/06/2026 Los títulos son acumulados por vigencia</t>
  </si>
  <si>
    <t>SERVICIOS CRAI+2: PRESTAMOS RECURSOS BIBLIOGRÁFICOS (impresos y digitales) BIBLIOTECA POR FACULTAD, POR PROYECTO CURRICULAR 2018 - 2026</t>
  </si>
  <si>
    <t>NUMERO DE ESTUDIANTES QUE  SOLICITARON PRESTAMO BIBLIOGRÁFICOS, PRÉSTAMOS TECNOLOGIA Y CONSULTAS BDIGITAL POR FACULTAD, POR PROYECTO CURRICULAR  2018 -2026 (Computadores, libros, casilleros, bases de datos entre otros)</t>
  </si>
  <si>
    <t>SERVICIOS CRAI+2: PRESTAMOS RECURSOS BIBLIOGRÁFICOS (impresos y digitales) BIBLIOTECA POR FACULTAD, POR PROYECTO CURRICULAR 2018 -2026</t>
  </si>
  <si>
    <t>NUMERO DE ESTUDIANTES QUE CONSULTARON LIBROS, BDIGITAL POR FACULTAD - POR PROYECTO CURRICULAR  EN EL SISTEMA DE BIBLIOTECAS 2018 -2026</t>
  </si>
  <si>
    <t>SERVICIOS CRAI+6: COLECCIONES DIGITALS BDIGITAL - CONSULTA ACCESO A RECURSOS ELECTRONICOS - BASES DE DATOS BDIGITAL BIBLIOTECA POR FACULTAD  POR PROYECTO CURRICULAR 2018 -2026</t>
  </si>
  <si>
    <t>SERVICIOS CRAI+6: CONSULTA ACCESO A RECURSOS ELECTRONICOS - BASES DE DATOS BDIGITAL BIBLIOTECA POR FACULTAD  POR PROYECTO CURRICULAR 2018 -2026</t>
  </si>
  <si>
    <t>COLECCIÓN DIGITAL PATRIMONIAL - REPOSITORIO INSTITUCIONAL RIUD 2018-2026</t>
  </si>
  <si>
    <t>SERVICIOS CRAI+6: CONSULTAS COLECCIONES REPOSITORIO INSTITUCIONAL RIUD 2020 -2026</t>
  </si>
  <si>
    <t>SERVICIOS CRAI+11 DESARROLLO DE COMPETENCIAS ACADÉMICAS PLAN DE FORMACIÓN  BIBLIOTECA 2023-2026</t>
  </si>
  <si>
    <t xml:space="preserve">-   </t>
  </si>
  <si>
    <t>Consultas catalogo en línea EDS-descubridor</t>
  </si>
  <si>
    <t>Autoprestamo-autodevolución</t>
  </si>
  <si>
    <t>Asesoramiento creativo ydesarrollo de proyectos (asistentes)</t>
  </si>
  <si>
    <t>Laboratorios de creación</t>
  </si>
  <si>
    <t>FECHA DE CIERRE</t>
  </si>
  <si>
    <t>Alianza Estrategica</t>
  </si>
  <si>
    <t>Pública</t>
  </si>
  <si>
    <t>Carrera 5 No. 33B - 02,segundo piso Bogotá</t>
  </si>
  <si>
    <t>https://www.cenda.edu.co/servicios-virtuales-disponibles-biblioteca-cenda</t>
  </si>
  <si>
    <t>Calle 67 N 5-27.</t>
  </si>
  <si>
    <t>https://republicana.redbiblio.net/</t>
  </si>
  <si>
    <t>Departamento Administrativo de la Defensoría del Espacio Público (DADEP)</t>
  </si>
  <si>
    <t xml:space="preserve">Nacional </t>
  </si>
  <si>
    <t>Servicio Geológico Colombiano (SGC)</t>
  </si>
  <si>
    <t>899.999.294-8</t>
  </si>
  <si>
    <t>Sistema Nacional de Bibliotecas "Enrique Hubach Eggers</t>
  </si>
  <si>
    <t>https://www.ecr.edu.co/biblioteca/?gad_source=1&amp;gad_campaignid=23575304378&amp;gbraid=0AAAAAC04ONuW31ZBfyGKv1sBb3jhkw06O&amp;gclid=Cj0KCQiA8KTNBhD_ARIsAOvp6DIJrKLQXv5urMNoqsxUSnXPzTuqHeUK6iygYoGRawC5z6WkcVh0S38aAmJlEALw_wcB</t>
  </si>
  <si>
    <t>Privado</t>
  </si>
  <si>
    <t>Biblioteca de la Escuela de Armas</t>
  </si>
  <si>
    <t>https://www.mindefensa.gov.co/estrategia-y-planeacion/sibfup</t>
  </si>
  <si>
    <t>Escuela de Postgrados de la Fuerza Aeroespacial Colombiana - EPFAC</t>
  </si>
  <si>
    <t>Carrera 11 No. 102-50 Oficina 412 </t>
  </si>
  <si>
    <t xml:space="preserve">Escuela De Postgrados De Policía </t>
  </si>
  <si>
    <t>Miguel Antonio Lleras Pizarro</t>
  </si>
  <si>
    <t>Av. Boyacá No. 142ª-55 Edifício POLIS – PISO 5</t>
  </si>
  <si>
    <t>https://www.unigermana.edu.co/campus/biblioteca-2</t>
  </si>
  <si>
    <t>https://biblioteca.konradlorenz.edu.co/cgi-bin/koha/opac-search.pl?idx=&amp;q=ARTE+&amp;weight_search=1</t>
  </si>
  <si>
    <t>https://catalogo.libertadores.edu.co/?q=aRTES&amp;idx=kw</t>
  </si>
  <si>
    <t>https://catalogo.uninpahu.edu.co/</t>
  </si>
  <si>
    <t>Alicia Dussán de Reichel</t>
  </si>
  <si>
    <t>Calle 12 B N° 2-37 edificio Gregorio Hernández de Alba</t>
  </si>
  <si>
    <t>Internacional</t>
  </si>
  <si>
    <t>Calle 37 No. 8 - 40</t>
  </si>
  <si>
    <t>Publico</t>
  </si>
  <si>
    <t>Calle 5 4-70 Popayán - Cauca</t>
  </si>
  <si>
    <t>https://www.unicauca.edu.co/vicerrectoria-academica/division-de-gestion-de-medios-y-recursos-bibliograficos/catalogo-y-repositorio/</t>
  </si>
  <si>
    <t>Biblioteca central</t>
  </si>
  <si>
    <t>Carrera 13 #24a – 33 sede XXX Aniversario</t>
  </si>
  <si>
    <t>Calle 8 No. 5-80</t>
  </si>
  <si>
    <t>Av. Circunvalar No 60-00</t>
  </si>
  <si>
    <t>https://www.umng.edu.co/catalogos-en-linea</t>
  </si>
  <si>
    <t>Calle 14 sur No.14-31 Segundo Piso</t>
  </si>
  <si>
    <t>Calle 57 No. 3 - 00 Este</t>
  </si>
  <si>
    <t xml:space="preserve">860.078.430-1 </t>
  </si>
  <si>
    <t xml:space="preserve">890.104.530-9 </t>
  </si>
  <si>
    <t xml:space="preserve"> centrodocumentacion.idpc.gov.co</t>
  </si>
  <si>
    <t xml:space="preserve">99999061-9 </t>
  </si>
  <si>
    <t>8BiblioRed</t>
  </si>
  <si>
    <t>Biblioteca Pública Marco Fidel Suárez del Ministerio de Relaciones Exteriores</t>
  </si>
  <si>
    <t>https://biblioteca.sena.edu.co/F/?func=find-b-0&amp;local_base=sen01</t>
  </si>
  <si>
    <t xml:space="preserve">LATINDEX Colombia </t>
  </si>
  <si>
    <t xml:space="preserve">Calle 13 No. 31 75 </t>
  </si>
  <si>
    <t>https://latindex.org/latindex/</t>
  </si>
  <si>
    <t xml:space="preserve">Escuela Tecnológica Instituto Técnico Central </t>
  </si>
  <si>
    <t>860.523.694-6</t>
  </si>
  <si>
    <t>Hermano Hildeberto Juan</t>
  </si>
  <si>
    <t>Calle 13 # 16 - 74</t>
  </si>
  <si>
    <t>https://www.etitc.edu.co/es/</t>
  </si>
  <si>
    <t>https://biblioteca.itc.edu.co/</t>
  </si>
  <si>
    <t>Universidad del Valle</t>
  </si>
  <si>
    <t xml:space="preserve">890.399.010-6 </t>
  </si>
  <si>
    <t xml:space="preserve">Biblioteca Mario Carvajal </t>
  </si>
  <si>
    <t>Calle 13 #100-00</t>
  </si>
  <si>
    <t>https://biblioteca.univalle.edu.co/</t>
  </si>
  <si>
    <t>https://opac.univalle.edu.co/cgi-olib/</t>
  </si>
  <si>
    <t>Mc Graw Hill</t>
  </si>
  <si>
    <t>Mc Graw Hill Salud</t>
  </si>
  <si>
    <t xml:space="preserve">Datos: Datos de plataformas de bases de datos suscritas. Fecha corte:30/06/2026
Apartir del año 2024 los datos son consultas y descargas.  Los datos siempre presentan variación en el transcurso de la vigencia, depende de las fechas de entrega de estadisticas por proveedores
El aumento en las consultas correspoden a todos los recursos electrónicos que se encuentran el el Ezproxy, no solo bases de datos
Nota: Para la vigencia 2020, no se puede actualizar esta información especifica ya que el Sistema de Bibliotecas no cuenta con la herramienta inteligencia de negocios para  obtener los datos. Solo se cuenta con estadisticas generales.							</t>
  </si>
  <si>
    <t>Recurso adquirido por suscripción</t>
  </si>
  <si>
    <t>SAGE KNOWLEDGE Ebooks</t>
  </si>
  <si>
    <t>Fuente Académica Plus</t>
  </si>
  <si>
    <t>Biological &amp; Agricultural Index Plus Art &amp; Architecture</t>
  </si>
  <si>
    <t>Source</t>
  </si>
  <si>
    <t>Library, Information Science &amp; Technology</t>
  </si>
  <si>
    <t>Abstracts</t>
  </si>
  <si>
    <t>MasterFILE Reference eBook Collection</t>
  </si>
  <si>
    <t xml:space="preserve">Digitalia Hispanica </t>
  </si>
  <si>
    <t>Digitallia Films</t>
  </si>
  <si>
    <t>Ediciones de la U 123</t>
  </si>
  <si>
    <t>Corporacion para investigaciones Biologicas</t>
  </si>
  <si>
    <t>Editorial UNRN</t>
  </si>
  <si>
    <t>Alfaomega</t>
  </si>
  <si>
    <t>Dextra</t>
  </si>
  <si>
    <t>Documentos RIUD</t>
  </si>
  <si>
    <r>
      <t xml:space="preserve">* </t>
    </r>
    <r>
      <rPr>
        <b/>
        <sz val="10"/>
        <color rgb="FF000000"/>
        <rFont val="Arial Narrow"/>
        <family val="2"/>
      </rPr>
      <t>Fuente:</t>
    </r>
    <r>
      <rPr>
        <sz val="10"/>
        <color rgb="FF000000"/>
        <rFont val="Arial Narrow"/>
        <family val="2"/>
      </rPr>
      <t xml:space="preserve"> Datos de la Biblioteca ARC - SIB. </t>
    </r>
    <r>
      <rPr>
        <b/>
        <sz val="10"/>
        <color rgb="FF000000"/>
        <rFont val="Arial Narrow"/>
        <family val="2"/>
      </rPr>
      <t>Fecha de reporte</t>
    </r>
    <r>
      <rPr>
        <sz val="10"/>
        <color rgb="FF000000"/>
        <rFont val="Arial Narrow"/>
        <family val="2"/>
      </rPr>
      <t>: 30/06/2026 Las Colecciones de material bibliográfico en el Sistema de Biblioteca estan catalogadas por Área de conocimiento (000 Temas generales, 100 Filosofía, 200 religión, 300 Ciencias sociales, 400 Lingüística, 600 ciencias aplicadas, 700 Artes, 800 Literatura, 900 Historia y geografía). Esta información se consulta en OPAC - Catalogo en Línea - RIUD Repositorio Institucional - BDIGITAL Bases de datos.
* Para el 2025 la colección de trabajos de grado impreso se reubico en Biblioteca Porvenir y Biblioteca Aduanilla de Paiba y no se encuentra disponible en SIB por proyecto de preservación.
En la vigencia 2025 por actualización en sistema de informción bibliográfico las colecciones y alineados con las políticas de gestión de colecciones se actualiza: Colección literatura, colección Antana Mockus, Coleccion Corporación Nacional de Investigación y Fomento Forestalcolección referencia, colección de reserva, colección partituras. los ejemplares se trasladaron a colección general. Por tanto, los nombres de dichas colecciones no estaran más disponibles.</t>
    </r>
  </si>
  <si>
    <t>Nota: La variación en la Colección Trabajos de grado Digital Posgrados y Vivero corresponde a la reubicación de proyectos curriculares, entre sedes. La variación de la colección de referencia y reserva es la reubicación de ejemplares en la colección general.
La variación constante de las colecciones impresas corresponde a procesos de evaluación de colecciones.</t>
  </si>
  <si>
    <r>
      <t xml:space="preserve">* </t>
    </r>
    <r>
      <rPr>
        <b/>
        <sz val="10"/>
        <color rgb="FF000000"/>
        <rFont val="Arial Narrow"/>
        <family val="2"/>
      </rPr>
      <t xml:space="preserve">Fuente: </t>
    </r>
    <r>
      <rPr>
        <sz val="10"/>
        <color rgb="FF000000"/>
        <rFont val="Arial Narrow"/>
        <family val="2"/>
      </rPr>
      <t xml:space="preserve">Datos del Sistema de Biblioteca ARC - SIB. </t>
    </r>
    <r>
      <rPr>
        <b/>
        <sz val="10"/>
        <color rgb="FF000000"/>
        <rFont val="Arial Narrow"/>
        <family val="2"/>
      </rPr>
      <t xml:space="preserve">Fecha de reporte: </t>
    </r>
    <r>
      <rPr>
        <sz val="10"/>
        <color rgb="FF000000"/>
        <rFont val="Arial Narrow"/>
        <family val="2"/>
      </rPr>
      <t>20/07/2026. Las Colecciones de material bibliográfico en el Sistema de Biblioteca estan catalogadas por Area de conocimiento (000 Temas generales, 100 Filosofía, 200 religión, 300 Ciencias sociales, 400 Lingüística, 600 ciencias aplicadas, 700 Artes, 800 Literatura, 900 Historia y geografía). Las colecciones de referencia y reserva disminuyen por ser reubicadas en  colección general 2022.</t>
    </r>
  </si>
  <si>
    <t>Los datos de la colección por año son consolidados en el tiempo.
En la vigencia 2025 por actualización en sistema de información bibliográfico las colecciones y alineados con las políticas de gestión de colecciones se actualiza: Colección literatura, colección Antana Mockus, Coleccion Corporación Nacional de Investigación y Fomento Forestalcolección referencia, colección de reserva, colección partituras. los ejemplares se trasladaron a colección general. Por tanto, los nombres de dichas colecciones no estaran más disponibles.
La variación de los datos en colecciones corresponden a procesos de evaluación de colecciones con políticas como: pertinencia, deterioro físico, obsolescencia.</t>
  </si>
  <si>
    <r>
      <t>Fuente:</t>
    </r>
    <r>
      <rPr>
        <sz val="9"/>
        <color rgb="FF000000"/>
        <rFont val="Arial Narrow"/>
        <family val="2"/>
      </rPr>
      <t xml:space="preserve">Datos propios Sistema de Bibliotecas. </t>
    </r>
    <r>
      <rPr>
        <b/>
        <sz val="9"/>
        <color rgb="FF000000"/>
        <rFont val="Arial Narrow"/>
        <family val="2"/>
      </rPr>
      <t>Fecha de reporte</t>
    </r>
    <r>
      <rPr>
        <sz val="9"/>
        <color rgb="FF000000"/>
        <rFont val="Arial Narrow"/>
        <family val="2"/>
      </rPr>
      <t>: 27/07/2026. La variación de las Bases de datos suscritas corresponde a la asignación de presupuesto anual y a la variación de la TRM.</t>
    </r>
  </si>
  <si>
    <t>Citas al instante: aprende a usar los gestores de referencias para tu investigación</t>
  </si>
  <si>
    <t>Inducción para el uso y apropiación de servicios y recursos de información</t>
  </si>
  <si>
    <t>Masterclass Computrabajo</t>
  </si>
  <si>
    <t>Uso y apropiación Repositorio RIUD - Revisores - gestores</t>
  </si>
  <si>
    <t>Uso y aplicabilidad de herramientos ofimáticas (excel)</t>
  </si>
  <si>
    <t>Tutorias y talleres</t>
  </si>
  <si>
    <t>Competencias ciudadanas</t>
  </si>
  <si>
    <t>Pensamiento científico</t>
  </si>
  <si>
    <t>Competencias digitales</t>
  </si>
  <si>
    <t>SERVICIOS CRAI+6: CONSULTAS COLECCIÓN DIGITAL INSTITUCIONAL ACCESOS REPOSITORIO INSTITUCIONAL RIUD 2021 -2026</t>
  </si>
  <si>
    <t>SERVICIOS CRAI+3: PRESTAMOS RECURSOS TECNOLÓGICO (computadores, tablet, audifonos, videoteca, otros) BIBLIOTECA POR FACULTAD, POR PROYECTO CURRICULAR 2018 -2026</t>
  </si>
  <si>
    <t>Se intregró a la colección general</t>
  </si>
  <si>
    <t>PLAN DE FORMACIÓN</t>
  </si>
  <si>
    <t>GESTIÓN CULTURAL BIBLLITECA - AGENDA CULTURAL (Participantes) 2025 -2026</t>
  </si>
  <si>
    <t>Gestión Cultural Biblioteca</t>
  </si>
  <si>
    <t>Servicios</t>
  </si>
  <si>
    <t xml:space="preserve">Proyectos Expositivos </t>
  </si>
  <si>
    <t>Exposición</t>
  </si>
  <si>
    <t>Reflexión, costrucción y pensamiento</t>
  </si>
  <si>
    <t>Cine Foro</t>
  </si>
  <si>
    <t>Conciertos</t>
  </si>
  <si>
    <t xml:space="preserve">Conciertos  y presentacionnes de Arte Danzario </t>
  </si>
  <si>
    <t>Conversatorios</t>
  </si>
  <si>
    <t>Promoción De Lectura</t>
  </si>
  <si>
    <t>Representaciones Teatrales</t>
  </si>
  <si>
    <t>Visitas Guiadas</t>
  </si>
  <si>
    <t>Creación artística</t>
  </si>
  <si>
    <t>Entrevistas</t>
  </si>
  <si>
    <t>Formación - Talleres</t>
  </si>
  <si>
    <t>ENFOQUE</t>
  </si>
  <si>
    <t>SERVICIO GESTIÓN  CULTURAL</t>
  </si>
  <si>
    <t>NOMBRE - Actividades</t>
  </si>
  <si>
    <t xml:space="preserve">Entrevista 100 años matadero profesor Carlos Reina </t>
  </si>
  <si>
    <t xml:space="preserve">Entrevista El matadero y el horno crematorio Profe Frank Molano </t>
  </si>
  <si>
    <t xml:space="preserve">Entrevista Matadero y Medio ambiente Profesor Jair Preciado </t>
  </si>
  <si>
    <t xml:space="preserve">Entrevista Aduanilla y sus alrededores invitado Jesús Gustavo Vargas </t>
  </si>
  <si>
    <t xml:space="preserve">Bibliobingo </t>
  </si>
  <si>
    <t>Taller CNMH</t>
  </si>
  <si>
    <t>Taller de cartelismo</t>
  </si>
  <si>
    <t xml:space="preserve">Taller de color </t>
  </si>
  <si>
    <t xml:space="preserve">Taller de Fanzine </t>
  </si>
  <si>
    <t xml:space="preserve">Taller de Grabado </t>
  </si>
  <si>
    <t xml:space="preserve">Taller de habilidades comunicativas </t>
  </si>
  <si>
    <t xml:space="preserve">Taller de Origami </t>
  </si>
  <si>
    <t xml:space="preserve">taller de Plastilina </t>
  </si>
  <si>
    <t xml:space="preserve">Taller de RAP </t>
  </si>
  <si>
    <t xml:space="preserve">Taller de Serigrafia </t>
  </si>
  <si>
    <t xml:space="preserve">Taller Tatuaje no es solo tinta </t>
  </si>
  <si>
    <t xml:space="preserve">Taller trazos de memoria </t>
  </si>
  <si>
    <t xml:space="preserve">Visita guiada de espantos </t>
  </si>
  <si>
    <t xml:space="preserve">Taller de Animación </t>
  </si>
  <si>
    <t xml:space="preserve">Taller de títeres </t>
  </si>
  <si>
    <t xml:space="preserve">Taller intervención mural Grafiti </t>
  </si>
  <si>
    <t xml:space="preserve">Taller de expresión corporal </t>
  </si>
  <si>
    <t>Concurso de Ajedrez</t>
  </si>
  <si>
    <t xml:space="preserve">Taller Oráculo </t>
  </si>
  <si>
    <t xml:space="preserve">taller creación Grafica </t>
  </si>
  <si>
    <t xml:space="preserve">Figuraciones y desfiguraciones </t>
  </si>
  <si>
    <t xml:space="preserve">Tras Bastidores 100 años del Matadero Municipal </t>
  </si>
  <si>
    <t xml:space="preserve">Exposición Neogranadina </t>
  </si>
  <si>
    <t xml:space="preserve">Exposición Henry Art </t>
  </si>
  <si>
    <t xml:space="preserve">Exposición Metáforas y Espectros de Arboles </t>
  </si>
  <si>
    <t>Exposición Museo del Marcapasos</t>
  </si>
  <si>
    <t xml:space="preserve">Exposición Díez Cero Uno </t>
  </si>
  <si>
    <t xml:space="preserve">Exposición Juan Carlos </t>
  </si>
  <si>
    <t xml:space="preserve">Exposición confluencias erráticas </t>
  </si>
  <si>
    <t xml:space="preserve">Exposición Exploraciones Harrison Rico </t>
  </si>
  <si>
    <t xml:space="preserve">Exposición Museo de Historia Natural </t>
  </si>
  <si>
    <t xml:space="preserve">Exposición Fotografía SENA </t>
  </si>
  <si>
    <t xml:space="preserve">Exposición Colectivo Chanejo </t>
  </si>
  <si>
    <t xml:space="preserve">Exposición Congreso del Rock </t>
  </si>
  <si>
    <t xml:space="preserve">Exposición Matemático Frances </t>
  </si>
  <si>
    <t xml:space="preserve">Exposición Luis Mesa </t>
  </si>
  <si>
    <t xml:space="preserve">Exposición 3823 Kilómetros comisión de la de verdad </t>
  </si>
  <si>
    <t xml:space="preserve">Exposición arquitectura zona industrial </t>
  </si>
  <si>
    <t xml:space="preserve">Exposición  Fredy Boada </t>
  </si>
  <si>
    <t xml:space="preserve">Exposición Ecos  de un alma creativa </t>
  </si>
  <si>
    <t xml:space="preserve">Exposición relatos a color </t>
  </si>
  <si>
    <t xml:space="preserve">Exposición Estructuras Hidráulicas </t>
  </si>
  <si>
    <t xml:space="preserve">Exposición Historia de la Medicina </t>
  </si>
  <si>
    <t xml:space="preserve">Exposición retrospectiva Carlos Mario Giraldo </t>
  </si>
  <si>
    <t>Reflexión, construcción y pensamiento</t>
  </si>
  <si>
    <t xml:space="preserve">Cine al almuerzo </t>
  </si>
  <si>
    <t>Cine foro " El primer Oscar" cineasta Ruso</t>
  </si>
  <si>
    <t xml:space="preserve">Cine foro conflicto armando </t>
  </si>
  <si>
    <t xml:space="preserve">Cine Moster Inc </t>
  </si>
  <si>
    <t xml:space="preserve">Jardin Cinematográfico </t>
  </si>
  <si>
    <t xml:space="preserve">Jardín Cinematográfico </t>
  </si>
  <si>
    <t xml:space="preserve">Cine la Tumba de las luciérnagas </t>
  </si>
  <si>
    <t xml:space="preserve">Concierto Catedra de Charango </t>
  </si>
  <si>
    <t>Concierto de JAZZ</t>
  </si>
  <si>
    <t xml:space="preserve">Concierto de RAP </t>
  </si>
  <si>
    <t xml:space="preserve">Concierto de Rock </t>
  </si>
  <si>
    <t xml:space="preserve">Despedida de Semestre Canto baile y sabor </t>
  </si>
  <si>
    <t xml:space="preserve">Festival de tunas </t>
  </si>
  <si>
    <t xml:space="preserve">Dia Europeo de la música </t>
  </si>
  <si>
    <t xml:space="preserve">Concierto Sinfónico </t>
  </si>
  <si>
    <t xml:space="preserve">Conversatorio 100 años de Paiba </t>
  </si>
  <si>
    <t xml:space="preserve">Conversatorio 3823 km por las bibliotecas </t>
  </si>
  <si>
    <t>Conversatorio CNMH</t>
  </si>
  <si>
    <t xml:space="preserve">Conversatorio Ecos del Alma creativa </t>
  </si>
  <si>
    <t xml:space="preserve">Conversatorio Estrategias Novedosas </t>
  </si>
  <si>
    <t xml:space="preserve">Conversatorio Feria del Libro </t>
  </si>
  <si>
    <t>Conversatorio libro 16 motivos para aPAZcionados</t>
  </si>
  <si>
    <t xml:space="preserve">Conversatorio Madrina de Banderas </t>
  </si>
  <si>
    <t xml:space="preserve">Conversatorio Mujeres en el grafitti </t>
  </si>
  <si>
    <t xml:space="preserve">Conversatorio Rusa </t>
  </si>
  <si>
    <t>Conversatorio salud mental y autocuidado</t>
  </si>
  <si>
    <t xml:space="preserve">Encuentro con el autor </t>
  </si>
  <si>
    <t xml:space="preserve">Encuentro con el autor Ashanti Dinah </t>
  </si>
  <si>
    <t xml:space="preserve">Encuentro con el autor Edilson Silva </t>
  </si>
  <si>
    <t xml:space="preserve">Encuentro con el Autor Katherine Rozo </t>
  </si>
  <si>
    <t xml:space="preserve">Encuentro con el Autor Magda Zuleta </t>
  </si>
  <si>
    <t xml:space="preserve">Versos y Trazos </t>
  </si>
  <si>
    <t xml:space="preserve">Encuentro de Poesía </t>
  </si>
  <si>
    <t xml:space="preserve">Conversatorio Camino Ancestral </t>
  </si>
  <si>
    <t xml:space="preserve">Conversatorio el color del Grafitti en Bogotá </t>
  </si>
  <si>
    <t xml:space="preserve">Conversatorio arte Urbano e IA </t>
  </si>
  <si>
    <t>Conversatorio Inauguración exposición SENA</t>
  </si>
  <si>
    <t xml:space="preserve">Visita al Jardin Botánico </t>
  </si>
  <si>
    <t xml:space="preserve">Voces de la Agroecología </t>
  </si>
  <si>
    <t xml:space="preserve">Noche Iberoamericana de Museos </t>
  </si>
  <si>
    <t xml:space="preserve">Encuentro con el Autor Jesús Paternina </t>
  </si>
  <si>
    <t xml:space="preserve">Cartas a la Universidad </t>
  </si>
  <si>
    <t xml:space="preserve">Cartas por encargo </t>
  </si>
  <si>
    <t xml:space="preserve">Corrientazo Literario </t>
  </si>
  <si>
    <t xml:space="preserve">Cuentos de la candelaria </t>
  </si>
  <si>
    <t xml:space="preserve">El futbol de lee </t>
  </si>
  <si>
    <t>La Cucharita</t>
  </si>
  <si>
    <t xml:space="preserve">La UD En 100 palabras </t>
  </si>
  <si>
    <t xml:space="preserve">Lectura a viva voz </t>
  </si>
  <si>
    <t>Lectura digital</t>
  </si>
  <si>
    <t xml:space="preserve">Promoción de lectura </t>
  </si>
  <si>
    <t xml:space="preserve">Recorrido literario AM </t>
  </si>
  <si>
    <t xml:space="preserve">Recorrido literario PM </t>
  </si>
  <si>
    <t xml:space="preserve">Taller Las Intermitencias de la muerte </t>
  </si>
  <si>
    <t xml:space="preserve">Tender la palabra escritoral al frnete </t>
  </si>
  <si>
    <t xml:space="preserve">Tertulia Modo lectura ON </t>
  </si>
  <si>
    <t xml:space="preserve">Tertulia Tendedero mujeres escritoras </t>
  </si>
  <si>
    <t xml:space="preserve">Versos por encargo </t>
  </si>
  <si>
    <t xml:space="preserve">Tertulia Música y literatura </t>
  </si>
  <si>
    <t xml:space="preserve">Tertulia Bogotá </t>
  </si>
  <si>
    <t xml:space="preserve">Música y literatura </t>
  </si>
  <si>
    <t xml:space="preserve">Ciencia Ficción </t>
  </si>
  <si>
    <t xml:space="preserve">Inducción primer semestre 2026 </t>
  </si>
  <si>
    <t>Inducción - Promoción De Lectura</t>
  </si>
  <si>
    <t xml:space="preserve">Narrativas Urbanas Bogotá </t>
  </si>
  <si>
    <t xml:space="preserve">Activación Cultural </t>
  </si>
  <si>
    <t xml:space="preserve">Cartografía Epistolar </t>
  </si>
  <si>
    <t xml:space="preserve">Afrocolombia Voces del mar y la naturaleza </t>
  </si>
  <si>
    <t xml:space="preserve">Danza Urbana </t>
  </si>
  <si>
    <t xml:space="preserve">Performance de Cines </t>
  </si>
  <si>
    <t xml:space="preserve">Visceral tiempos de carne </t>
  </si>
  <si>
    <t xml:space="preserve">Vive la fuerza del movimiento </t>
  </si>
  <si>
    <t>dsada</t>
  </si>
  <si>
    <t xml:space="preserve">Visita embajada de Rusia </t>
  </si>
  <si>
    <t xml:space="preserve">Visita guiada Adulto mayor Puente Aranda </t>
  </si>
  <si>
    <t>Visita Guiada Artista Leonardo Duquino</t>
  </si>
  <si>
    <t xml:space="preserve">Visita guiada Biblioteca FUGA </t>
  </si>
  <si>
    <t xml:space="preserve">Visita guiada con el Artista Luis Santana </t>
  </si>
  <si>
    <t xml:space="preserve">Visita guiada Cristian </t>
  </si>
  <si>
    <t xml:space="preserve">Visita Guiada estudiantes Internacionales </t>
  </si>
  <si>
    <t xml:space="preserve">Visita guiada profesor a Edna </t>
  </si>
  <si>
    <t xml:space="preserve">Visita guiada Profesor Edna </t>
  </si>
  <si>
    <t xml:space="preserve">Visita guiada Profesora Edna </t>
  </si>
  <si>
    <t xml:space="preserve">Visita Guiada profesores Nacional </t>
  </si>
  <si>
    <t xml:space="preserve">Visita guiada Universidad Piloto </t>
  </si>
  <si>
    <t>Visitas guiadas  Histórica</t>
  </si>
  <si>
    <t xml:space="preserve">Vista guiada Profesora Edna </t>
  </si>
  <si>
    <t xml:space="preserve">Visitas guiadas Exposición </t>
  </si>
  <si>
    <t xml:space="preserve">Visita guiada Exposición </t>
  </si>
  <si>
    <t>Carrera de Observación</t>
  </si>
  <si>
    <t xml:space="preserve">Visitas guiadas inducción primer semestre 2026 </t>
  </si>
  <si>
    <t xml:space="preserve">Visita guiada Maestro Adrián </t>
  </si>
  <si>
    <t xml:space="preserve">Conciertos  y presentaciones de Arte Danzario </t>
  </si>
  <si>
    <t xml:space="preserve">Muestra de Danzas </t>
  </si>
  <si>
    <t xml:space="preserve">Muestra facultad de Artes </t>
  </si>
  <si>
    <t xml:space="preserve">Recital de Piano embajada de Rusia </t>
  </si>
  <si>
    <t xml:space="preserve">Recital de Piano evento cien años Paiba </t>
  </si>
  <si>
    <t xml:space="preserve">Miércoles cultural Piano y Guitarra </t>
  </si>
  <si>
    <t>Miércoles cultural Concierto de Flauta</t>
  </si>
  <si>
    <t xml:space="preserve">Miércoles Cultural </t>
  </si>
  <si>
    <t xml:space="preserve">Miércoles Cultural 27 de mayo Danza y Música </t>
  </si>
  <si>
    <t xml:space="preserve">Muestra de Música </t>
  </si>
  <si>
    <t xml:space="preserve">Facultad Ciencias y Educación </t>
  </si>
  <si>
    <t xml:space="preserve"> CUADRO MAESTRO ESTADÍSTICO GENERAL X FACULTAD X PROYECTO CURRICULAR 2018-2026</t>
  </si>
  <si>
    <t>FACULTAD INGENIERIA</t>
  </si>
  <si>
    <t>MAESTRIA EN CIENCIAS DE LA INFORMACION Y LAS COMUNICACIONES</t>
  </si>
  <si>
    <t>CAS SciFinder</t>
  </si>
  <si>
    <t>EMERALD</t>
  </si>
  <si>
    <t>Ieee Xplore</t>
  </si>
  <si>
    <t>Iop Science</t>
  </si>
  <si>
    <t>O´Reilly</t>
  </si>
  <si>
    <t>Sage Journals</t>
  </si>
  <si>
    <t>Sage Knowledge</t>
  </si>
  <si>
    <t>Springer Ebooks</t>
  </si>
  <si>
    <t>Springer Nature</t>
  </si>
  <si>
    <t>Taylor&amp;francys</t>
  </si>
  <si>
    <t>WEB OF SCIENCE</t>
  </si>
  <si>
    <t>Maestria en Ciencias de la Informacion y las Comunicaciones</t>
  </si>
  <si>
    <t>MAESTRIA EN CIENCIAS DE LA INFORMACION Y LAS COMUNICACIONES ENFASIS EN GEOMATICA</t>
  </si>
  <si>
    <t>MAESTRIA EN CIENCIAS DE LA INFORMACION Y LAS COMUNICACIONES ENFASIS EN ING. SOFT</t>
  </si>
  <si>
    <t>MAESTRIA EN CIENCIAS DE LA INFORMACION Y LAS COMUNICACIONES ENFASIS EN SIS. INFOR</t>
  </si>
  <si>
    <t>MAESTRIA EN CIENCIAS DE LA INFORMACION Y LAS COMUNICACIONES ENFASIS EN TELEINF.</t>
  </si>
  <si>
    <t>MAESTRÍA EN CIENCIAS DE LA INFORMACIÓN Y LAS COMUNICACIONES ENFASIS EN GEOMATICA</t>
  </si>
  <si>
    <t>MAESTRÍA EN CIENCIAS DE LA INFORMACIÓN Y LAS COMUNICACIONES ENFASIS EN ING. SOFT</t>
  </si>
  <si>
    <t>MAESTRÍA EN CIENCIAS DE LA INFORMACIÓN Y LAS COMUNICACIONES ENFASIS EN SIS. INFOR</t>
  </si>
  <si>
    <t>MAESTRÍA EN CIENCIAS DE LA INFORMACIÓN Y LAS COMUNICACIONES ENFASIS EN TELEINF.</t>
  </si>
  <si>
    <t>MAESTRÍA EN CIENCIAS DE LA INFORMACIÓN Y LAS COMUNICACIONES</t>
  </si>
  <si>
    <t>MAESTRÍA EN CIENCIAS DE LA INFORMACIÓN Y LAS COMUNICACIONESENFASIS EN GEOMATICA</t>
  </si>
  <si>
    <t>MAESTRIA EN CIENCIAS DE LA INFORMACIÓN Y LAS COMUNICACIONES</t>
  </si>
  <si>
    <t>MAESTRIA EN CIENCIAS DE LA INFORMACIÓN Y LAS COMUNICACIONES ENFASIS EN GEOMATICA</t>
  </si>
  <si>
    <t>MAESTRIA EN CIENCIAS DE LA INFORMACIÓN Y LAS COMUNICACIONESENFASIS EN ING. SOFT</t>
  </si>
  <si>
    <t>MAESTRIA EN CIENCIAS DE LA INFORMACIÓN Y LAS COMUNICACIONES ENFASIS EN TELEINF.</t>
  </si>
  <si>
    <t>MAESTRIA EN CIENCIAS DE LA INFORMACIÓN Y LAS COMUNICACIONES ENFASIS EN EN TELEINF.</t>
  </si>
  <si>
    <t>Oxford University</t>
  </si>
  <si>
    <t>Alpha Editorial Cloud</t>
  </si>
  <si>
    <t>Booklick</t>
  </si>
  <si>
    <t>DIGITALIA FILM LIBRARY</t>
  </si>
  <si>
    <t>Doi System</t>
  </si>
  <si>
    <t>Ebook-724</t>
  </si>
  <si>
    <t>EIVillage</t>
  </si>
  <si>
    <t>Embase</t>
  </si>
  <si>
    <t>Google</t>
  </si>
  <si>
    <t>-hide Gale/Infotrac/PowerSearch Databases</t>
  </si>
  <si>
    <t>Nueva Biblioteca Digital Pearson</t>
  </si>
  <si>
    <t>Proquest</t>
  </si>
  <si>
    <t>Science Magazine</t>
  </si>
  <si>
    <t>ZENTRALBLATT (zbMATH)</t>
  </si>
  <si>
    <t>MAESTRIA EN CIENCIAS DE LA INFORMACIÓN Y LAS COMUNICACIONES ENFASIS EN ING SOFT</t>
  </si>
  <si>
    <t>Acm Digital Library</t>
  </si>
  <si>
    <t>e-colletion</t>
  </si>
  <si>
    <t>Google Scholar</t>
  </si>
  <si>
    <t>Mendeley -Gestor Bibliografico</t>
  </si>
  <si>
    <t>Sage Ebooks</t>
  </si>
  <si>
    <t>Sage Skills</t>
  </si>
  <si>
    <t>arXiv Cornell University Library</t>
  </si>
  <si>
    <t>Britannica Academic</t>
  </si>
  <si>
    <t>E-Journal Unam</t>
  </si>
  <si>
    <t>EndNote -Gestor Bibliografico</t>
  </si>
  <si>
    <t>RefWorks - Gestor Bibliografico</t>
  </si>
  <si>
    <t>RIUD - Repositorio Institucional UDFJC</t>
  </si>
  <si>
    <t>SCIELO - SCIENTIFIC ELECTRONIC LIBRARY ONLINE</t>
  </si>
  <si>
    <t>Web of Knowledge - Thomson Reuter</t>
  </si>
  <si>
    <t>Maestria en Ciencias de la Informacion y las Comunicaciones Metodologia Investigacion</t>
  </si>
  <si>
    <t>Maestria en Ciencias de la Informacion y las Comunicaciones Metodologia Profundizacion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</si>
</sst>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43" formatCode="_-* #,##0.00_-;\-* #,##0.00_-;_-* &quot;-&quot;??_-;_-@_-"/>
    <numFmt numFmtId="164" formatCode="_(* #,##0_);_(* \(#,##0\);_(* &quot;-&quot;_);_(@_)"/>
    <numFmt numFmtId="165" formatCode="#,##0;[Red]#,##0"/>
    <numFmt numFmtId="166" formatCode="_(* #,##0_);_(* \(#,##0\);_(* &quot;-&quot;??_);_(@_)"/>
    <numFmt numFmtId="167" formatCode="_-* #,##0_-;\-* #,##0_-;_-* &quot;-&quot;??_-;_-@_-"/>
  </numFmts>
  <fonts count="5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Narrow"/>
      <family val="2"/>
    </font>
    <font>
      <b/>
      <sz val="10"/>
      <color theme="1"/>
      <name val="Arial Narrow"/>
      <family val="2"/>
    </font>
    <font>
      <sz val="10"/>
      <color rgb="FF000000"/>
      <name val="Arial Narrow"/>
      <family val="2"/>
    </font>
    <font>
      <b/>
      <sz val="9"/>
      <color theme="1"/>
      <name val="Arial Narrow"/>
      <family val="2"/>
    </font>
    <font>
      <sz val="9"/>
      <color theme="1"/>
      <name val="Arial Narrow"/>
      <family val="2"/>
    </font>
    <font>
      <sz val="9"/>
      <color rgb="FF000000"/>
      <name val="Arial Narrow"/>
      <family val="2"/>
    </font>
    <font>
      <sz val="9"/>
      <name val="Arial Narrow"/>
      <family val="2"/>
    </font>
    <font>
      <u/>
      <sz val="11"/>
      <color theme="10"/>
      <name val="Calibri"/>
      <family val="2"/>
      <scheme val="minor"/>
    </font>
    <font>
      <b/>
      <sz val="10"/>
      <color rgb="FF000000"/>
      <name val="Arial Narrow"/>
      <family val="2"/>
    </font>
    <font>
      <sz val="11"/>
      <color theme="1"/>
      <name val="Calibri"/>
      <family val="2"/>
      <scheme val="minor"/>
    </font>
    <font>
      <sz val="10"/>
      <name val="Arial Narrow"/>
      <family val="2"/>
    </font>
    <font>
      <b/>
      <sz val="9"/>
      <color rgb="FF000000"/>
      <name val="Arial Narrow"/>
      <family val="2"/>
    </font>
    <font>
      <u/>
      <sz val="10"/>
      <color theme="10"/>
      <name val="Arial Narrow"/>
      <family val="2"/>
    </font>
    <font>
      <u/>
      <sz val="9"/>
      <color theme="10"/>
      <name val="Arial Narrow"/>
      <family val="2"/>
    </font>
    <font>
      <u/>
      <sz val="9"/>
      <name val="Arial Narrow"/>
      <family val="2"/>
    </font>
    <font>
      <sz val="10"/>
      <color rgb="FF980000"/>
      <name val="Arial Narrow"/>
      <family val="2"/>
    </font>
    <font>
      <sz val="11"/>
      <color theme="1"/>
      <name val="Calibri"/>
      <family val="2"/>
      <scheme val="minor"/>
    </font>
    <font>
      <u/>
      <sz val="10"/>
      <color rgb="FF000000"/>
      <name val="Arial Narrow"/>
      <family val="2"/>
    </font>
    <font>
      <b/>
      <sz val="14"/>
      <color theme="1"/>
      <name val="Arial Narrow"/>
      <family val="2"/>
    </font>
    <font>
      <sz val="14"/>
      <color theme="1"/>
      <name val="Arial Narrow"/>
      <family val="2"/>
    </font>
    <font>
      <b/>
      <sz val="8"/>
      <color theme="1"/>
      <name val="Arial Narrow"/>
      <family val="2"/>
    </font>
    <font>
      <b/>
      <sz val="11"/>
      <color theme="1"/>
      <name val="Arial Narrow"/>
      <family val="2"/>
    </font>
    <font>
      <sz val="11"/>
      <color theme="1"/>
      <name val="Calibri"/>
      <family val="2"/>
    </font>
    <font>
      <b/>
      <sz val="11"/>
      <color theme="1"/>
      <name val="Calibri"/>
      <family val="2"/>
    </font>
    <font>
      <sz val="11"/>
      <color rgb="FF000000"/>
      <name val="Calibri"/>
      <family val="2"/>
    </font>
    <font>
      <b/>
      <sz val="10"/>
      <name val="Arial"/>
      <family val="2"/>
    </font>
    <font>
      <sz val="10"/>
      <color theme="0"/>
      <name val="Arial"/>
      <family val="2"/>
    </font>
    <font>
      <sz val="10"/>
      <color rgb="FF000000"/>
      <name val="Calibri"/>
      <family val="2"/>
    </font>
    <font>
      <sz val="10"/>
      <color rgb="FF000000"/>
      <name val="Arial"/>
      <family val="2"/>
    </font>
    <font>
      <sz val="8"/>
      <color rgb="FF000000"/>
      <name val="Arial"/>
      <family val="2"/>
    </font>
    <font>
      <b/>
      <sz val="10"/>
      <color rgb="FF000000"/>
      <name val="Arial"/>
      <family val="2"/>
    </font>
    <font>
      <sz val="9"/>
      <color rgb="FF000000"/>
      <name val="Arial"/>
      <family val="2"/>
    </font>
    <font>
      <sz val="8"/>
      <color rgb="FF000000"/>
      <name val="Calibri"/>
      <family val="2"/>
      <scheme val="minor"/>
    </font>
    <font>
      <b/>
      <sz val="11"/>
      <color rgb="FF000000"/>
      <name val="Calibri"/>
      <family val="2"/>
    </font>
    <font>
      <b/>
      <sz val="11"/>
      <name val="Calibri"/>
      <family val="2"/>
    </font>
    <font>
      <b/>
      <sz val="10"/>
      <color theme="0"/>
      <name val="Arial"/>
      <family val="2"/>
    </font>
    <font>
      <b/>
      <sz val="9"/>
      <name val="Arial"/>
      <family val="2"/>
    </font>
    <font>
      <b/>
      <sz val="9"/>
      <color rgb="FF000000"/>
      <name val="Arial"/>
      <family val="2"/>
    </font>
    <font>
      <sz val="11"/>
      <color rgb="FF000000"/>
      <name val="Arial"/>
      <family val="2"/>
    </font>
    <font>
      <sz val="12"/>
      <color theme="0"/>
      <name val="Arial"/>
      <family val="2"/>
    </font>
    <font>
      <b/>
      <sz val="12"/>
      <color theme="0"/>
      <name val="Arial"/>
      <family val="2"/>
    </font>
    <font>
      <sz val="11"/>
      <color theme="1"/>
      <name val="Calibri"/>
      <family val="2"/>
      <scheme val="minor"/>
    </font>
    <font>
      <sz val="8"/>
      <color rgb="FF000000"/>
      <name val="Arial Narrow"/>
      <family val="2"/>
    </font>
    <font>
      <b/>
      <sz val="8"/>
      <color rgb="FF000000"/>
      <name val="Arial Narrow"/>
      <family val="2"/>
    </font>
    <font>
      <sz val="11"/>
      <color rgb="FF000000"/>
      <name val="Calibri"/>
      <family val="2"/>
      <scheme val="minor"/>
    </font>
    <font>
      <u/>
      <sz val="11"/>
      <color theme="10"/>
      <name val="Calibri"/>
      <scheme val="minor"/>
    </font>
    <font>
      <b/>
      <sz val="10"/>
      <name val="Arial Narrow"/>
      <family val="2"/>
    </font>
    <font>
      <sz val="11"/>
      <color rgb="FF000000"/>
      <name val="Calibri"/>
      <scheme val="minor"/>
    </font>
    <font>
      <u/>
      <sz val="10"/>
      <color rgb="FF0000FF"/>
      <name val="Arial Narrow"/>
      <family val="2"/>
    </font>
    <font>
      <sz val="9"/>
      <color rgb="FF000000"/>
      <name val="Arial Narrow"/>
    </font>
    <font>
      <sz val="11"/>
      <color rgb="FF000000"/>
      <name val="Arial Narrow"/>
    </font>
    <font>
      <sz val="9"/>
      <color rgb="FF000000"/>
      <name val="Arial Narrow"/>
      <charset val="1"/>
    </font>
    <font>
      <sz val="9"/>
      <color rgb="FF980000"/>
      <name val="Arial Narrow"/>
      <family val="2"/>
    </font>
    <font>
      <sz val="8"/>
      <name val="Arial Narrow"/>
    </font>
  </fonts>
  <fills count="43">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4.9989318521683403E-2"/>
        <bgColor rgb="FFDBE5F1"/>
      </patternFill>
    </fill>
    <fill>
      <patternFill patternType="solid">
        <fgColor theme="0" tint="-0.14999847407452621"/>
        <bgColor rgb="FFDBE5F1"/>
      </patternFill>
    </fill>
    <fill>
      <patternFill patternType="solid">
        <fgColor theme="0" tint="-4.9989318521683403E-2"/>
        <bgColor rgb="FFD8D8D8"/>
      </patternFill>
    </fill>
    <fill>
      <patternFill patternType="solid">
        <fgColor theme="0" tint="-4.9989318521683403E-2"/>
        <bgColor rgb="FFB8CCE4"/>
      </patternFill>
    </fill>
    <fill>
      <patternFill patternType="solid">
        <fgColor theme="0" tint="-4.9989318521683403E-2"/>
        <bgColor rgb="FFFFFFFF"/>
      </patternFill>
    </fill>
    <fill>
      <patternFill patternType="solid">
        <fgColor theme="0"/>
        <bgColor rgb="FFFFFFFF"/>
      </patternFill>
    </fill>
    <fill>
      <patternFill patternType="solid">
        <fgColor theme="0"/>
        <bgColor rgb="FFB8CCE4"/>
      </patternFill>
    </fill>
    <fill>
      <patternFill patternType="solid">
        <fgColor theme="9" tint="0.59999389629810485"/>
        <bgColor indexed="64"/>
      </patternFill>
    </fill>
    <fill>
      <patternFill patternType="solid">
        <fgColor theme="0" tint="-4.9989318521683403E-2"/>
        <bgColor rgb="FF000000"/>
      </patternFill>
    </fill>
    <fill>
      <patternFill patternType="solid">
        <fgColor rgb="FFD9D9D9"/>
        <bgColor rgb="FF000000"/>
      </patternFill>
    </fill>
    <fill>
      <patternFill patternType="solid">
        <fgColor rgb="FFFFFFFF"/>
        <bgColor rgb="FF000000"/>
      </patternFill>
    </fill>
    <fill>
      <patternFill patternType="solid">
        <fgColor rgb="FFF2F2F2"/>
        <bgColor rgb="FFDBE5F1"/>
      </patternFill>
    </fill>
    <fill>
      <patternFill patternType="solid">
        <fgColor rgb="FFFFFFFF"/>
        <bgColor rgb="FFDBE5F1"/>
      </patternFill>
    </fill>
    <fill>
      <patternFill patternType="solid">
        <fgColor rgb="FFD9D9D9"/>
        <bgColor rgb="FFD8D8D8"/>
      </patternFill>
    </fill>
    <fill>
      <patternFill patternType="solid">
        <fgColor theme="0" tint="-0.14999847407452621"/>
        <bgColor theme="4" tint="0.79998168889431442"/>
      </patternFill>
    </fill>
    <fill>
      <patternFill patternType="solid">
        <fgColor theme="9" tint="0.79998168889431442"/>
        <bgColor theme="0"/>
      </patternFill>
    </fill>
    <fill>
      <patternFill patternType="solid">
        <fgColor theme="9" tint="0.79998168889431442"/>
        <bgColor rgb="FFFFFFFF"/>
      </patternFill>
    </fill>
    <fill>
      <patternFill patternType="solid">
        <fgColor rgb="FFF2F2F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CCCCCC"/>
        <bgColor rgb="FFCCCCCC"/>
      </patternFill>
    </fill>
    <fill>
      <patternFill patternType="solid">
        <fgColor rgb="FFC00000"/>
        <bgColor indexed="64"/>
      </patternFill>
    </fill>
    <fill>
      <patternFill patternType="solid">
        <fgColor rgb="FFFFF2CC"/>
        <bgColor indexed="64"/>
      </patternFill>
    </fill>
    <fill>
      <patternFill patternType="solid">
        <fgColor theme="0" tint="-0.14999847407452621"/>
        <bgColor theme="0"/>
      </patternFill>
    </fill>
    <fill>
      <patternFill patternType="solid">
        <fgColor rgb="FFFFFF00"/>
        <bgColor indexed="64"/>
      </patternFill>
    </fill>
    <fill>
      <patternFill patternType="solid">
        <fgColor theme="0"/>
        <bgColor rgb="FFDBE5F1"/>
      </patternFill>
    </fill>
    <fill>
      <patternFill patternType="solid">
        <fgColor theme="0"/>
        <bgColor rgb="FF000000"/>
      </patternFill>
    </fill>
    <fill>
      <patternFill patternType="solid">
        <fgColor rgb="FFF2F2F2"/>
        <bgColor rgb="FF000000"/>
      </patternFill>
    </fill>
    <fill>
      <patternFill patternType="solid">
        <fgColor rgb="FFBFBFBF"/>
        <bgColor rgb="FF000000"/>
      </patternFill>
    </fill>
    <fill>
      <patternFill patternType="solid">
        <fgColor rgb="FFC6E0B4"/>
        <bgColor rgb="FF000000"/>
      </patternFill>
    </fill>
    <fill>
      <patternFill patternType="solid">
        <fgColor theme="0" tint="-0.14999847407452621"/>
        <bgColor rgb="FF000000"/>
      </patternFill>
    </fill>
    <fill>
      <patternFill patternType="solid">
        <fgColor rgb="FFF2F2F2"/>
        <bgColor rgb="FFD8D8D8"/>
      </patternFill>
    </fill>
    <fill>
      <patternFill patternType="solid">
        <fgColor rgb="FFD9D9D9"/>
        <bgColor rgb="FFDBE5F1"/>
      </patternFill>
    </fill>
    <fill>
      <patternFill patternType="solid">
        <fgColor theme="2" tint="-0.14999847407452621"/>
        <bgColor indexed="64"/>
      </patternFill>
    </fill>
  </fills>
  <borders count="4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rgb="FF000000"/>
      </right>
      <top style="thin">
        <color rgb="FF000000"/>
      </top>
      <bottom/>
      <diagonal/>
    </border>
    <border>
      <left style="thin">
        <color rgb="FF000000"/>
      </left>
      <right style="thin">
        <color rgb="FF000000"/>
      </right>
      <top style="thin">
        <color indexed="64"/>
      </top>
      <bottom/>
      <diagonal/>
    </border>
    <border>
      <left/>
      <right style="thin">
        <color rgb="FF000000"/>
      </right>
      <top/>
      <bottom style="thin">
        <color rgb="FF000000"/>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indexed="64"/>
      </right>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top style="thin">
        <color rgb="FF000000"/>
      </top>
      <bottom style="thin">
        <color rgb="FF000000"/>
      </bottom>
      <diagonal/>
    </border>
    <border>
      <left/>
      <right/>
      <top style="thin">
        <color rgb="FF000000"/>
      </top>
      <bottom/>
      <diagonal/>
    </border>
    <border>
      <left/>
      <right style="thin">
        <color indexed="64"/>
      </right>
      <top/>
      <bottom/>
      <diagonal/>
    </border>
    <border>
      <left/>
      <right style="thin">
        <color rgb="FF000000"/>
      </right>
      <top/>
      <bottom/>
      <diagonal/>
    </border>
  </borders>
  <cellStyleXfs count="16">
    <xf numFmtId="0" fontId="0" fillId="0" borderId="0"/>
    <xf numFmtId="0" fontId="11" fillId="0" borderId="0" applyNumberFormat="0" applyFill="0" applyBorder="0" applyAlignment="0" applyProtection="0"/>
    <xf numFmtId="0" fontId="3" fillId="0" borderId="8"/>
    <xf numFmtId="0" fontId="11" fillId="0" borderId="8" applyNumberFormat="0" applyFill="0" applyBorder="0" applyAlignment="0" applyProtection="0"/>
    <xf numFmtId="0" fontId="13" fillId="0" borderId="8"/>
    <xf numFmtId="0" fontId="20" fillId="0" borderId="8"/>
    <xf numFmtId="0" fontId="2" fillId="0" borderId="8"/>
    <xf numFmtId="0" fontId="11" fillId="0" borderId="8" applyNumberFormat="0" applyFill="0" applyBorder="0" applyAlignment="0" applyProtection="0"/>
    <xf numFmtId="43" fontId="2" fillId="0" borderId="8" applyFont="0" applyFill="0" applyBorder="0" applyAlignment="0" applyProtection="0"/>
    <xf numFmtId="41" fontId="2" fillId="0" borderId="8" applyFont="0" applyFill="0" applyBorder="0" applyAlignment="0" applyProtection="0"/>
    <xf numFmtId="9" fontId="2" fillId="0" borderId="8" applyFont="0" applyFill="0" applyBorder="0" applyAlignment="0" applyProtection="0"/>
    <xf numFmtId="0" fontId="20" fillId="0" borderId="8"/>
    <xf numFmtId="41" fontId="20" fillId="0" borderId="8" applyFont="0" applyFill="0" applyBorder="0" applyAlignment="0" applyProtection="0"/>
    <xf numFmtId="0" fontId="1" fillId="0" borderId="8"/>
    <xf numFmtId="41" fontId="45" fillId="0" borderId="0" applyFont="0" applyFill="0" applyBorder="0" applyAlignment="0" applyProtection="0"/>
    <xf numFmtId="0" fontId="49" fillId="0" borderId="0" applyNumberFormat="0" applyFill="0" applyBorder="0" applyAlignment="0" applyProtection="0"/>
  </cellStyleXfs>
  <cellXfs count="963">
    <xf numFmtId="0" fontId="0" fillId="0" borderId="0" xfId="0"/>
    <xf numFmtId="0" fontId="4" fillId="0" borderId="0" xfId="0" applyFont="1"/>
    <xf numFmtId="49" fontId="4" fillId="0" borderId="0" xfId="0" applyNumberFormat="1" applyFont="1" applyAlignment="1">
      <alignment vertical="center" wrapText="1"/>
    </xf>
    <xf numFmtId="49" fontId="4" fillId="0" borderId="0" xfId="0" applyNumberFormat="1" applyFont="1" applyAlignment="1">
      <alignment horizontal="left" vertical="center" wrapText="1"/>
    </xf>
    <xf numFmtId="0" fontId="5" fillId="0" borderId="8" xfId="0" applyFont="1" applyBorder="1" applyAlignment="1">
      <alignment horizontal="center" vertical="center" wrapText="1"/>
    </xf>
    <xf numFmtId="164" fontId="4" fillId="0" borderId="8" xfId="0" applyNumberFormat="1" applyFont="1" applyBorder="1" applyAlignment="1">
      <alignment vertical="center" wrapText="1"/>
    </xf>
    <xf numFmtId="164" fontId="4" fillId="3" borderId="8" xfId="0" applyNumberFormat="1" applyFont="1" applyFill="1" applyBorder="1" applyAlignment="1">
      <alignment vertical="center"/>
    </xf>
    <xf numFmtId="0" fontId="4" fillId="3" borderId="8" xfId="0" applyFont="1" applyFill="1" applyBorder="1" applyAlignment="1">
      <alignment horizontal="right" vertical="center" wrapText="1"/>
    </xf>
    <xf numFmtId="0" fontId="4" fillId="0" borderId="8" xfId="0" applyFont="1" applyBorder="1" applyAlignment="1">
      <alignment horizontal="right" vertical="center" wrapText="1"/>
    </xf>
    <xf numFmtId="0" fontId="4" fillId="2" borderId="8" xfId="0" applyFont="1" applyFill="1" applyBorder="1"/>
    <xf numFmtId="0" fontId="5" fillId="2" borderId="8" xfId="0" applyFont="1" applyFill="1" applyBorder="1" applyAlignment="1">
      <alignment horizontal="left"/>
    </xf>
    <xf numFmtId="3" fontId="5" fillId="3" borderId="8" xfId="0" applyNumberFormat="1" applyFont="1" applyFill="1" applyBorder="1" applyAlignment="1">
      <alignment horizontal="center" vertical="center"/>
    </xf>
    <xf numFmtId="0" fontId="4" fillId="0" borderId="8" xfId="0" applyFont="1" applyBorder="1"/>
    <xf numFmtId="0" fontId="4" fillId="0" borderId="6" xfId="0" applyFont="1" applyBorder="1" applyAlignment="1">
      <alignment horizontal="left" vertical="center" wrapText="1"/>
    </xf>
    <xf numFmtId="165" fontId="5" fillId="6" borderId="6" xfId="0" applyNumberFormat="1" applyFont="1" applyFill="1" applyBorder="1" applyAlignment="1">
      <alignment vertical="center" wrapText="1"/>
    </xf>
    <xf numFmtId="0" fontId="4" fillId="0" borderId="11" xfId="0" applyFont="1" applyBorder="1" applyAlignment="1">
      <alignment horizontal="left" vertical="center" wrapText="1"/>
    </xf>
    <xf numFmtId="164" fontId="4" fillId="0" borderId="11" xfId="0" applyNumberFormat="1" applyFont="1" applyBorder="1" applyAlignment="1">
      <alignment horizontal="center" vertical="center" wrapText="1"/>
    </xf>
    <xf numFmtId="0" fontId="6" fillId="0" borderId="11" xfId="0" applyFont="1" applyBorder="1" applyAlignment="1">
      <alignment horizontal="left" vertical="center" wrapText="1"/>
    </xf>
    <xf numFmtId="0" fontId="4" fillId="2" borderId="11" xfId="0" applyFont="1" applyFill="1" applyBorder="1" applyAlignment="1">
      <alignment horizontal="left" vertical="center" wrapText="1"/>
    </xf>
    <xf numFmtId="165" fontId="5" fillId="6" borderId="11" xfId="0" applyNumberFormat="1" applyFont="1" applyFill="1" applyBorder="1" applyAlignment="1">
      <alignment vertical="center" wrapText="1"/>
    </xf>
    <xf numFmtId="0" fontId="7" fillId="2" borderId="8" xfId="0" applyFont="1" applyFill="1" applyBorder="1" applyAlignment="1">
      <alignment horizontal="left" vertical="top" wrapText="1"/>
    </xf>
    <xf numFmtId="3" fontId="8" fillId="7" borderId="3" xfId="0" applyNumberFormat="1" applyFont="1" applyFill="1" applyBorder="1" applyAlignment="1">
      <alignment horizontal="center" vertical="top"/>
    </xf>
    <xf numFmtId="0" fontId="9" fillId="0" borderId="2" xfId="0" applyFont="1" applyBorder="1" applyAlignment="1">
      <alignment vertical="top" wrapText="1"/>
    </xf>
    <xf numFmtId="0" fontId="4" fillId="0" borderId="0" xfId="0" applyFont="1" applyAlignment="1">
      <alignment horizontal="center" vertical="center" wrapText="1"/>
    </xf>
    <xf numFmtId="0" fontId="4" fillId="0" borderId="0" xfId="0" applyFont="1" applyAlignment="1">
      <alignment horizontal="left"/>
    </xf>
    <xf numFmtId="0" fontId="5" fillId="0" borderId="0" xfId="0" applyFont="1"/>
    <xf numFmtId="0" fontId="5" fillId="0" borderId="0" xfId="0" applyFont="1" applyAlignment="1">
      <alignment horizontal="center"/>
    </xf>
    <xf numFmtId="0" fontId="5" fillId="9" borderId="11" xfId="0" applyFont="1" applyFill="1" applyBorder="1" applyAlignment="1">
      <alignment horizontal="center" vertical="center" wrapText="1"/>
    </xf>
    <xf numFmtId="0" fontId="5" fillId="9" borderId="11" xfId="0" applyFont="1" applyFill="1" applyBorder="1" applyAlignment="1">
      <alignment horizontal="left" vertical="center" wrapText="1"/>
    </xf>
    <xf numFmtId="0" fontId="5" fillId="9" borderId="6" xfId="0" applyFont="1" applyFill="1" applyBorder="1" applyAlignment="1">
      <alignment horizontal="left" vertical="center" wrapText="1"/>
    </xf>
    <xf numFmtId="3" fontId="4" fillId="0" borderId="11" xfId="0" applyNumberFormat="1" applyFont="1" applyBorder="1" applyAlignment="1">
      <alignment horizontal="center" vertical="center"/>
    </xf>
    <xf numFmtId="0" fontId="4" fillId="0" borderId="11" xfId="0" applyFont="1" applyBorder="1"/>
    <xf numFmtId="3" fontId="4" fillId="0" borderId="8" xfId="0" applyNumberFormat="1" applyFont="1" applyBorder="1" applyAlignment="1">
      <alignment vertical="center"/>
    </xf>
    <xf numFmtId="165" fontId="14" fillId="0" borderId="8" xfId="0" applyNumberFormat="1" applyFont="1" applyBorder="1"/>
    <xf numFmtId="0" fontId="5" fillId="4" borderId="2" xfId="0" applyFont="1" applyFill="1" applyBorder="1" applyAlignment="1">
      <alignment horizontal="center" vertical="center"/>
    </xf>
    <xf numFmtId="0" fontId="5" fillId="6" borderId="2" xfId="0" applyFont="1" applyFill="1" applyBorder="1" applyAlignment="1">
      <alignment horizontal="center" vertical="center"/>
    </xf>
    <xf numFmtId="0" fontId="4" fillId="4" borderId="2" xfId="0" applyFont="1" applyFill="1" applyBorder="1" applyAlignment="1">
      <alignment wrapText="1"/>
    </xf>
    <xf numFmtId="0" fontId="14" fillId="0" borderId="3" xfId="0" applyFont="1" applyBorder="1" applyAlignment="1">
      <alignment vertical="center" wrapText="1"/>
    </xf>
    <xf numFmtId="3" fontId="6" fillId="0" borderId="3" xfId="0" applyNumberFormat="1" applyFont="1" applyBorder="1" applyAlignment="1">
      <alignment horizontal="center" vertical="center"/>
    </xf>
    <xf numFmtId="0" fontId="14" fillId="0" borderId="11" xfId="0" applyFont="1" applyBorder="1" applyAlignment="1">
      <alignment vertical="center"/>
    </xf>
    <xf numFmtId="3" fontId="6" fillId="0" borderId="11" xfId="0" applyNumberFormat="1" applyFont="1" applyBorder="1" applyAlignment="1">
      <alignment horizontal="center" vertical="center"/>
    </xf>
    <xf numFmtId="0" fontId="7" fillId="9" borderId="9" xfId="0" applyFont="1" applyFill="1" applyBorder="1" applyAlignment="1">
      <alignment vertical="center" wrapText="1"/>
    </xf>
    <xf numFmtId="3" fontId="12" fillId="8" borderId="16" xfId="0" applyNumberFormat="1" applyFont="1" applyFill="1" applyBorder="1" applyAlignment="1">
      <alignment horizontal="center" vertical="center"/>
    </xf>
    <xf numFmtId="0" fontId="5" fillId="11" borderId="13" xfId="0" applyFont="1" applyFill="1" applyBorder="1"/>
    <xf numFmtId="3" fontId="5" fillId="8" borderId="11" xfId="0" applyNumberFormat="1" applyFont="1" applyFill="1" applyBorder="1" applyAlignment="1">
      <alignment horizontal="center"/>
    </xf>
    <xf numFmtId="0" fontId="5" fillId="11" borderId="10" xfId="0" applyFont="1" applyFill="1" applyBorder="1"/>
    <xf numFmtId="10" fontId="5" fillId="8" borderId="11" xfId="0" applyNumberFormat="1" applyFont="1" applyFill="1" applyBorder="1" applyAlignment="1">
      <alignment horizontal="center"/>
    </xf>
    <xf numFmtId="0" fontId="4" fillId="0" borderId="0" xfId="0" applyFont="1" applyAlignment="1">
      <alignment horizontal="right" vertical="center"/>
    </xf>
    <xf numFmtId="0" fontId="16" fillId="0" borderId="8" xfId="3" applyFont="1" applyAlignment="1">
      <alignment vertical="center"/>
    </xf>
    <xf numFmtId="0" fontId="4" fillId="0" borderId="0" xfId="0" applyFont="1" applyAlignment="1">
      <alignment horizontal="right"/>
    </xf>
    <xf numFmtId="0" fontId="15" fillId="8" borderId="2" xfId="0" applyFont="1" applyFill="1" applyBorder="1" applyAlignment="1">
      <alignment horizontal="center" vertical="top" wrapText="1"/>
    </xf>
    <xf numFmtId="0" fontId="8" fillId="0" borderId="0" xfId="0" applyFont="1"/>
    <xf numFmtId="49" fontId="8" fillId="0" borderId="0" xfId="0" applyNumberFormat="1" applyFont="1" applyAlignment="1">
      <alignment vertical="top" wrapText="1"/>
    </xf>
    <xf numFmtId="49" fontId="8" fillId="0" borderId="0" xfId="0" applyNumberFormat="1" applyFont="1" applyAlignment="1">
      <alignment horizontal="left" vertical="top" wrapText="1"/>
    </xf>
    <xf numFmtId="0" fontId="8" fillId="0" borderId="0" xfId="0" applyFont="1" applyAlignment="1">
      <alignment vertical="top"/>
    </xf>
    <xf numFmtId="49" fontId="8" fillId="0" borderId="0" xfId="0" applyNumberFormat="1" applyFont="1" applyAlignment="1">
      <alignment vertical="center" wrapText="1"/>
    </xf>
    <xf numFmtId="0" fontId="8" fillId="0" borderId="0" xfId="0" applyFont="1" applyAlignment="1">
      <alignment vertical="center" wrapText="1"/>
    </xf>
    <xf numFmtId="0" fontId="8" fillId="0" borderId="0" xfId="0" applyFont="1" applyAlignment="1">
      <alignment horizontal="right" vertical="center"/>
    </xf>
    <xf numFmtId="0" fontId="17" fillId="0" borderId="8" xfId="3" applyFont="1" applyAlignment="1">
      <alignment vertical="center"/>
    </xf>
    <xf numFmtId="0" fontId="7" fillId="0" borderId="0" xfId="0" applyFont="1" applyAlignment="1">
      <alignment horizontal="center" vertical="top"/>
    </xf>
    <xf numFmtId="0" fontId="8" fillId="0" borderId="0" xfId="0" applyFont="1" applyAlignment="1">
      <alignment horizontal="right"/>
    </xf>
    <xf numFmtId="0" fontId="9" fillId="2" borderId="8" xfId="0" applyFont="1" applyFill="1" applyBorder="1" applyAlignment="1">
      <alignment horizontal="left" vertical="top"/>
    </xf>
    <xf numFmtId="0" fontId="8" fillId="0" borderId="0" xfId="0" applyFont="1" applyAlignment="1">
      <alignment horizontal="left" vertical="top"/>
    </xf>
    <xf numFmtId="0" fontId="8" fillId="2" borderId="8" xfId="0" applyFont="1" applyFill="1" applyBorder="1"/>
    <xf numFmtId="0" fontId="8" fillId="2" borderId="8" xfId="0" applyFont="1" applyFill="1" applyBorder="1" applyAlignment="1">
      <alignment vertical="top"/>
    </xf>
    <xf numFmtId="0" fontId="8" fillId="0" borderId="3" xfId="0" applyFont="1" applyBorder="1" applyAlignment="1">
      <alignment horizontal="left" vertical="top" wrapText="1"/>
    </xf>
    <xf numFmtId="0" fontId="8" fillId="0" borderId="8" xfId="0" applyFont="1" applyBorder="1"/>
    <xf numFmtId="0" fontId="15" fillId="0" borderId="8" xfId="0" applyFont="1" applyBorder="1" applyAlignment="1">
      <alignment vertical="top"/>
    </xf>
    <xf numFmtId="0" fontId="8" fillId="0" borderId="8" xfId="0" applyFont="1" applyBorder="1" applyAlignment="1">
      <alignment vertical="top"/>
    </xf>
    <xf numFmtId="0" fontId="8" fillId="0" borderId="8" xfId="0" applyFont="1" applyBorder="1" applyAlignment="1">
      <alignment horizontal="left" vertical="top"/>
    </xf>
    <xf numFmtId="0" fontId="7" fillId="12" borderId="11" xfId="0" applyFont="1" applyFill="1" applyBorder="1" applyAlignment="1">
      <alignment horizontal="left" vertical="top" wrapText="1"/>
    </xf>
    <xf numFmtId="0" fontId="7" fillId="15" borderId="8" xfId="0" applyFont="1" applyFill="1" applyBorder="1" applyAlignment="1">
      <alignment horizontal="left" vertical="top" wrapText="1"/>
    </xf>
    <xf numFmtId="0" fontId="9" fillId="0" borderId="7" xfId="0" applyFont="1" applyBorder="1" applyAlignment="1">
      <alignment vertical="top" wrapText="1"/>
    </xf>
    <xf numFmtId="3" fontId="15" fillId="7" borderId="3" xfId="0" applyNumberFormat="1" applyFont="1" applyFill="1" applyBorder="1" applyAlignment="1">
      <alignment horizontal="center" vertical="top" wrapText="1"/>
    </xf>
    <xf numFmtId="0" fontId="9" fillId="0" borderId="11" xfId="0" applyFont="1" applyBorder="1" applyAlignment="1">
      <alignment horizontal="left" vertical="top" wrapText="1"/>
    </xf>
    <xf numFmtId="0" fontId="18" fillId="0" borderId="11" xfId="1" applyFont="1" applyFill="1" applyBorder="1" applyAlignment="1">
      <alignment vertical="top" wrapText="1"/>
    </xf>
    <xf numFmtId="0" fontId="10" fillId="0" borderId="11" xfId="0" applyFont="1" applyBorder="1" applyAlignment="1">
      <alignment horizontal="left" vertical="top" wrapText="1"/>
    </xf>
    <xf numFmtId="0" fontId="10" fillId="0" borderId="11" xfId="0" applyFont="1" applyBorder="1" applyAlignment="1">
      <alignment vertical="top" wrapText="1"/>
    </xf>
    <xf numFmtId="0" fontId="9" fillId="0" borderId="11" xfId="0" applyFont="1" applyBorder="1" applyAlignment="1">
      <alignment vertical="top" wrapText="1"/>
    </xf>
    <xf numFmtId="0" fontId="15" fillId="7" borderId="3" xfId="0" applyFont="1" applyFill="1" applyBorder="1" applyAlignment="1">
      <alignment horizontal="center" vertical="top" wrapText="1"/>
    </xf>
    <xf numFmtId="0" fontId="8" fillId="0" borderId="5" xfId="0" applyFont="1" applyBorder="1" applyAlignment="1">
      <alignment horizontal="left" vertical="top" wrapText="1"/>
    </xf>
    <xf numFmtId="3" fontId="8" fillId="7" borderId="10" xfId="0" applyNumberFormat="1" applyFont="1" applyFill="1" applyBorder="1" applyAlignment="1">
      <alignment horizontal="center" vertical="top"/>
    </xf>
    <xf numFmtId="0" fontId="9" fillId="0" borderId="16" xfId="0" applyFont="1" applyBorder="1" applyAlignment="1">
      <alignment vertical="top" wrapText="1"/>
    </xf>
    <xf numFmtId="0" fontId="10" fillId="0" borderId="16" xfId="0" applyFont="1" applyBorder="1" applyAlignment="1">
      <alignment vertical="top" wrapText="1"/>
    </xf>
    <xf numFmtId="0" fontId="18" fillId="0" borderId="16" xfId="1" applyFont="1" applyFill="1" applyBorder="1" applyAlignment="1">
      <alignment vertical="top" wrapText="1"/>
    </xf>
    <xf numFmtId="0" fontId="5" fillId="3" borderId="8" xfId="0" applyFont="1" applyFill="1" applyBorder="1" applyAlignment="1">
      <alignment horizontal="center" vertical="center" wrapText="1"/>
    </xf>
    <xf numFmtId="0" fontId="5" fillId="3" borderId="8" xfId="0" applyFont="1" applyFill="1" applyBorder="1" applyAlignment="1">
      <alignment horizontal="left" vertical="center" wrapText="1"/>
    </xf>
    <xf numFmtId="3" fontId="5" fillId="3" borderId="8" xfId="0" applyNumberFormat="1" applyFont="1" applyFill="1" applyBorder="1" applyAlignment="1">
      <alignment horizontal="left" vertical="center" wrapText="1"/>
    </xf>
    <xf numFmtId="0" fontId="5" fillId="3" borderId="8" xfId="0" applyFont="1" applyFill="1" applyBorder="1" applyAlignment="1">
      <alignment vertical="center" wrapText="1"/>
    </xf>
    <xf numFmtId="0" fontId="4" fillId="0" borderId="15" xfId="0" applyFont="1" applyBorder="1" applyAlignment="1">
      <alignment horizontal="left" vertical="center" wrapText="1"/>
    </xf>
    <xf numFmtId="3" fontId="4" fillId="0" borderId="15" xfId="0" applyNumberFormat="1" applyFont="1" applyBorder="1" applyAlignment="1">
      <alignment horizontal="center" vertical="center"/>
    </xf>
    <xf numFmtId="164" fontId="4" fillId="0" borderId="15" xfId="0" applyNumberFormat="1" applyFont="1" applyBorder="1" applyAlignment="1">
      <alignment horizontal="center" vertical="center" wrapText="1"/>
    </xf>
    <xf numFmtId="0" fontId="4" fillId="0" borderId="18" xfId="0" applyFont="1" applyBorder="1" applyAlignment="1">
      <alignment horizontal="left" vertical="center" wrapText="1"/>
    </xf>
    <xf numFmtId="0" fontId="6" fillId="0" borderId="8" xfId="5" applyFont="1" applyAlignment="1">
      <alignment horizontal="center" vertical="center"/>
    </xf>
    <xf numFmtId="0" fontId="4" fillId="3" borderId="8" xfId="5" applyFont="1" applyFill="1" applyAlignment="1">
      <alignment horizontal="center" vertical="center"/>
    </xf>
    <xf numFmtId="0" fontId="4" fillId="3" borderId="8" xfId="5" applyFont="1" applyFill="1" applyAlignment="1">
      <alignment horizontal="left" vertical="center"/>
    </xf>
    <xf numFmtId="0" fontId="4" fillId="3" borderId="8" xfId="5" applyFont="1" applyFill="1" applyAlignment="1">
      <alignment vertical="top"/>
    </xf>
    <xf numFmtId="0" fontId="4" fillId="0" borderId="8" xfId="5" applyFont="1" applyAlignment="1">
      <alignment horizontal="center" vertical="center"/>
    </xf>
    <xf numFmtId="0" fontId="4" fillId="0" borderId="8" xfId="5" applyFont="1"/>
    <xf numFmtId="0" fontId="4" fillId="0" borderId="8" xfId="5" applyFont="1" applyAlignment="1">
      <alignment horizontal="left" vertical="center"/>
    </xf>
    <xf numFmtId="0" fontId="4" fillId="0" borderId="8" xfId="5" applyFont="1" applyAlignment="1">
      <alignment vertical="center"/>
    </xf>
    <xf numFmtId="0" fontId="4" fillId="0" borderId="8" xfId="5" applyFont="1" applyAlignment="1">
      <alignment horizontal="right" vertical="center"/>
    </xf>
    <xf numFmtId="0" fontId="4" fillId="3" borderId="8" xfId="5" applyFont="1" applyFill="1" applyAlignment="1">
      <alignment vertical="center" wrapText="1"/>
    </xf>
    <xf numFmtId="0" fontId="4" fillId="0" borderId="8" xfId="5" applyFont="1" applyAlignment="1">
      <alignment vertical="top"/>
    </xf>
    <xf numFmtId="0" fontId="12" fillId="8" borderId="2" xfId="5" applyFont="1" applyFill="1" applyBorder="1" applyAlignment="1">
      <alignment horizontal="center" vertical="center" wrapText="1"/>
    </xf>
    <xf numFmtId="0" fontId="12" fillId="0" borderId="2" xfId="5" applyFont="1" applyBorder="1" applyAlignment="1">
      <alignment horizontal="left" vertical="center" wrapText="1"/>
    </xf>
    <xf numFmtId="3" fontId="6" fillId="7" borderId="2" xfId="5" applyNumberFormat="1" applyFont="1" applyFill="1" applyBorder="1" applyAlignment="1">
      <alignment horizontal="left" vertical="center" wrapText="1"/>
    </xf>
    <xf numFmtId="3" fontId="6" fillId="7" borderId="2" xfId="5" applyNumberFormat="1" applyFont="1" applyFill="1" applyBorder="1" applyAlignment="1">
      <alignment horizontal="center" vertical="center" wrapText="1"/>
    </xf>
    <xf numFmtId="3" fontId="6" fillId="7" borderId="2" xfId="5" applyNumberFormat="1" applyFont="1" applyFill="1" applyBorder="1" applyAlignment="1">
      <alignment vertical="top" wrapText="1"/>
    </xf>
    <xf numFmtId="10" fontId="14" fillId="0" borderId="11" xfId="5" applyNumberFormat="1" applyFont="1" applyBorder="1" applyAlignment="1">
      <alignment horizontal="left" vertical="top"/>
    </xf>
    <xf numFmtId="0" fontId="12" fillId="6" borderId="2" xfId="5" applyFont="1" applyFill="1" applyBorder="1" applyAlignment="1">
      <alignment horizontal="center" vertical="center" wrapText="1"/>
    </xf>
    <xf numFmtId="3" fontId="5" fillId="6" borderId="2" xfId="5" applyNumberFormat="1" applyFont="1" applyFill="1" applyBorder="1" applyAlignment="1">
      <alignment horizontal="left" vertical="center" wrapText="1"/>
    </xf>
    <xf numFmtId="3" fontId="5" fillId="6" borderId="2" xfId="5" applyNumberFormat="1" applyFont="1" applyFill="1" applyBorder="1" applyAlignment="1">
      <alignment horizontal="center" vertical="center" wrapText="1"/>
    </xf>
    <xf numFmtId="3" fontId="5" fillId="6" borderId="2" xfId="5" applyNumberFormat="1" applyFont="1" applyFill="1" applyBorder="1" applyAlignment="1">
      <alignment vertical="top" wrapText="1"/>
    </xf>
    <xf numFmtId="0" fontId="4" fillId="0" borderId="8" xfId="6" applyFont="1"/>
    <xf numFmtId="0" fontId="4" fillId="0" borderId="8" xfId="6" applyFont="1" applyAlignment="1">
      <alignment wrapText="1"/>
    </xf>
    <xf numFmtId="0" fontId="5" fillId="3" borderId="8" xfId="5" applyFont="1" applyFill="1" applyAlignment="1">
      <alignment vertical="center" wrapText="1"/>
    </xf>
    <xf numFmtId="0" fontId="4" fillId="0" borderId="8" xfId="6" applyFont="1" applyAlignment="1">
      <alignment vertical="center"/>
    </xf>
    <xf numFmtId="0" fontId="4" fillId="0" borderId="8" xfId="5" applyFont="1" applyAlignment="1">
      <alignment horizontal="right"/>
    </xf>
    <xf numFmtId="0" fontId="16" fillId="0" borderId="8" xfId="7" applyFont="1" applyBorder="1" applyAlignment="1">
      <alignment vertical="top"/>
    </xf>
    <xf numFmtId="0" fontId="16" fillId="0" borderId="8" xfId="7" applyFont="1" applyBorder="1" applyAlignment="1">
      <alignment horizontal="left" vertical="top"/>
    </xf>
    <xf numFmtId="3" fontId="4" fillId="3" borderId="8" xfId="5" applyNumberFormat="1" applyFont="1" applyFill="1" applyAlignment="1">
      <alignment horizontal="left" vertical="center"/>
    </xf>
    <xf numFmtId="0" fontId="5" fillId="3" borderId="8" xfId="5" applyFont="1" applyFill="1" applyAlignment="1">
      <alignment horizontal="center" vertical="center" wrapText="1"/>
    </xf>
    <xf numFmtId="0" fontId="4" fillId="3" borderId="8" xfId="5" applyFont="1" applyFill="1" applyAlignment="1">
      <alignment horizontal="center" vertical="center" wrapText="1"/>
    </xf>
    <xf numFmtId="0" fontId="5" fillId="3" borderId="8" xfId="5" applyFont="1" applyFill="1" applyAlignment="1">
      <alignment horizontal="left" vertical="center" wrapText="1"/>
    </xf>
    <xf numFmtId="3" fontId="5" fillId="3" borderId="8" xfId="5" applyNumberFormat="1" applyFont="1" applyFill="1" applyAlignment="1">
      <alignment horizontal="left" vertical="center" wrapText="1"/>
    </xf>
    <xf numFmtId="3" fontId="4" fillId="0" borderId="8" xfId="5" applyNumberFormat="1" applyFont="1" applyAlignment="1">
      <alignment horizontal="left" vertical="center"/>
    </xf>
    <xf numFmtId="0" fontId="5" fillId="0" borderId="8" xfId="5" applyFont="1" applyAlignment="1">
      <alignment vertical="center"/>
    </xf>
    <xf numFmtId="0" fontId="5" fillId="8" borderId="11" xfId="5" applyFont="1" applyFill="1" applyBorder="1" applyAlignment="1">
      <alignment horizontal="center" vertical="center"/>
    </xf>
    <xf numFmtId="165" fontId="5" fillId="8" borderId="11" xfId="5" applyNumberFormat="1" applyFont="1" applyFill="1" applyBorder="1" applyAlignment="1">
      <alignment horizontal="center" vertical="center"/>
    </xf>
    <xf numFmtId="0" fontId="5" fillId="8" borderId="11" xfId="5" applyFont="1" applyFill="1" applyBorder="1"/>
    <xf numFmtId="165" fontId="4" fillId="0" borderId="8" xfId="5" applyNumberFormat="1" applyFont="1" applyAlignment="1">
      <alignment horizontal="center"/>
    </xf>
    <xf numFmtId="0" fontId="5" fillId="0" borderId="11" xfId="5" applyFont="1" applyBorder="1" applyAlignment="1">
      <alignment horizontal="left" vertical="center"/>
    </xf>
    <xf numFmtId="165" fontId="4" fillId="0" borderId="11" xfId="5" applyNumberFormat="1" applyFont="1" applyBorder="1" applyAlignment="1">
      <alignment horizontal="center" vertical="center"/>
    </xf>
    <xf numFmtId="165" fontId="14" fillId="0" borderId="11" xfId="5" applyNumberFormat="1" applyFont="1" applyBorder="1" applyAlignment="1">
      <alignment horizontal="center" vertical="center"/>
    </xf>
    <xf numFmtId="0" fontId="5" fillId="0" borderId="11" xfId="5" applyFont="1" applyBorder="1" applyAlignment="1">
      <alignment horizontal="left"/>
    </xf>
    <xf numFmtId="165" fontId="4" fillId="0" borderId="11" xfId="5" applyNumberFormat="1" applyFont="1" applyBorder="1" applyAlignment="1">
      <alignment horizontal="center" wrapText="1"/>
    </xf>
    <xf numFmtId="165" fontId="4" fillId="0" borderId="11" xfId="5" applyNumberFormat="1" applyFont="1" applyBorder="1" applyAlignment="1">
      <alignment horizontal="center"/>
    </xf>
    <xf numFmtId="165" fontId="14" fillId="0" borderId="11" xfId="5" applyNumberFormat="1" applyFont="1" applyBorder="1" applyAlignment="1">
      <alignment horizontal="center"/>
    </xf>
    <xf numFmtId="0" fontId="4" fillId="0" borderId="8" xfId="5" applyFont="1" applyAlignment="1">
      <alignment vertical="top" wrapText="1"/>
    </xf>
    <xf numFmtId="0" fontId="12" fillId="11" borderId="11" xfId="5" applyFont="1" applyFill="1" applyBorder="1" applyAlignment="1">
      <alignment horizontal="center" vertical="center" wrapText="1"/>
    </xf>
    <xf numFmtId="0" fontId="6" fillId="7" borderId="11" xfId="5" applyFont="1" applyFill="1" applyBorder="1" applyAlignment="1">
      <alignment wrapText="1"/>
    </xf>
    <xf numFmtId="167" fontId="6" fillId="0" borderId="11" xfId="8" applyNumberFormat="1" applyFont="1" applyBorder="1" applyAlignment="1">
      <alignment horizontal="center" vertical="center" wrapText="1"/>
    </xf>
    <xf numFmtId="167" fontId="14" fillId="0" borderId="11" xfId="8" applyNumberFormat="1" applyFont="1" applyBorder="1" applyAlignment="1">
      <alignment wrapText="1"/>
    </xf>
    <xf numFmtId="167" fontId="4" fillId="0" borderId="11" xfId="8" applyNumberFormat="1" applyFont="1" applyBorder="1" applyAlignment="1">
      <alignment horizontal="center" vertical="center" wrapText="1"/>
    </xf>
    <xf numFmtId="167" fontId="14" fillId="0" borderId="11" xfId="8" applyNumberFormat="1" applyFont="1" applyBorder="1" applyAlignment="1">
      <alignment vertical="center" wrapText="1"/>
    </xf>
    <xf numFmtId="0" fontId="4" fillId="7" borderId="11" xfId="5" applyFont="1" applyFill="1" applyBorder="1" applyAlignment="1">
      <alignment wrapText="1"/>
    </xf>
    <xf numFmtId="167" fontId="4" fillId="0" borderId="11" xfId="8" applyNumberFormat="1" applyFont="1" applyBorder="1" applyAlignment="1">
      <alignment wrapText="1"/>
    </xf>
    <xf numFmtId="0" fontId="4" fillId="0" borderId="11" xfId="5" applyFont="1" applyBorder="1"/>
    <xf numFmtId="0" fontId="12" fillId="4" borderId="11" xfId="5" applyFont="1" applyFill="1" applyBorder="1" applyAlignment="1">
      <alignment horizontal="center" vertical="center" wrapText="1"/>
    </xf>
    <xf numFmtId="167" fontId="12" fillId="4" borderId="11" xfId="5" applyNumberFormat="1" applyFont="1" applyFill="1" applyBorder="1" applyAlignment="1">
      <alignment horizontal="center" vertical="center" wrapText="1"/>
    </xf>
    <xf numFmtId="0" fontId="4" fillId="0" borderId="8" xfId="5" applyFont="1" applyAlignment="1">
      <alignment vertical="center" wrapText="1"/>
    </xf>
    <xf numFmtId="0" fontId="5" fillId="0" borderId="8" xfId="5" applyFont="1" applyAlignment="1">
      <alignment vertical="center" wrapText="1"/>
    </xf>
    <xf numFmtId="0" fontId="4" fillId="7" borderId="8" xfId="5" applyFont="1" applyFill="1"/>
    <xf numFmtId="0" fontId="4" fillId="0" borderId="8" xfId="11" applyFont="1"/>
    <xf numFmtId="0" fontId="22" fillId="7" borderId="8" xfId="11" applyFont="1" applyFill="1" applyAlignment="1">
      <alignment horizontal="center"/>
    </xf>
    <xf numFmtId="0" fontId="23" fillId="7" borderId="8" xfId="11" applyFont="1" applyFill="1"/>
    <xf numFmtId="0" fontId="4" fillId="7" borderId="8" xfId="11" applyFont="1" applyFill="1"/>
    <xf numFmtId="0" fontId="5" fillId="0" borderId="8" xfId="11" applyFont="1"/>
    <xf numFmtId="1" fontId="4" fillId="0" borderId="8" xfId="12" applyNumberFormat="1" applyFont="1" applyBorder="1"/>
    <xf numFmtId="0" fontId="16" fillId="0" borderId="8" xfId="3" applyFont="1"/>
    <xf numFmtId="0" fontId="12" fillId="10" borderId="11" xfId="0" applyFont="1" applyFill="1" applyBorder="1" applyAlignment="1">
      <alignment horizontal="center" vertical="center" wrapText="1"/>
    </xf>
    <xf numFmtId="166" fontId="12" fillId="10" borderId="11" xfId="0" applyNumberFormat="1" applyFont="1" applyFill="1" applyBorder="1" applyAlignment="1">
      <alignment horizontal="center" vertical="center" wrapText="1"/>
    </xf>
    <xf numFmtId="166" fontId="12" fillId="10" borderId="11" xfId="0" applyNumberFormat="1" applyFont="1" applyFill="1" applyBorder="1" applyAlignment="1">
      <alignment horizontal="center" vertical="center"/>
    </xf>
    <xf numFmtId="166" fontId="12" fillId="6" borderId="11" xfId="0" applyNumberFormat="1" applyFont="1" applyFill="1" applyBorder="1" applyAlignment="1">
      <alignment horizontal="center" vertical="center"/>
    </xf>
    <xf numFmtId="166" fontId="12" fillId="6" borderId="11" xfId="0" applyNumberFormat="1" applyFont="1" applyFill="1" applyBorder="1" applyAlignment="1">
      <alignment horizontal="left" vertical="top"/>
    </xf>
    <xf numFmtId="0" fontId="5" fillId="6" borderId="11" xfId="0" applyFont="1" applyFill="1" applyBorder="1" applyAlignment="1">
      <alignment horizontal="center" vertical="center"/>
    </xf>
    <xf numFmtId="0" fontId="5" fillId="26" borderId="11" xfId="0" applyFont="1" applyFill="1" applyBorder="1" applyAlignment="1">
      <alignment horizontal="center" vertical="center" wrapText="1"/>
    </xf>
    <xf numFmtId="0" fontId="5" fillId="26" borderId="11" xfId="0" applyFont="1" applyFill="1" applyBorder="1" applyAlignment="1">
      <alignment vertical="center" wrapText="1"/>
    </xf>
    <xf numFmtId="166" fontId="5" fillId="26" borderId="11" xfId="0" applyNumberFormat="1" applyFont="1" applyFill="1" applyBorder="1" applyAlignment="1">
      <alignment horizontal="center" vertical="center"/>
    </xf>
    <xf numFmtId="166" fontId="5" fillId="26" borderId="11" xfId="0" applyNumberFormat="1" applyFont="1" applyFill="1" applyBorder="1" applyAlignment="1">
      <alignment vertical="center" wrapText="1"/>
    </xf>
    <xf numFmtId="0" fontId="26" fillId="0" borderId="8" xfId="13" applyFont="1" applyAlignment="1">
      <alignment vertical="center"/>
    </xf>
    <xf numFmtId="0" fontId="27" fillId="0" borderId="8" xfId="13" applyFont="1" applyAlignment="1">
      <alignment vertical="center"/>
    </xf>
    <xf numFmtId="0" fontId="26" fillId="0" borderId="8" xfId="13" applyFont="1" applyAlignment="1">
      <alignment vertical="center" wrapText="1"/>
    </xf>
    <xf numFmtId="0" fontId="28" fillId="0" borderId="8" xfId="13" applyFont="1" applyAlignment="1">
      <alignment vertical="center" wrapText="1"/>
    </xf>
    <xf numFmtId="3" fontId="28" fillId="0" borderId="8" xfId="13" applyNumberFormat="1" applyFont="1" applyAlignment="1">
      <alignment vertical="center" wrapText="1"/>
    </xf>
    <xf numFmtId="0" fontId="29" fillId="28" borderId="11" xfId="13" applyFont="1" applyFill="1" applyBorder="1" applyAlignment="1">
      <alignment horizontal="center" vertical="center" wrapText="1"/>
    </xf>
    <xf numFmtId="0" fontId="30" fillId="7" borderId="8" xfId="13" applyFont="1" applyFill="1" applyAlignment="1">
      <alignment horizontal="center" vertical="center" wrapText="1"/>
    </xf>
    <xf numFmtId="0" fontId="28" fillId="7" borderId="8" xfId="13" applyFont="1" applyFill="1" applyAlignment="1">
      <alignment vertical="center" wrapText="1"/>
    </xf>
    <xf numFmtId="0" fontId="28" fillId="0" borderId="11" xfId="13" applyFont="1" applyBorder="1" applyAlignment="1">
      <alignment vertical="center" wrapText="1"/>
    </xf>
    <xf numFmtId="0" fontId="28" fillId="7" borderId="11" xfId="13" applyFont="1" applyFill="1" applyBorder="1" applyAlignment="1">
      <alignment vertical="center" wrapText="1"/>
    </xf>
    <xf numFmtId="0" fontId="28" fillId="7" borderId="11" xfId="13" applyFont="1" applyFill="1" applyBorder="1" applyAlignment="1">
      <alignment vertical="center"/>
    </xf>
    <xf numFmtId="0" fontId="28" fillId="7" borderId="11" xfId="13" applyFont="1" applyFill="1" applyBorder="1" applyAlignment="1">
      <alignment horizontal="left" vertical="center" wrapText="1"/>
    </xf>
    <xf numFmtId="3" fontId="31" fillId="7" borderId="11" xfId="13" applyNumberFormat="1" applyFont="1" applyFill="1" applyBorder="1" applyAlignment="1">
      <alignment horizontal="center" vertical="center"/>
    </xf>
    <xf numFmtId="3" fontId="32" fillId="7" borderId="11" xfId="13" applyNumberFormat="1" applyFont="1" applyFill="1" applyBorder="1" applyAlignment="1">
      <alignment horizontal="center" vertical="center" wrapText="1"/>
    </xf>
    <xf numFmtId="0" fontId="32" fillId="7" borderId="8" xfId="13" applyFont="1" applyFill="1" applyAlignment="1">
      <alignment vertical="center" wrapText="1"/>
    </xf>
    <xf numFmtId="0" fontId="33" fillId="7" borderId="8" xfId="13" applyFont="1" applyFill="1" applyAlignment="1">
      <alignment vertical="center" wrapText="1"/>
    </xf>
    <xf numFmtId="0" fontId="34" fillId="7" borderId="8" xfId="13" applyFont="1" applyFill="1" applyAlignment="1">
      <alignment horizontal="center" vertical="center" wrapText="1"/>
    </xf>
    <xf numFmtId="165" fontId="31" fillId="7" borderId="8" xfId="13" applyNumberFormat="1" applyFont="1" applyFill="1" applyAlignment="1">
      <alignment vertical="center"/>
    </xf>
    <xf numFmtId="0" fontId="36" fillId="7" borderId="8" xfId="13" applyFont="1" applyFill="1" applyAlignment="1">
      <alignment vertical="center"/>
    </xf>
    <xf numFmtId="0" fontId="28" fillId="0" borderId="11" xfId="13" applyFont="1" applyBorder="1" applyAlignment="1">
      <alignment horizontal="left" vertical="center" wrapText="1"/>
    </xf>
    <xf numFmtId="0" fontId="28" fillId="7" borderId="11" xfId="13" applyFont="1" applyFill="1" applyBorder="1" applyAlignment="1">
      <alignment horizontal="left" vertical="center"/>
    </xf>
    <xf numFmtId="165" fontId="37" fillId="29" borderId="11" xfId="13" applyNumberFormat="1" applyFont="1" applyFill="1" applyBorder="1" applyAlignment="1">
      <alignment horizontal="center" vertical="center"/>
    </xf>
    <xf numFmtId="165" fontId="37" fillId="7" borderId="8" xfId="13" applyNumberFormat="1" applyFont="1" applyFill="1" applyAlignment="1">
      <alignment horizontal="center" vertical="center"/>
    </xf>
    <xf numFmtId="0" fontId="28" fillId="3" borderId="8" xfId="13" applyFont="1" applyFill="1" applyAlignment="1">
      <alignment vertical="center" wrapText="1"/>
    </xf>
    <xf numFmtId="0" fontId="26" fillId="3" borderId="8" xfId="13" applyFont="1" applyFill="1" applyAlignment="1">
      <alignment vertical="center"/>
    </xf>
    <xf numFmtId="0" fontId="39" fillId="30" borderId="2" xfId="13" applyFont="1" applyFill="1" applyBorder="1" applyAlignment="1">
      <alignment horizontal="center" vertical="center" wrapText="1"/>
    </xf>
    <xf numFmtId="0" fontId="39" fillId="30" borderId="7" xfId="13" applyFont="1" applyFill="1" applyBorder="1" applyAlignment="1">
      <alignment horizontal="center" vertical="center" wrapText="1"/>
    </xf>
    <xf numFmtId="0" fontId="39" fillId="7" borderId="8" xfId="13" applyFont="1" applyFill="1" applyAlignment="1">
      <alignment horizontal="center" vertical="center" wrapText="1"/>
    </xf>
    <xf numFmtId="0" fontId="37" fillId="3" borderId="8" xfId="13" applyFont="1" applyFill="1" applyAlignment="1">
      <alignment vertical="center" wrapText="1"/>
    </xf>
    <xf numFmtId="0" fontId="27" fillId="3" borderId="8" xfId="13" applyFont="1" applyFill="1" applyAlignment="1">
      <alignment vertical="center"/>
    </xf>
    <xf numFmtId="0" fontId="28" fillId="0" borderId="2" xfId="13" applyFont="1" applyBorder="1" applyAlignment="1">
      <alignment vertical="center" wrapText="1"/>
    </xf>
    <xf numFmtId="0" fontId="28" fillId="7" borderId="2" xfId="13" applyFont="1" applyFill="1" applyBorder="1" applyAlignment="1">
      <alignment vertical="center" wrapText="1"/>
    </xf>
    <xf numFmtId="0" fontId="32" fillId="7" borderId="2" xfId="13" applyFont="1" applyFill="1" applyBorder="1" applyAlignment="1">
      <alignment horizontal="center" vertical="center" wrapText="1"/>
    </xf>
    <xf numFmtId="0" fontId="32" fillId="14" borderId="2" xfId="13" applyFont="1" applyFill="1" applyBorder="1" applyAlignment="1">
      <alignment horizontal="center" vertical="center" wrapText="1"/>
    </xf>
    <xf numFmtId="0" fontId="33" fillId="7" borderId="2" xfId="13" applyFont="1" applyFill="1" applyBorder="1" applyAlignment="1">
      <alignment horizontal="center" vertical="center" wrapText="1"/>
    </xf>
    <xf numFmtId="0" fontId="32" fillId="0" borderId="2" xfId="13" applyFont="1" applyBorder="1" applyAlignment="1">
      <alignment horizontal="center" vertical="center" wrapText="1"/>
    </xf>
    <xf numFmtId="0" fontId="32" fillId="0" borderId="7" xfId="13" applyFont="1" applyBorder="1" applyAlignment="1">
      <alignment horizontal="center" vertical="center" wrapText="1"/>
    </xf>
    <xf numFmtId="0" fontId="26" fillId="7" borderId="11" xfId="13" applyFont="1" applyFill="1" applyBorder="1" applyAlignment="1">
      <alignment vertical="center" wrapText="1"/>
    </xf>
    <xf numFmtId="0" fontId="34" fillId="0" borderId="8" xfId="13" applyFont="1" applyAlignment="1">
      <alignment horizontal="center" vertical="center" wrapText="1"/>
    </xf>
    <xf numFmtId="0" fontId="28" fillId="0" borderId="2" xfId="13" applyFont="1" applyBorder="1" applyAlignment="1">
      <alignment horizontal="left" vertical="center" wrapText="1"/>
    </xf>
    <xf numFmtId="0" fontId="28" fillId="7" borderId="2" xfId="13" applyFont="1" applyFill="1" applyBorder="1" applyAlignment="1">
      <alignment horizontal="left" vertical="center" wrapText="1"/>
    </xf>
    <xf numFmtId="0" fontId="28" fillId="0" borderId="3" xfId="13" applyFont="1" applyBorder="1" applyAlignment="1">
      <alignment vertical="center" wrapText="1"/>
    </xf>
    <xf numFmtId="0" fontId="28" fillId="7" borderId="3" xfId="13" applyFont="1" applyFill="1" applyBorder="1" applyAlignment="1">
      <alignment vertical="center" wrapText="1"/>
    </xf>
    <xf numFmtId="0" fontId="32" fillId="0" borderId="3" xfId="13" applyFont="1" applyBorder="1" applyAlignment="1">
      <alignment horizontal="center" vertical="center" wrapText="1"/>
    </xf>
    <xf numFmtId="0" fontId="32" fillId="14" borderId="3" xfId="13" applyFont="1" applyFill="1" applyBorder="1" applyAlignment="1">
      <alignment horizontal="center" vertical="center" wrapText="1"/>
    </xf>
    <xf numFmtId="0" fontId="32" fillId="7" borderId="3" xfId="13" applyFont="1" applyFill="1" applyBorder="1" applyAlignment="1">
      <alignment horizontal="center" vertical="center" wrapText="1"/>
    </xf>
    <xf numFmtId="0" fontId="32" fillId="0" borderId="9" xfId="13" applyFont="1" applyBorder="1" applyAlignment="1">
      <alignment horizontal="center" vertical="center" wrapText="1"/>
    </xf>
    <xf numFmtId="0" fontId="26" fillId="7" borderId="15" xfId="13" applyFont="1" applyFill="1" applyBorder="1" applyAlignment="1">
      <alignment vertical="center" wrapText="1"/>
    </xf>
    <xf numFmtId="0" fontId="40" fillId="28" borderId="2" xfId="13" applyFont="1" applyFill="1" applyBorder="1" applyAlignment="1">
      <alignment horizontal="center" vertical="center" wrapText="1"/>
    </xf>
    <xf numFmtId="0" fontId="41" fillId="31" borderId="2" xfId="13" applyFont="1" applyFill="1" applyBorder="1" applyAlignment="1">
      <alignment horizontal="left" vertical="center" wrapText="1"/>
    </xf>
    <xf numFmtId="0" fontId="42" fillId="0" borderId="2" xfId="13" applyFont="1" applyBorder="1" applyAlignment="1">
      <alignment horizontal="center" vertical="center" wrapText="1"/>
    </xf>
    <xf numFmtId="0" fontId="1" fillId="0" borderId="2" xfId="13" applyBorder="1" applyAlignment="1">
      <alignment horizontal="center" vertical="center"/>
    </xf>
    <xf numFmtId="0" fontId="26" fillId="0" borderId="2" xfId="13" applyFont="1" applyBorder="1" applyAlignment="1">
      <alignment horizontal="center" vertical="center"/>
    </xf>
    <xf numFmtId="0" fontId="42" fillId="7" borderId="2" xfId="13" applyFont="1" applyFill="1" applyBorder="1" applyAlignment="1">
      <alignment horizontal="center" vertical="center" wrapText="1"/>
    </xf>
    <xf numFmtId="0" fontId="26" fillId="0" borderId="6" xfId="13" applyFont="1" applyBorder="1" applyAlignment="1">
      <alignment horizontal="center" vertical="center"/>
    </xf>
    <xf numFmtId="0" fontId="42" fillId="5" borderId="2" xfId="13" applyFont="1" applyFill="1" applyBorder="1" applyAlignment="1">
      <alignment horizontal="center" vertical="center" wrapText="1"/>
    </xf>
    <xf numFmtId="0" fontId="43" fillId="30" borderId="2" xfId="13" applyFont="1" applyFill="1" applyBorder="1" applyAlignment="1">
      <alignment horizontal="right" vertical="center" wrapText="1"/>
    </xf>
    <xf numFmtId="0" fontId="44" fillId="30" borderId="2" xfId="13" applyFont="1" applyFill="1" applyBorder="1" applyAlignment="1">
      <alignment horizontal="center" vertical="center" wrapText="1"/>
    </xf>
    <xf numFmtId="166" fontId="12" fillId="6" borderId="11" xfId="0" applyNumberFormat="1" applyFont="1" applyFill="1" applyBorder="1" applyAlignment="1">
      <alignment vertical="center"/>
    </xf>
    <xf numFmtId="0" fontId="5" fillId="0" borderId="0" xfId="0" applyFont="1" applyAlignment="1">
      <alignment horizontal="center"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4" fillId="0" borderId="8" xfId="0" applyFont="1" applyBorder="1" applyAlignment="1">
      <alignment horizontal="center" vertical="center" wrapText="1"/>
    </xf>
    <xf numFmtId="10" fontId="5" fillId="7" borderId="11" xfId="0" applyNumberFormat="1" applyFont="1" applyFill="1" applyBorder="1" applyAlignment="1">
      <alignment horizontal="center"/>
    </xf>
    <xf numFmtId="0" fontId="4" fillId="7" borderId="8" xfId="5" applyFont="1" applyFill="1" applyAlignment="1">
      <alignment horizontal="center" vertical="center"/>
    </xf>
    <xf numFmtId="0" fontId="4" fillId="7" borderId="8" xfId="5" applyFont="1" applyFill="1" applyAlignment="1">
      <alignment horizontal="left" vertical="center"/>
    </xf>
    <xf numFmtId="0" fontId="4" fillId="7" borderId="8" xfId="5" applyFont="1" applyFill="1" applyAlignment="1">
      <alignment vertical="top"/>
    </xf>
    <xf numFmtId="0" fontId="4" fillId="0" borderId="0" xfId="0" applyFont="1" applyAlignment="1">
      <alignment horizontal="center" vertical="center"/>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0" fontId="6" fillId="2" borderId="2" xfId="0" applyFont="1" applyFill="1" applyBorder="1" applyAlignment="1">
      <alignment horizontal="left" vertical="top" wrapText="1"/>
    </xf>
    <xf numFmtId="0" fontId="6" fillId="22" borderId="2" xfId="0" applyFont="1" applyFill="1" applyBorder="1" applyAlignment="1">
      <alignment horizontal="left" vertical="center" wrapText="1" readingOrder="1"/>
    </xf>
    <xf numFmtId="0" fontId="12" fillId="4" borderId="2" xfId="0" applyFont="1" applyFill="1" applyBorder="1" applyAlignment="1">
      <alignment horizontal="left" vertical="center" wrapText="1" readingOrder="1"/>
    </xf>
    <xf numFmtId="0" fontId="12" fillId="4" borderId="2" xfId="0" applyFont="1" applyFill="1" applyBorder="1" applyAlignment="1">
      <alignment horizontal="left" vertical="top" wrapText="1" readingOrder="1"/>
    </xf>
    <xf numFmtId="0" fontId="5" fillId="6" borderId="7" xfId="0" applyFont="1" applyFill="1" applyBorder="1" applyAlignment="1">
      <alignment horizontal="center" vertical="center"/>
    </xf>
    <xf numFmtId="3" fontId="6" fillId="0" borderId="13" xfId="0" applyNumberFormat="1" applyFont="1" applyBorder="1" applyAlignment="1">
      <alignment horizontal="center" vertical="center"/>
    </xf>
    <xf numFmtId="0" fontId="9" fillId="0" borderId="11" xfId="0" applyFont="1" applyBorder="1" applyAlignment="1">
      <alignment horizontal="center" vertical="center"/>
    </xf>
    <xf numFmtId="0" fontId="9" fillId="0" borderId="13" xfId="0" applyFont="1" applyBorder="1" applyAlignment="1">
      <alignment horizontal="center" vertical="center"/>
    </xf>
    <xf numFmtId="0" fontId="9" fillId="0" borderId="11" xfId="0" applyFont="1" applyBorder="1"/>
    <xf numFmtId="0" fontId="9" fillId="0" borderId="16" xfId="0" applyFont="1" applyBorder="1" applyAlignment="1">
      <alignment horizontal="center" vertical="center"/>
    </xf>
    <xf numFmtId="0" fontId="15" fillId="0" borderId="11" xfId="0" applyFont="1" applyBorder="1" applyAlignment="1">
      <alignment horizontal="center" vertical="center"/>
    </xf>
    <xf numFmtId="0" fontId="15" fillId="0" borderId="13" xfId="0" applyFont="1" applyBorder="1" applyAlignment="1">
      <alignment horizontal="center" vertical="center"/>
    </xf>
    <xf numFmtId="0" fontId="15" fillId="0" borderId="2" xfId="0" applyFont="1" applyBorder="1" applyAlignment="1">
      <alignment horizontal="center" vertical="center"/>
    </xf>
    <xf numFmtId="0" fontId="8" fillId="14" borderId="8" xfId="0" applyFont="1" applyFill="1" applyBorder="1"/>
    <xf numFmtId="0" fontId="8" fillId="7" borderId="0" xfId="0" applyFont="1" applyFill="1"/>
    <xf numFmtId="0" fontId="5" fillId="34" borderId="8" xfId="0" applyFont="1" applyFill="1" applyBorder="1"/>
    <xf numFmtId="0" fontId="40" fillId="33" borderId="2" xfId="13" applyFont="1" applyFill="1" applyBorder="1" applyAlignment="1">
      <alignment horizontal="center" vertical="center" wrapText="1"/>
    </xf>
    <xf numFmtId="0" fontId="42" fillId="33" borderId="2" xfId="13" applyFont="1" applyFill="1" applyBorder="1" applyAlignment="1">
      <alignment horizontal="center" vertical="center" wrapText="1"/>
    </xf>
    <xf numFmtId="0" fontId="4" fillId="0" borderId="16" xfId="0" applyFont="1" applyBorder="1" applyAlignment="1">
      <alignment horizontal="left" vertical="center" wrapText="1"/>
    </xf>
    <xf numFmtId="0" fontId="4" fillId="0" borderId="20" xfId="0" applyFont="1" applyBorder="1" applyAlignment="1">
      <alignment horizontal="left" vertical="center" wrapText="1"/>
    </xf>
    <xf numFmtId="164" fontId="4" fillId="0" borderId="16" xfId="0" applyNumberFormat="1" applyFont="1" applyBorder="1" applyAlignment="1">
      <alignment horizontal="center" vertical="center" wrapText="1"/>
    </xf>
    <xf numFmtId="0" fontId="6" fillId="2" borderId="5" xfId="0" applyFont="1" applyFill="1" applyBorder="1" applyAlignment="1">
      <alignment horizontal="left" vertical="top" wrapText="1"/>
    </xf>
    <xf numFmtId="0" fontId="32" fillId="7" borderId="7" xfId="13" applyFont="1" applyFill="1" applyBorder="1" applyAlignment="1">
      <alignment horizontal="center" vertical="center" wrapText="1"/>
    </xf>
    <xf numFmtId="3" fontId="6" fillId="0" borderId="11" xfId="0" applyNumberFormat="1" applyFont="1" applyBorder="1"/>
    <xf numFmtId="0" fontId="6" fillId="0" borderId="2" xfId="0" applyFont="1" applyBorder="1"/>
    <xf numFmtId="0" fontId="6" fillId="0" borderId="11" xfId="0" applyFont="1" applyBorder="1"/>
    <xf numFmtId="0" fontId="12" fillId="16" borderId="2" xfId="5" applyFont="1" applyFill="1" applyBorder="1" applyAlignment="1">
      <alignment horizontal="center" vertical="center" wrapText="1"/>
    </xf>
    <xf numFmtId="0" fontId="12" fillId="19" borderId="5" xfId="0" applyFont="1" applyFill="1" applyBorder="1" applyAlignment="1">
      <alignment horizontal="right" vertical="top" wrapText="1" readingOrder="1"/>
    </xf>
    <xf numFmtId="0" fontId="12" fillId="19" borderId="5" xfId="0" applyFont="1" applyFill="1" applyBorder="1" applyAlignment="1">
      <alignment horizontal="center" vertical="center" wrapText="1"/>
    </xf>
    <xf numFmtId="0" fontId="6" fillId="19" borderId="5" xfId="0" applyFont="1" applyFill="1" applyBorder="1" applyAlignment="1">
      <alignment horizontal="right" vertical="top"/>
    </xf>
    <xf numFmtId="0" fontId="6" fillId="19" borderId="10" xfId="0" applyFont="1" applyFill="1" applyBorder="1" applyAlignment="1">
      <alignment horizontal="right" vertical="top"/>
    </xf>
    <xf numFmtId="0" fontId="12" fillId="19" borderId="2" xfId="0" applyFont="1" applyFill="1" applyBorder="1" applyAlignment="1">
      <alignment horizontal="right" vertical="top" wrapText="1" readingOrder="1"/>
    </xf>
    <xf numFmtId="0" fontId="12" fillId="19" borderId="2" xfId="0" applyFont="1" applyFill="1" applyBorder="1" applyAlignment="1">
      <alignment horizontal="center" vertical="center" wrapText="1"/>
    </xf>
    <xf numFmtId="0" fontId="6" fillId="19" borderId="2" xfId="0" applyFont="1" applyFill="1" applyBorder="1" applyAlignment="1">
      <alignment horizontal="center" vertical="center" wrapText="1"/>
    </xf>
    <xf numFmtId="3" fontId="6" fillId="2" borderId="2" xfId="0" applyNumberFormat="1" applyFont="1" applyFill="1" applyBorder="1" applyAlignment="1">
      <alignment horizontal="right" vertical="top" wrapText="1"/>
    </xf>
    <xf numFmtId="3" fontId="6" fillId="0" borderId="2" xfId="0" applyNumberFormat="1" applyFont="1" applyBorder="1" applyAlignment="1">
      <alignment horizontal="right" vertical="top" wrapText="1"/>
    </xf>
    <xf numFmtId="0" fontId="6" fillId="2" borderId="2" xfId="0" applyFont="1" applyFill="1" applyBorder="1" applyAlignment="1">
      <alignment horizontal="right" vertical="top" wrapText="1"/>
    </xf>
    <xf numFmtId="0" fontId="14" fillId="19" borderId="2" xfId="0" applyFont="1" applyFill="1" applyBorder="1" applyAlignment="1">
      <alignment horizontal="right" vertical="top" wrapText="1"/>
    </xf>
    <xf numFmtId="0" fontId="6" fillId="19" borderId="2" xfId="0" applyFont="1" applyFill="1" applyBorder="1" applyAlignment="1">
      <alignment horizontal="right" vertical="top"/>
    </xf>
    <xf numFmtId="0" fontId="12" fillId="21" borderId="2" xfId="0" applyFont="1" applyFill="1" applyBorder="1" applyAlignment="1">
      <alignment horizontal="right" vertical="top" wrapText="1" readingOrder="1"/>
    </xf>
    <xf numFmtId="0" fontId="12" fillId="21" borderId="2" xfId="0" applyFont="1" applyFill="1" applyBorder="1" applyAlignment="1">
      <alignment horizontal="center" vertical="center" wrapText="1"/>
    </xf>
    <xf numFmtId="3" fontId="6" fillId="2" borderId="2" xfId="0" applyNumberFormat="1" applyFont="1" applyFill="1" applyBorder="1" applyAlignment="1">
      <alignment horizontal="right" vertical="top"/>
    </xf>
    <xf numFmtId="0" fontId="6" fillId="0" borderId="2" xfId="0" applyFont="1" applyBorder="1" applyAlignment="1">
      <alignment horizontal="center" vertical="center"/>
    </xf>
    <xf numFmtId="3" fontId="6" fillId="0" borderId="2" xfId="0" applyNumberFormat="1" applyFont="1" applyBorder="1" applyAlignment="1">
      <alignment horizontal="right" vertical="top"/>
    </xf>
    <xf numFmtId="0" fontId="6" fillId="2" borderId="2" xfId="0" applyFont="1" applyFill="1" applyBorder="1" applyAlignment="1">
      <alignment horizontal="right" vertical="top"/>
    </xf>
    <xf numFmtId="3" fontId="6" fillId="19" borderId="2" xfId="0" applyNumberFormat="1" applyFont="1" applyFill="1" applyBorder="1" applyAlignment="1">
      <alignment horizontal="right" vertical="top"/>
    </xf>
    <xf numFmtId="0" fontId="6" fillId="0" borderId="2" xfId="0" applyFont="1" applyBorder="1" applyAlignment="1">
      <alignment horizontal="center" vertical="center" wrapText="1"/>
    </xf>
    <xf numFmtId="3" fontId="6" fillId="19" borderId="2" xfId="0" applyNumberFormat="1" applyFont="1" applyFill="1" applyBorder="1" applyAlignment="1">
      <alignment horizontal="right" vertical="top" wrapText="1"/>
    </xf>
    <xf numFmtId="0" fontId="6" fillId="0" borderId="2" xfId="0" applyFont="1" applyBorder="1" applyAlignment="1">
      <alignment horizontal="right" vertical="top" wrapText="1"/>
    </xf>
    <xf numFmtId="0" fontId="6" fillId="19" borderId="2" xfId="0" applyFont="1" applyFill="1" applyBorder="1" applyAlignment="1">
      <alignment horizontal="right" vertical="top" wrapText="1"/>
    </xf>
    <xf numFmtId="0" fontId="6" fillId="2" borderId="2" xfId="0" applyFont="1" applyFill="1" applyBorder="1" applyAlignment="1">
      <alignment vertical="top" wrapText="1" readingOrder="1"/>
    </xf>
    <xf numFmtId="3" fontId="14" fillId="19" borderId="2" xfId="0" applyNumberFormat="1" applyFont="1" applyFill="1" applyBorder="1" applyAlignment="1">
      <alignment horizontal="right" vertical="top" wrapText="1"/>
    </xf>
    <xf numFmtId="3" fontId="12" fillId="2" borderId="2" xfId="0" applyNumberFormat="1" applyFont="1" applyFill="1" applyBorder="1" applyAlignment="1">
      <alignment horizontal="right" vertical="top" wrapText="1"/>
    </xf>
    <xf numFmtId="0" fontId="6" fillId="4" borderId="3" xfId="0" applyFont="1" applyFill="1" applyBorder="1" applyAlignment="1">
      <alignment horizontal="left" vertical="center" wrapText="1" readingOrder="1"/>
    </xf>
    <xf numFmtId="0" fontId="6" fillId="2" borderId="6" xfId="0" applyFont="1" applyFill="1" applyBorder="1" applyAlignment="1">
      <alignment horizontal="left" vertical="top" wrapText="1"/>
    </xf>
    <xf numFmtId="0" fontId="6" fillId="2" borderId="18" xfId="0" applyFont="1" applyFill="1" applyBorder="1" applyAlignment="1">
      <alignment horizontal="left" vertical="top" wrapText="1"/>
    </xf>
    <xf numFmtId="3" fontId="12" fillId="2" borderId="3" xfId="0" applyNumberFormat="1" applyFont="1" applyFill="1" applyBorder="1" applyAlignment="1">
      <alignment horizontal="right" vertical="top" wrapText="1"/>
    </xf>
    <xf numFmtId="0" fontId="6" fillId="0" borderId="3" xfId="0" applyFont="1" applyBorder="1" applyAlignment="1">
      <alignment horizontal="center" vertical="center" wrapText="1"/>
    </xf>
    <xf numFmtId="0" fontId="6" fillId="2" borderId="3" xfId="0" applyFont="1" applyFill="1" applyBorder="1" applyAlignment="1">
      <alignment horizontal="right" vertical="top" wrapText="1"/>
    </xf>
    <xf numFmtId="0" fontId="14" fillId="19" borderId="3" xfId="0" applyFont="1" applyFill="1" applyBorder="1" applyAlignment="1">
      <alignment horizontal="right" vertical="top" wrapText="1"/>
    </xf>
    <xf numFmtId="0" fontId="6" fillId="2" borderId="12" xfId="0" applyFont="1" applyFill="1" applyBorder="1" applyAlignment="1">
      <alignment horizontal="left" vertical="top" wrapText="1"/>
    </xf>
    <xf numFmtId="0" fontId="6" fillId="2" borderId="11" xfId="0" applyFont="1" applyFill="1" applyBorder="1" applyAlignment="1">
      <alignment vertical="top" wrapText="1" readingOrder="1"/>
    </xf>
    <xf numFmtId="3" fontId="6" fillId="2" borderId="11" xfId="0" applyNumberFormat="1" applyFont="1" applyFill="1" applyBorder="1" applyAlignment="1">
      <alignment horizontal="right" vertical="top" wrapText="1"/>
    </xf>
    <xf numFmtId="0" fontId="6" fillId="0" borderId="11" xfId="0" applyFont="1" applyBorder="1" applyAlignment="1">
      <alignment horizontal="center" vertical="center" wrapText="1"/>
    </xf>
    <xf numFmtId="3" fontId="6" fillId="0" borderId="11" xfId="0" applyNumberFormat="1" applyFont="1" applyBorder="1" applyAlignment="1">
      <alignment horizontal="right" vertical="top" wrapText="1"/>
    </xf>
    <xf numFmtId="3" fontId="6" fillId="19" borderId="11" xfId="0" applyNumberFormat="1" applyFont="1" applyFill="1" applyBorder="1" applyAlignment="1">
      <alignment horizontal="right" vertical="top" wrapText="1"/>
    </xf>
    <xf numFmtId="0" fontId="6" fillId="2" borderId="11" xfId="0" applyFont="1" applyFill="1" applyBorder="1" applyAlignment="1">
      <alignment horizontal="right" vertical="top" wrapText="1"/>
    </xf>
    <xf numFmtId="0" fontId="6" fillId="0" borderId="11" xfId="0" applyFont="1" applyBorder="1" applyAlignment="1">
      <alignment horizontal="right" vertical="top" wrapText="1"/>
    </xf>
    <xf numFmtId="0" fontId="6" fillId="19" borderId="11" xfId="0" applyFont="1" applyFill="1" applyBorder="1" applyAlignment="1">
      <alignment horizontal="right" vertical="top" wrapText="1"/>
    </xf>
    <xf numFmtId="3" fontId="12" fillId="2" borderId="5" xfId="0" applyNumberFormat="1" applyFont="1" applyFill="1" applyBorder="1" applyAlignment="1">
      <alignment horizontal="right" vertical="top" wrapText="1"/>
    </xf>
    <xf numFmtId="0" fontId="6" fillId="0" borderId="5" xfId="0" applyFont="1" applyBorder="1" applyAlignment="1">
      <alignment horizontal="center" vertical="center" wrapText="1"/>
    </xf>
    <xf numFmtId="0" fontId="6" fillId="2" borderId="5" xfId="0" applyFont="1" applyFill="1" applyBorder="1" applyAlignment="1">
      <alignment horizontal="right" vertical="top" wrapText="1"/>
    </xf>
    <xf numFmtId="0" fontId="6" fillId="0" borderId="5" xfId="0" applyFont="1" applyBorder="1" applyAlignment="1">
      <alignment horizontal="right" vertical="top" wrapText="1"/>
    </xf>
    <xf numFmtId="0" fontId="6" fillId="19" borderId="5" xfId="0" applyFont="1" applyFill="1" applyBorder="1" applyAlignment="1">
      <alignment horizontal="right" vertical="top" wrapText="1"/>
    </xf>
    <xf numFmtId="0" fontId="6" fillId="0" borderId="2" xfId="0" applyFont="1" applyBorder="1" applyAlignment="1">
      <alignment horizontal="right" vertical="top"/>
    </xf>
    <xf numFmtId="0" fontId="6" fillId="19" borderId="3" xfId="0" applyFont="1" applyFill="1" applyBorder="1" applyAlignment="1">
      <alignment horizontal="right" vertical="top" wrapText="1"/>
    </xf>
    <xf numFmtId="0" fontId="12" fillId="4" borderId="2" xfId="0" applyFont="1" applyFill="1" applyBorder="1" applyAlignment="1">
      <alignment vertical="top" wrapText="1" readingOrder="1"/>
    </xf>
    <xf numFmtId="0" fontId="12" fillId="4" borderId="2" xfId="0" applyFont="1" applyFill="1" applyBorder="1" applyAlignment="1">
      <alignment horizontal="right" vertical="top" wrapText="1"/>
    </xf>
    <xf numFmtId="0" fontId="12" fillId="4" borderId="3" xfId="0" applyFont="1" applyFill="1" applyBorder="1" applyAlignment="1">
      <alignment horizontal="center" vertical="center" wrapText="1"/>
    </xf>
    <xf numFmtId="3" fontId="12" fillId="4" borderId="3" xfId="0" applyNumberFormat="1" applyFont="1" applyFill="1" applyBorder="1" applyAlignment="1">
      <alignment horizontal="right" vertical="top" wrapText="1"/>
    </xf>
    <xf numFmtId="3" fontId="6" fillId="19" borderId="11" xfId="0" applyNumberFormat="1" applyFont="1" applyFill="1" applyBorder="1" applyAlignment="1">
      <alignment horizontal="center" vertical="center" wrapText="1"/>
    </xf>
    <xf numFmtId="0" fontId="6" fillId="19" borderId="11" xfId="0" applyFont="1" applyFill="1" applyBorder="1" applyAlignment="1">
      <alignment horizontal="center" vertical="center" wrapText="1"/>
    </xf>
    <xf numFmtId="3" fontId="14" fillId="19" borderId="11" xfId="0" applyNumberFormat="1" applyFont="1" applyFill="1" applyBorder="1"/>
    <xf numFmtId="0" fontId="14" fillId="19" borderId="11" xfId="0" applyFont="1" applyFill="1" applyBorder="1"/>
    <xf numFmtId="0" fontId="6" fillId="0" borderId="11" xfId="0" applyFont="1" applyBorder="1" applyAlignment="1">
      <alignment wrapText="1"/>
    </xf>
    <xf numFmtId="0" fontId="35" fillId="7" borderId="11" xfId="13" applyFont="1" applyFill="1" applyBorder="1" applyAlignment="1">
      <alignment vertical="center" wrapText="1"/>
    </xf>
    <xf numFmtId="0" fontId="6" fillId="19" borderId="11" xfId="0" applyFont="1" applyFill="1" applyBorder="1" applyAlignment="1">
      <alignment wrapText="1"/>
    </xf>
    <xf numFmtId="0" fontId="6" fillId="18" borderId="4" xfId="0" applyFont="1" applyFill="1" applyBorder="1" applyAlignment="1">
      <alignment horizontal="center" vertical="center"/>
    </xf>
    <xf numFmtId="0" fontId="6" fillId="2" borderId="15" xfId="0" applyFont="1" applyFill="1" applyBorder="1" applyAlignment="1">
      <alignment vertical="top" wrapText="1" readingOrder="1"/>
    </xf>
    <xf numFmtId="0" fontId="6" fillId="2" borderId="16" xfId="0" applyFont="1" applyFill="1" applyBorder="1" applyAlignment="1">
      <alignment vertical="top" wrapText="1" readingOrder="1"/>
    </xf>
    <xf numFmtId="0" fontId="6" fillId="22" borderId="5" xfId="0" applyFont="1" applyFill="1" applyBorder="1" applyAlignment="1">
      <alignment horizontal="left" vertical="center" wrapText="1"/>
    </xf>
    <xf numFmtId="0" fontId="6" fillId="22" borderId="3" xfId="0" applyFont="1" applyFill="1" applyBorder="1" applyAlignment="1">
      <alignment horizontal="left" vertical="center" wrapText="1"/>
    </xf>
    <xf numFmtId="0" fontId="6" fillId="22" borderId="4" xfId="0" applyFont="1" applyFill="1" applyBorder="1" applyAlignment="1">
      <alignment horizontal="left" vertical="center" wrapText="1"/>
    </xf>
    <xf numFmtId="3" fontId="6" fillId="19" borderId="2" xfId="0" applyNumberFormat="1" applyFont="1" applyFill="1" applyBorder="1" applyAlignment="1">
      <alignment horizontal="center" vertical="center" wrapText="1"/>
    </xf>
    <xf numFmtId="3" fontId="14" fillId="19" borderId="11" xfId="0" applyNumberFormat="1" applyFont="1" applyFill="1" applyBorder="1" applyAlignment="1">
      <alignment vertical="center"/>
    </xf>
    <xf numFmtId="0" fontId="14" fillId="19" borderId="11" xfId="0" applyFont="1" applyFill="1" applyBorder="1" applyAlignment="1">
      <alignment vertical="center" wrapText="1"/>
    </xf>
    <xf numFmtId="3" fontId="14" fillId="19" borderId="11" xfId="0" applyNumberFormat="1" applyFont="1" applyFill="1" applyBorder="1" applyAlignment="1">
      <alignment vertical="center" wrapText="1"/>
    </xf>
    <xf numFmtId="0" fontId="12" fillId="36" borderId="13" xfId="0" applyFont="1" applyFill="1" applyBorder="1" applyAlignment="1">
      <alignment vertical="center"/>
    </xf>
    <xf numFmtId="0" fontId="12" fillId="20" borderId="11" xfId="0" applyFont="1" applyFill="1" applyBorder="1" applyAlignment="1">
      <alignment horizontal="left" vertical="center" wrapText="1" readingOrder="1"/>
    </xf>
    <xf numFmtId="0" fontId="12" fillId="20" borderId="11" xfId="0" applyFont="1" applyFill="1" applyBorder="1" applyAlignment="1">
      <alignment horizontal="center" vertical="center" wrapText="1" readingOrder="1"/>
    </xf>
    <xf numFmtId="0" fontId="12" fillId="20" borderId="11" xfId="0" applyFont="1" applyFill="1" applyBorder="1" applyAlignment="1">
      <alignment vertical="top" wrapText="1" readingOrder="1"/>
    </xf>
    <xf numFmtId="0" fontId="12" fillId="36" borderId="11" xfId="0" applyFont="1" applyFill="1" applyBorder="1" applyAlignment="1">
      <alignment horizontal="center" vertical="center" wrapText="1"/>
    </xf>
    <xf numFmtId="0" fontId="12" fillId="20" borderId="13" xfId="0" applyFont="1" applyFill="1" applyBorder="1" applyAlignment="1">
      <alignment horizontal="center" vertical="center" wrapText="1" readingOrder="1"/>
    </xf>
    <xf numFmtId="3" fontId="50" fillId="20" borderId="11" xfId="0" applyNumberFormat="1" applyFont="1" applyFill="1" applyBorder="1" applyAlignment="1">
      <alignment vertical="center" wrapText="1" readingOrder="1"/>
    </xf>
    <xf numFmtId="0" fontId="12" fillId="20" borderId="12" xfId="0" applyFont="1" applyFill="1" applyBorder="1" applyAlignment="1">
      <alignment horizontal="center" vertical="center" wrapText="1" readingOrder="1"/>
    </xf>
    <xf numFmtId="3" fontId="12" fillId="20" borderId="12" xfId="0" applyNumberFormat="1" applyFont="1" applyFill="1" applyBorder="1" applyAlignment="1">
      <alignment horizontal="right" vertical="top" wrapText="1" readingOrder="1"/>
    </xf>
    <xf numFmtId="0" fontId="6" fillId="19" borderId="7" xfId="0" applyFont="1" applyFill="1" applyBorder="1" applyAlignment="1">
      <alignment horizontal="right" vertical="top"/>
    </xf>
    <xf numFmtId="3" fontId="6" fillId="19" borderId="7" xfId="0" applyNumberFormat="1" applyFont="1" applyFill="1" applyBorder="1" applyAlignment="1">
      <alignment horizontal="right" vertical="top"/>
    </xf>
    <xf numFmtId="0" fontId="14" fillId="19" borderId="7" xfId="0" applyFont="1" applyFill="1" applyBorder="1" applyAlignment="1">
      <alignment horizontal="right" vertical="top" wrapText="1"/>
    </xf>
    <xf numFmtId="0" fontId="12" fillId="20" borderId="12" xfId="0" applyFont="1" applyFill="1" applyBorder="1" applyAlignment="1">
      <alignment horizontal="right" vertical="top" wrapText="1" readingOrder="1"/>
    </xf>
    <xf numFmtId="0" fontId="6" fillId="0" borderId="3" xfId="0" applyFont="1" applyBorder="1" applyAlignment="1">
      <alignment horizontal="right" vertical="top" wrapText="1"/>
    </xf>
    <xf numFmtId="0" fontId="14" fillId="19" borderId="9" xfId="0" applyFont="1" applyFill="1" applyBorder="1" applyAlignment="1">
      <alignment horizontal="right" vertical="top" wrapText="1"/>
    </xf>
    <xf numFmtId="0" fontId="6" fillId="19" borderId="7" xfId="0" applyFont="1" applyFill="1" applyBorder="1" applyAlignment="1">
      <alignment horizontal="right" vertical="top" wrapText="1"/>
    </xf>
    <xf numFmtId="3" fontId="14" fillId="19" borderId="7" xfId="0" applyNumberFormat="1" applyFont="1" applyFill="1" applyBorder="1" applyAlignment="1">
      <alignment horizontal="right" vertical="top" wrapText="1"/>
    </xf>
    <xf numFmtId="3" fontId="6" fillId="19" borderId="13" xfId="0" applyNumberFormat="1" applyFont="1" applyFill="1" applyBorder="1" applyAlignment="1">
      <alignment horizontal="right" vertical="top" wrapText="1"/>
    </xf>
    <xf numFmtId="0" fontId="6" fillId="2" borderId="15" xfId="0" applyFont="1" applyFill="1" applyBorder="1" applyAlignment="1">
      <alignment horizontal="right" vertical="top" wrapText="1"/>
    </xf>
    <xf numFmtId="0" fontId="6" fillId="2" borderId="16" xfId="0" applyFont="1" applyFill="1" applyBorder="1" applyAlignment="1">
      <alignment horizontal="right" vertical="top" wrapText="1"/>
    </xf>
    <xf numFmtId="0" fontId="6" fillId="19" borderId="13" xfId="0" applyFont="1" applyFill="1" applyBorder="1" applyAlignment="1">
      <alignment horizontal="right" vertical="top" wrapText="1"/>
    </xf>
    <xf numFmtId="0" fontId="6" fillId="19" borderId="10" xfId="0" applyFont="1" applyFill="1" applyBorder="1" applyAlignment="1">
      <alignment horizontal="right" vertical="top" wrapText="1"/>
    </xf>
    <xf numFmtId="0" fontId="6" fillId="0" borderId="7" xfId="0" applyFont="1" applyBorder="1" applyAlignment="1">
      <alignment horizontal="right" vertical="top"/>
    </xf>
    <xf numFmtId="0" fontId="6" fillId="19" borderId="9" xfId="0" applyFont="1" applyFill="1" applyBorder="1" applyAlignment="1">
      <alignment horizontal="right" vertical="top" wrapText="1"/>
    </xf>
    <xf numFmtId="3" fontId="6" fillId="19" borderId="7" xfId="0" applyNumberFormat="1" applyFont="1" applyFill="1" applyBorder="1" applyAlignment="1">
      <alignment horizontal="right" vertical="top" wrapText="1"/>
    </xf>
    <xf numFmtId="0" fontId="6" fillId="2" borderId="5" xfId="0" applyFont="1" applyFill="1" applyBorder="1" applyAlignment="1">
      <alignment wrapText="1"/>
    </xf>
    <xf numFmtId="3" fontId="12" fillId="4" borderId="4" xfId="0" applyNumberFormat="1" applyFont="1" applyFill="1" applyBorder="1" applyAlignment="1">
      <alignment horizontal="right" vertical="top" wrapText="1"/>
    </xf>
    <xf numFmtId="0" fontId="12" fillId="18" borderId="2" xfId="0" applyFont="1" applyFill="1" applyBorder="1" applyAlignment="1">
      <alignment horizontal="center" vertical="center"/>
    </xf>
    <xf numFmtId="0" fontId="6" fillId="18" borderId="2" xfId="0" applyFont="1" applyFill="1" applyBorder="1" applyAlignment="1">
      <alignment horizontal="right" vertical="top"/>
    </xf>
    <xf numFmtId="0" fontId="6" fillId="18" borderId="2" xfId="0" applyFont="1" applyFill="1" applyBorder="1" applyAlignment="1">
      <alignment vertical="center"/>
    </xf>
    <xf numFmtId="0" fontId="12" fillId="0" borderId="11" xfId="0" applyFont="1" applyBorder="1" applyAlignment="1">
      <alignment horizontal="center" vertical="center" wrapText="1"/>
    </xf>
    <xf numFmtId="0" fontId="6" fillId="19" borderId="11" xfId="0" applyFont="1" applyFill="1" applyBorder="1" applyAlignment="1">
      <alignment horizontal="left" vertical="center" wrapText="1"/>
    </xf>
    <xf numFmtId="3" fontId="6" fillId="0" borderId="11" xfId="0" applyNumberFormat="1" applyFont="1" applyBorder="1" applyAlignment="1">
      <alignment horizontal="center" vertical="center" wrapText="1"/>
    </xf>
    <xf numFmtId="0" fontId="9" fillId="0" borderId="11" xfId="0" applyFont="1" applyBorder="1" applyAlignment="1">
      <alignment wrapText="1"/>
    </xf>
    <xf numFmtId="0" fontId="9" fillId="0" borderId="12" xfId="0" applyFont="1" applyBorder="1" applyAlignment="1">
      <alignment wrapText="1"/>
    </xf>
    <xf numFmtId="0" fontId="9" fillId="0" borderId="6" xfId="0" applyFont="1" applyBorder="1" applyAlignment="1">
      <alignment wrapText="1"/>
    </xf>
    <xf numFmtId="0" fontId="9" fillId="0" borderId="21" xfId="0" applyFont="1" applyBorder="1" applyAlignment="1">
      <alignment wrapText="1"/>
    </xf>
    <xf numFmtId="0" fontId="9" fillId="0" borderId="20" xfId="0" applyFont="1" applyBorder="1" applyAlignment="1">
      <alignment wrapText="1"/>
    </xf>
    <xf numFmtId="0" fontId="9" fillId="0" borderId="16" xfId="0" applyFont="1" applyBorder="1" applyAlignment="1">
      <alignment wrapText="1"/>
    </xf>
    <xf numFmtId="3" fontId="6" fillId="2" borderId="11" xfId="0" applyNumberFormat="1" applyFont="1" applyFill="1" applyBorder="1" applyAlignment="1">
      <alignment horizontal="center" vertical="center"/>
    </xf>
    <xf numFmtId="0" fontId="6" fillId="0" borderId="11" xfId="0" applyFont="1" applyBorder="1" applyAlignment="1">
      <alignment horizontal="center" vertical="center"/>
    </xf>
    <xf numFmtId="0" fontId="9" fillId="0" borderId="21" xfId="0" applyFont="1" applyBorder="1"/>
    <xf numFmtId="0" fontId="9" fillId="2" borderId="21" xfId="0" applyFont="1" applyFill="1" applyBorder="1" applyAlignment="1">
      <alignment wrapText="1"/>
    </xf>
    <xf numFmtId="3" fontId="6" fillId="19" borderId="3" xfId="0" applyNumberFormat="1" applyFont="1" applyFill="1" applyBorder="1" applyAlignment="1">
      <alignment horizontal="center" vertical="center"/>
    </xf>
    <xf numFmtId="3" fontId="6" fillId="19" borderId="9" xfId="0" applyNumberFormat="1" applyFont="1" applyFill="1" applyBorder="1" applyAlignment="1">
      <alignment horizontal="center" vertical="center"/>
    </xf>
    <xf numFmtId="3" fontId="6" fillId="19" borderId="11" xfId="0" applyNumberFormat="1" applyFont="1" applyFill="1" applyBorder="1" applyAlignment="1">
      <alignment horizontal="center" vertical="center"/>
    </xf>
    <xf numFmtId="0" fontId="6" fillId="2" borderId="13" xfId="0" applyFont="1" applyFill="1" applyBorder="1" applyAlignment="1">
      <alignment horizontal="left" vertical="center" wrapText="1"/>
    </xf>
    <xf numFmtId="3" fontId="14" fillId="19" borderId="16" xfId="0" applyNumberFormat="1" applyFont="1" applyFill="1" applyBorder="1"/>
    <xf numFmtId="3" fontId="12" fillId="19" borderId="16" xfId="0" applyNumberFormat="1" applyFont="1" applyFill="1" applyBorder="1" applyAlignment="1">
      <alignment horizontal="center" vertical="center"/>
    </xf>
    <xf numFmtId="0" fontId="6" fillId="19" borderId="11" xfId="0" applyFont="1" applyFill="1" applyBorder="1" applyAlignment="1">
      <alignment horizontal="center" vertical="center"/>
    </xf>
    <xf numFmtId="0" fontId="4" fillId="7" borderId="8" xfId="0" applyFont="1" applyFill="1" applyBorder="1"/>
    <xf numFmtId="0" fontId="6" fillId="0" borderId="7" xfId="0" applyFont="1" applyBorder="1" applyAlignment="1">
      <alignment horizontal="center" vertical="center"/>
    </xf>
    <xf numFmtId="0" fontId="6" fillId="2" borderId="2"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6" fillId="19" borderId="13"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5" xfId="0" applyFont="1" applyFill="1" applyBorder="1" applyAlignment="1">
      <alignment horizontal="center" vertical="center"/>
    </xf>
    <xf numFmtId="0" fontId="6" fillId="0" borderId="3" xfId="0" applyFont="1" applyBorder="1" applyAlignment="1">
      <alignment horizontal="center" vertical="center"/>
    </xf>
    <xf numFmtId="0" fontId="19" fillId="2" borderId="7" xfId="0" applyFont="1" applyFill="1" applyBorder="1" applyAlignment="1">
      <alignment horizontal="center" vertical="center"/>
    </xf>
    <xf numFmtId="0" fontId="6" fillId="2" borderId="6" xfId="0" applyFont="1" applyFill="1" applyBorder="1" applyAlignment="1">
      <alignment horizontal="center" vertical="center"/>
    </xf>
    <xf numFmtId="0" fontId="14" fillId="0" borderId="2" xfId="0" applyFont="1" applyBorder="1" applyAlignment="1">
      <alignment horizontal="center" vertical="top"/>
    </xf>
    <xf numFmtId="0" fontId="6" fillId="0" borderId="2" xfId="0" applyFont="1" applyBorder="1" applyAlignment="1">
      <alignment horizontal="center" vertical="top" wrapText="1"/>
    </xf>
    <xf numFmtId="0" fontId="6" fillId="19" borderId="2" xfId="0" applyFont="1" applyFill="1" applyBorder="1" applyAlignment="1">
      <alignment horizontal="center" vertical="center"/>
    </xf>
    <xf numFmtId="0" fontId="6" fillId="19" borderId="5" xfId="0" applyFont="1" applyFill="1" applyBorder="1" applyAlignment="1">
      <alignment horizontal="center" vertical="center"/>
    </xf>
    <xf numFmtId="0" fontId="6" fillId="2" borderId="3" xfId="0" applyFont="1" applyFill="1" applyBorder="1" applyAlignment="1">
      <alignment horizontal="center" vertical="center"/>
    </xf>
    <xf numFmtId="0" fontId="8" fillId="7" borderId="11" xfId="0" applyFont="1" applyFill="1" applyBorder="1" applyAlignment="1">
      <alignment horizontal="center" vertical="center"/>
    </xf>
    <xf numFmtId="0" fontId="46" fillId="0" borderId="8" xfId="0" applyFont="1" applyBorder="1" applyAlignment="1">
      <alignment horizontal="center" vertical="center"/>
    </xf>
    <xf numFmtId="3" fontId="6" fillId="0" borderId="15" xfId="0" applyNumberFormat="1" applyFont="1" applyBorder="1" applyAlignment="1">
      <alignment horizontal="center" vertical="center" wrapText="1"/>
    </xf>
    <xf numFmtId="0" fontId="6" fillId="0" borderId="11" xfId="0" applyFont="1" applyBorder="1" applyAlignment="1">
      <alignment horizontal="center"/>
    </xf>
    <xf numFmtId="0" fontId="12" fillId="40" borderId="11" xfId="0" applyFont="1" applyFill="1" applyBorder="1" applyAlignment="1">
      <alignment horizontal="center" vertical="center" wrapText="1"/>
    </xf>
    <xf numFmtId="3" fontId="14" fillId="0" borderId="11" xfId="0" applyNumberFormat="1" applyFont="1" applyBorder="1" applyAlignment="1">
      <alignment wrapText="1"/>
    </xf>
    <xf numFmtId="3" fontId="14" fillId="0" borderId="11" xfId="0" applyNumberFormat="1" applyFont="1" applyBorder="1" applyAlignment="1">
      <alignment vertical="center" wrapText="1"/>
    </xf>
    <xf numFmtId="0" fontId="9" fillId="19" borderId="11" xfId="0" applyFont="1" applyFill="1" applyBorder="1" applyAlignment="1">
      <alignment horizontal="left" vertical="center"/>
    </xf>
    <xf numFmtId="3" fontId="9" fillId="19" borderId="11" xfId="0" applyNumberFormat="1" applyFont="1" applyFill="1" applyBorder="1" applyAlignment="1">
      <alignment horizontal="left" vertical="center"/>
    </xf>
    <xf numFmtId="0" fontId="9" fillId="19" borderId="15" xfId="0" applyFont="1" applyFill="1" applyBorder="1" applyAlignment="1">
      <alignment horizontal="left" vertical="center"/>
    </xf>
    <xf numFmtId="0" fontId="9" fillId="19" borderId="16" xfId="0" applyFont="1" applyFill="1" applyBorder="1" applyAlignment="1">
      <alignment horizontal="left" vertical="center"/>
    </xf>
    <xf numFmtId="0" fontId="6" fillId="0" borderId="8" xfId="0" applyFont="1" applyBorder="1" applyAlignment="1">
      <alignment horizontal="right" vertical="center"/>
    </xf>
    <xf numFmtId="0" fontId="49" fillId="0" borderId="8" xfId="15" applyBorder="1" applyAlignment="1">
      <alignment horizontal="left" vertical="center"/>
    </xf>
    <xf numFmtId="0" fontId="6" fillId="0" borderId="8" xfId="0" applyFont="1" applyBorder="1" applyAlignment="1">
      <alignment horizontal="right"/>
    </xf>
    <xf numFmtId="0" fontId="49" fillId="0" borderId="8" xfId="15" applyBorder="1"/>
    <xf numFmtId="0" fontId="6" fillId="0" borderId="8" xfId="0" applyFont="1" applyBorder="1"/>
    <xf numFmtId="0" fontId="52" fillId="0" borderId="8" xfId="0" applyFont="1" applyBorder="1" applyAlignment="1">
      <alignment horizontal="left" vertical="top"/>
    </xf>
    <xf numFmtId="0" fontId="12" fillId="36" borderId="2" xfId="0" applyFont="1" applyFill="1" applyBorder="1" applyAlignment="1">
      <alignment wrapText="1"/>
    </xf>
    <xf numFmtId="3" fontId="50" fillId="20" borderId="12" xfId="0" applyNumberFormat="1" applyFont="1" applyFill="1" applyBorder="1" applyAlignment="1">
      <alignment vertical="center" wrapText="1" readingOrder="1"/>
    </xf>
    <xf numFmtId="3" fontId="6" fillId="19" borderId="16" xfId="0" applyNumberFormat="1" applyFont="1" applyFill="1" applyBorder="1" applyAlignment="1">
      <alignment horizontal="center" vertical="center" wrapText="1"/>
    </xf>
    <xf numFmtId="0" fontId="6" fillId="19" borderId="16" xfId="0" applyFont="1" applyFill="1" applyBorder="1" applyAlignment="1">
      <alignment horizontal="center" vertical="center" wrapText="1"/>
    </xf>
    <xf numFmtId="3" fontId="14" fillId="35" borderId="12" xfId="0" applyNumberFormat="1" applyFont="1" applyFill="1" applyBorder="1" applyAlignment="1">
      <alignment vertical="center"/>
    </xf>
    <xf numFmtId="0" fontId="14" fillId="35" borderId="12" xfId="0" applyFont="1" applyFill="1" applyBorder="1" applyAlignment="1">
      <alignment vertical="center"/>
    </xf>
    <xf numFmtId="0" fontId="14" fillId="35" borderId="12" xfId="0" applyFont="1" applyFill="1" applyBorder="1" applyAlignment="1">
      <alignment vertical="center" wrapText="1"/>
    </xf>
    <xf numFmtId="3" fontId="14" fillId="35" borderId="12" xfId="0" applyNumberFormat="1" applyFont="1" applyFill="1" applyBorder="1" applyAlignment="1">
      <alignment vertical="center" wrapText="1"/>
    </xf>
    <xf numFmtId="3" fontId="14" fillId="35" borderId="12" xfId="0" applyNumberFormat="1" applyFont="1" applyFill="1" applyBorder="1" applyAlignment="1">
      <alignment horizontal="right" vertical="center" wrapText="1"/>
    </xf>
    <xf numFmtId="3" fontId="14" fillId="35" borderId="31" xfId="0" applyNumberFormat="1" applyFont="1" applyFill="1" applyBorder="1" applyAlignment="1">
      <alignment vertical="center" wrapText="1"/>
    </xf>
    <xf numFmtId="0" fontId="48" fillId="35" borderId="11" xfId="0" applyFont="1" applyFill="1" applyBorder="1" applyAlignment="1">
      <alignment horizontal="right" vertical="center" wrapText="1"/>
    </xf>
    <xf numFmtId="3" fontId="48" fillId="35" borderId="11" xfId="0" applyNumberFormat="1" applyFont="1" applyFill="1" applyBorder="1" applyAlignment="1">
      <alignment horizontal="right" vertical="center" wrapText="1"/>
    </xf>
    <xf numFmtId="0" fontId="14" fillId="7" borderId="12" xfId="0" applyFont="1" applyFill="1" applyBorder="1" applyAlignment="1">
      <alignment vertical="center"/>
    </xf>
    <xf numFmtId="0" fontId="53" fillId="2" borderId="2" xfId="0" applyFont="1" applyFill="1" applyBorder="1" applyAlignment="1">
      <alignment horizontal="right" vertical="center" wrapText="1"/>
    </xf>
    <xf numFmtId="0" fontId="53" fillId="19" borderId="2" xfId="0" applyFont="1" applyFill="1" applyBorder="1" applyAlignment="1">
      <alignment horizontal="left" vertical="center"/>
    </xf>
    <xf numFmtId="0" fontId="53" fillId="19" borderId="2" xfId="0" applyFont="1" applyFill="1" applyBorder="1" applyAlignment="1">
      <alignment horizontal="left" vertical="center" wrapText="1"/>
    </xf>
    <xf numFmtId="0" fontId="54" fillId="19" borderId="2" xfId="0" applyFont="1" applyFill="1" applyBorder="1"/>
    <xf numFmtId="14" fontId="53" fillId="19" borderId="5" xfId="0" applyNumberFormat="1" applyFont="1" applyFill="1" applyBorder="1" applyAlignment="1">
      <alignment horizontal="left"/>
    </xf>
    <xf numFmtId="14" fontId="53" fillId="19" borderId="1" xfId="0" applyNumberFormat="1" applyFont="1" applyFill="1" applyBorder="1" applyAlignment="1">
      <alignment horizontal="left"/>
    </xf>
    <xf numFmtId="0" fontId="54" fillId="19" borderId="5" xfId="0" applyFont="1" applyFill="1" applyBorder="1"/>
    <xf numFmtId="0" fontId="53" fillId="19" borderId="5" xfId="0" applyFont="1" applyFill="1" applyBorder="1" applyAlignment="1">
      <alignment horizontal="left"/>
    </xf>
    <xf numFmtId="0" fontId="53" fillId="19" borderId="1" xfId="0" applyFont="1" applyFill="1" applyBorder="1" applyAlignment="1">
      <alignment horizontal="left"/>
    </xf>
    <xf numFmtId="0" fontId="51" fillId="0" borderId="8" xfId="0" applyFont="1" applyBorder="1"/>
    <xf numFmtId="0" fontId="53" fillId="19" borderId="3" xfId="0" applyFont="1" applyFill="1" applyBorder="1" applyAlignment="1">
      <alignment horizontal="left" vertical="center" wrapText="1"/>
    </xf>
    <xf numFmtId="0" fontId="53" fillId="19" borderId="5" xfId="0" applyFont="1" applyFill="1" applyBorder="1" applyAlignment="1">
      <alignment horizontal="left" vertical="center" wrapText="1"/>
    </xf>
    <xf numFmtId="3" fontId="53" fillId="19" borderId="2" xfId="0" applyNumberFormat="1" applyFont="1" applyFill="1" applyBorder="1" applyAlignment="1">
      <alignment horizontal="left" vertical="center"/>
    </xf>
    <xf numFmtId="0" fontId="53" fillId="0" borderId="2" xfId="0" applyFont="1" applyBorder="1" applyAlignment="1">
      <alignment horizontal="left" wrapText="1"/>
    </xf>
    <xf numFmtId="0" fontId="55" fillId="0" borderId="8" xfId="0" applyFont="1" applyBorder="1"/>
    <xf numFmtId="0" fontId="53" fillId="0" borderId="8" xfId="0" applyFont="1" applyBorder="1" applyAlignment="1">
      <alignment horizontal="left" vertical="top"/>
    </xf>
    <xf numFmtId="0" fontId="53" fillId="0" borderId="2" xfId="0" applyFont="1" applyBorder="1" applyAlignment="1">
      <alignment horizontal="left"/>
    </xf>
    <xf numFmtId="0" fontId="53" fillId="0" borderId="2" xfId="0" applyFont="1" applyBorder="1"/>
    <xf numFmtId="0" fontId="53" fillId="0" borderId="2" xfId="0" applyFont="1" applyBorder="1" applyAlignment="1">
      <alignment horizontal="left" vertical="top"/>
    </xf>
    <xf numFmtId="0" fontId="53" fillId="0" borderId="7" xfId="0" applyFont="1" applyBorder="1"/>
    <xf numFmtId="14" fontId="53" fillId="19" borderId="20" xfId="0" applyNumberFormat="1" applyFont="1" applyFill="1" applyBorder="1" applyAlignment="1">
      <alignment horizontal="left"/>
    </xf>
    <xf numFmtId="0" fontId="4" fillId="0" borderId="8" xfId="6" applyFont="1" applyAlignment="1">
      <alignment horizontal="center" vertical="center"/>
    </xf>
    <xf numFmtId="0" fontId="15" fillId="20" borderId="15" xfId="0" applyFont="1" applyFill="1" applyBorder="1" applyAlignment="1">
      <alignment horizontal="center" vertical="center" wrapText="1"/>
    </xf>
    <xf numFmtId="0" fontId="15" fillId="20" borderId="15" xfId="0" applyFont="1" applyFill="1" applyBorder="1" applyAlignment="1">
      <alignment horizontal="left" vertical="center" wrapText="1"/>
    </xf>
    <xf numFmtId="0" fontId="15" fillId="20" borderId="30" xfId="0" applyFont="1" applyFill="1" applyBorder="1" applyAlignment="1">
      <alignment horizontal="left" vertical="center" wrapText="1"/>
    </xf>
    <xf numFmtId="0" fontId="15" fillId="20" borderId="2" xfId="0" applyFont="1" applyFill="1" applyBorder="1" applyAlignment="1">
      <alignment horizontal="left" vertical="center" wrapText="1"/>
    </xf>
    <xf numFmtId="0" fontId="15" fillId="20" borderId="7" xfId="0" applyFont="1" applyFill="1" applyBorder="1" applyAlignment="1">
      <alignment horizontal="left" vertical="center" wrapText="1"/>
    </xf>
    <xf numFmtId="0" fontId="15" fillId="20" borderId="2" xfId="0" applyFont="1" applyFill="1" applyBorder="1" applyAlignment="1">
      <alignment horizontal="center" vertical="center" wrapText="1"/>
    </xf>
    <xf numFmtId="3" fontId="6" fillId="8" borderId="7" xfId="5" applyNumberFormat="1" applyFont="1" applyFill="1" applyBorder="1" applyAlignment="1">
      <alignment horizontal="center" vertical="center" wrapText="1"/>
    </xf>
    <xf numFmtId="0" fontId="6" fillId="19" borderId="11" xfId="0" applyFont="1" applyFill="1" applyBorder="1" applyAlignment="1">
      <alignment horizontal="left" vertical="center"/>
    </xf>
    <xf numFmtId="0" fontId="9" fillId="0" borderId="11" xfId="0" applyFont="1" applyBorder="1" applyAlignment="1">
      <alignment vertical="top"/>
    </xf>
    <xf numFmtId="0" fontId="15" fillId="20" borderId="2" xfId="0" applyFont="1" applyFill="1" applyBorder="1" applyAlignment="1">
      <alignment horizontal="left" vertical="center"/>
    </xf>
    <xf numFmtId="0" fontId="15" fillId="20" borderId="2" xfId="0" applyFont="1" applyFill="1" applyBorder="1" applyAlignment="1">
      <alignment horizontal="center" vertical="center"/>
    </xf>
    <xf numFmtId="3" fontId="15" fillId="20" borderId="7" xfId="0" applyNumberFormat="1" applyFont="1" applyFill="1" applyBorder="1" applyAlignment="1">
      <alignment horizontal="center" vertical="center"/>
    </xf>
    <xf numFmtId="3" fontId="15" fillId="20" borderId="11" xfId="0" applyNumberFormat="1" applyFont="1" applyFill="1" applyBorder="1" applyAlignment="1">
      <alignment horizontal="center" vertical="center"/>
    </xf>
    <xf numFmtId="0" fontId="15" fillId="20" borderId="13" xfId="0" applyFont="1" applyFill="1" applyBorder="1" applyAlignment="1">
      <alignment horizontal="center" vertical="center"/>
    </xf>
    <xf numFmtId="3" fontId="15" fillId="20" borderId="2" xfId="0" applyNumberFormat="1" applyFont="1" applyFill="1" applyBorder="1" applyAlignment="1">
      <alignment horizontal="center" vertical="center"/>
    </xf>
    <xf numFmtId="0" fontId="15" fillId="20" borderId="18" xfId="0" applyFont="1" applyFill="1" applyBorder="1" applyAlignment="1">
      <alignment horizontal="center" vertical="center"/>
    </xf>
    <xf numFmtId="0" fontId="9" fillId="0" borderId="3" xfId="0" applyFont="1" applyBorder="1" applyAlignment="1">
      <alignment horizontal="left" vertical="center"/>
    </xf>
    <xf numFmtId="0" fontId="10" fillId="19" borderId="2" xfId="0" applyFont="1" applyFill="1" applyBorder="1" applyAlignment="1">
      <alignment horizontal="left" vertical="center" wrapText="1"/>
    </xf>
    <xf numFmtId="3" fontId="9" fillId="0" borderId="7" xfId="0" applyNumberFormat="1" applyFont="1" applyBorder="1" applyAlignment="1">
      <alignment horizontal="left" vertical="center" wrapText="1"/>
    </xf>
    <xf numFmtId="3" fontId="9" fillId="0" borderId="7" xfId="0" applyNumberFormat="1" applyFont="1" applyBorder="1" applyAlignment="1">
      <alignment horizontal="left" vertical="center"/>
    </xf>
    <xf numFmtId="3" fontId="9" fillId="2" borderId="2" xfId="0" applyNumberFormat="1" applyFont="1" applyFill="1" applyBorder="1" applyAlignment="1">
      <alignment horizontal="left" vertical="center"/>
    </xf>
    <xf numFmtId="3" fontId="9" fillId="2" borderId="7" xfId="0" applyNumberFormat="1" applyFont="1" applyFill="1" applyBorder="1" applyAlignment="1">
      <alignment horizontal="left" vertical="center"/>
    </xf>
    <xf numFmtId="3" fontId="9" fillId="2" borderId="11" xfId="0" applyNumberFormat="1" applyFont="1" applyFill="1" applyBorder="1" applyAlignment="1">
      <alignment horizontal="left" vertical="center"/>
    </xf>
    <xf numFmtId="3" fontId="9" fillId="19" borderId="13" xfId="0" applyNumberFormat="1" applyFont="1" applyFill="1" applyBorder="1" applyAlignment="1">
      <alignment horizontal="left" vertical="center"/>
    </xf>
    <xf numFmtId="3" fontId="9" fillId="19" borderId="13" xfId="0" applyNumberFormat="1" applyFont="1" applyFill="1" applyBorder="1"/>
    <xf numFmtId="3" fontId="9" fillId="19" borderId="2" xfId="0" applyNumberFormat="1" applyFont="1" applyFill="1" applyBorder="1"/>
    <xf numFmtId="3" fontId="9" fillId="19" borderId="6" xfId="0" applyNumberFormat="1" applyFont="1" applyFill="1" applyBorder="1" applyAlignment="1">
      <alignment horizontal="center" vertical="center"/>
    </xf>
    <xf numFmtId="0" fontId="10" fillId="19" borderId="2" xfId="0" applyFont="1" applyFill="1" applyBorder="1" applyAlignment="1">
      <alignment wrapText="1"/>
    </xf>
    <xf numFmtId="0" fontId="9" fillId="0" borderId="10" xfId="0" applyFont="1" applyBorder="1" applyAlignment="1">
      <alignment horizontal="left" vertical="center" wrapText="1"/>
    </xf>
    <xf numFmtId="3" fontId="9" fillId="0" borderId="2" xfId="0" applyNumberFormat="1" applyFont="1" applyBorder="1" applyAlignment="1">
      <alignment horizontal="left" vertical="center"/>
    </xf>
    <xf numFmtId="0" fontId="9" fillId="19" borderId="13" xfId="0" applyFont="1" applyFill="1" applyBorder="1" applyAlignment="1">
      <alignment horizontal="left" vertical="center"/>
    </xf>
    <xf numFmtId="0" fontId="9" fillId="19" borderId="13" xfId="0" applyFont="1" applyFill="1" applyBorder="1"/>
    <xf numFmtId="0" fontId="9" fillId="19" borderId="2" xfId="0" applyFont="1" applyFill="1" applyBorder="1"/>
    <xf numFmtId="0" fontId="9" fillId="0" borderId="2" xfId="0" applyFont="1" applyBorder="1" applyAlignment="1">
      <alignment horizontal="left" vertical="center"/>
    </xf>
    <xf numFmtId="0" fontId="9" fillId="2" borderId="2" xfId="0" applyFont="1" applyFill="1" applyBorder="1" applyAlignment="1">
      <alignment horizontal="left" vertical="center"/>
    </xf>
    <xf numFmtId="0" fontId="9" fillId="2" borderId="7" xfId="0" applyFont="1" applyFill="1" applyBorder="1" applyAlignment="1">
      <alignment horizontal="left" vertical="center"/>
    </xf>
    <xf numFmtId="0" fontId="10" fillId="19" borderId="2" xfId="0" applyFont="1" applyFill="1" applyBorder="1" applyAlignment="1">
      <alignment vertical="center" wrapText="1"/>
    </xf>
    <xf numFmtId="0" fontId="9" fillId="2" borderId="10" xfId="0" applyFont="1" applyFill="1" applyBorder="1" applyAlignment="1">
      <alignment horizontal="left" vertical="center" wrapText="1"/>
    </xf>
    <xf numFmtId="0" fontId="9" fillId="2" borderId="11" xfId="0" applyFont="1" applyFill="1" applyBorder="1" applyAlignment="1">
      <alignment horizontal="left" vertical="center"/>
    </xf>
    <xf numFmtId="0" fontId="10" fillId="19" borderId="2" xfId="0" applyFont="1" applyFill="1" applyBorder="1"/>
    <xf numFmtId="0" fontId="9" fillId="2" borderId="1" xfId="0" applyFont="1" applyFill="1" applyBorder="1" applyAlignment="1">
      <alignment horizontal="left" vertical="center" wrapText="1"/>
    </xf>
    <xf numFmtId="0" fontId="9" fillId="2" borderId="1" xfId="0" applyFont="1" applyFill="1" applyBorder="1" applyAlignment="1">
      <alignment horizontal="left" vertical="center"/>
    </xf>
    <xf numFmtId="0" fontId="10" fillId="19" borderId="5" xfId="0" applyFont="1" applyFill="1" applyBorder="1"/>
    <xf numFmtId="0" fontId="9" fillId="2" borderId="10" xfId="0" applyFont="1" applyFill="1" applyBorder="1" applyAlignment="1">
      <alignment horizontal="left" vertical="center"/>
    </xf>
    <xf numFmtId="3" fontId="9" fillId="2" borderId="5" xfId="0" applyNumberFormat="1" applyFont="1" applyFill="1" applyBorder="1" applyAlignment="1">
      <alignment horizontal="left" vertical="center"/>
    </xf>
    <xf numFmtId="0" fontId="9" fillId="0" borderId="7" xfId="0" applyFont="1" applyBorder="1" applyAlignment="1">
      <alignment horizontal="left" vertical="center" wrapText="1"/>
    </xf>
    <xf numFmtId="0" fontId="9" fillId="19" borderId="6" xfId="0" applyFont="1" applyFill="1" applyBorder="1" applyAlignment="1">
      <alignment horizontal="center" vertical="center"/>
    </xf>
    <xf numFmtId="0" fontId="9" fillId="0" borderId="2" xfId="0" applyFont="1" applyBorder="1" applyAlignment="1">
      <alignment horizontal="left" vertical="center" wrapText="1"/>
    </xf>
    <xf numFmtId="0" fontId="9" fillId="2" borderId="3" xfId="0" applyFont="1" applyFill="1" applyBorder="1" applyAlignment="1">
      <alignment horizontal="left" vertical="center"/>
    </xf>
    <xf numFmtId="3" fontId="9" fillId="2" borderId="7" xfId="0" applyNumberFormat="1" applyFont="1" applyFill="1" applyBorder="1" applyAlignment="1">
      <alignment horizontal="left" vertical="center" wrapText="1"/>
    </xf>
    <xf numFmtId="0" fontId="9" fillId="0" borderId="7" xfId="0" applyFont="1" applyBorder="1" applyAlignment="1">
      <alignment horizontal="left" vertical="center"/>
    </xf>
    <xf numFmtId="0" fontId="10" fillId="19" borderId="2" xfId="0" applyFont="1" applyFill="1" applyBorder="1" applyAlignment="1">
      <alignment horizontal="left"/>
    </xf>
    <xf numFmtId="0" fontId="10" fillId="0" borderId="2" xfId="0" applyFont="1" applyBorder="1" applyAlignment="1">
      <alignment horizontal="left" vertical="center" wrapText="1"/>
    </xf>
    <xf numFmtId="0" fontId="10" fillId="2" borderId="2" xfId="0" applyFont="1" applyFill="1" applyBorder="1" applyAlignment="1">
      <alignment horizontal="left" vertical="center" wrapText="1"/>
    </xf>
    <xf numFmtId="0" fontId="9" fillId="0" borderId="9" xfId="0" applyFont="1" applyBorder="1" applyAlignment="1">
      <alignment horizontal="left" vertical="center"/>
    </xf>
    <xf numFmtId="3" fontId="9" fillId="0" borderId="9" xfId="0" applyNumberFormat="1" applyFont="1" applyBorder="1" applyAlignment="1">
      <alignment horizontal="left" vertical="center" wrapText="1"/>
    </xf>
    <xf numFmtId="3" fontId="56" fillId="2" borderId="7" xfId="0" applyNumberFormat="1" applyFont="1" applyFill="1" applyBorder="1" applyAlignment="1">
      <alignment horizontal="left" vertical="center"/>
    </xf>
    <xf numFmtId="3" fontId="9" fillId="0" borderId="2" xfId="0" applyNumberFormat="1" applyFont="1" applyBorder="1" applyAlignment="1">
      <alignment horizontal="left" vertical="center" wrapText="1"/>
    </xf>
    <xf numFmtId="3" fontId="9" fillId="2" borderId="6" xfId="0" applyNumberFormat="1" applyFont="1" applyFill="1" applyBorder="1" applyAlignment="1">
      <alignment horizontal="left" vertical="center"/>
    </xf>
    <xf numFmtId="3" fontId="9" fillId="0" borderId="10" xfId="0" applyNumberFormat="1" applyFont="1" applyBorder="1" applyAlignment="1">
      <alignment horizontal="left" vertical="center" wrapText="1"/>
    </xf>
    <xf numFmtId="3" fontId="9" fillId="0" borderId="10" xfId="0" applyNumberFormat="1" applyFont="1" applyBorder="1" applyAlignment="1">
      <alignment horizontal="left" vertical="center"/>
    </xf>
    <xf numFmtId="0" fontId="9" fillId="0" borderId="32" xfId="0" applyFont="1" applyBorder="1" applyAlignment="1">
      <alignment horizontal="left" vertical="center" wrapText="1"/>
    </xf>
    <xf numFmtId="0" fontId="9" fillId="0" borderId="32" xfId="0" applyFont="1" applyBorder="1" applyAlignment="1">
      <alignment horizontal="left" vertical="center"/>
    </xf>
    <xf numFmtId="0" fontId="9" fillId="2" borderId="9" xfId="0" applyFont="1" applyFill="1" applyBorder="1" applyAlignment="1">
      <alignment horizontal="left" vertical="center"/>
    </xf>
    <xf numFmtId="0" fontId="9" fillId="2" borderId="15" xfId="0" applyFont="1" applyFill="1" applyBorder="1" applyAlignment="1">
      <alignment horizontal="left" vertical="center"/>
    </xf>
    <xf numFmtId="0" fontId="9" fillId="19" borderId="30" xfId="0" applyFont="1" applyFill="1" applyBorder="1" applyAlignment="1">
      <alignment horizontal="left" vertical="center"/>
    </xf>
    <xf numFmtId="0" fontId="9" fillId="0" borderId="9" xfId="0" applyFont="1" applyBorder="1" applyAlignment="1">
      <alignment vertical="center"/>
    </xf>
    <xf numFmtId="3" fontId="9" fillId="0" borderId="3" xfId="0" applyNumberFormat="1" applyFont="1" applyBorder="1" applyAlignment="1">
      <alignment horizontal="left" vertical="top" wrapText="1"/>
    </xf>
    <xf numFmtId="0" fontId="9" fillId="0" borderId="9" xfId="0" applyFont="1" applyBorder="1" applyAlignment="1">
      <alignment horizontal="left" vertical="top" wrapText="1"/>
    </xf>
    <xf numFmtId="0" fontId="9" fillId="0" borderId="32" xfId="0" applyFont="1" applyBorder="1" applyAlignment="1">
      <alignment vertical="center"/>
    </xf>
    <xf numFmtId="0" fontId="9" fillId="0" borderId="4" xfId="0" applyFont="1" applyBorder="1" applyAlignment="1">
      <alignment horizontal="left" vertical="top" wrapText="1"/>
    </xf>
    <xf numFmtId="0" fontId="9" fillId="0" borderId="32" xfId="0" applyFont="1" applyBorder="1" applyAlignment="1">
      <alignment horizontal="left" vertical="top" wrapText="1"/>
    </xf>
    <xf numFmtId="0" fontId="10" fillId="0" borderId="4" xfId="0" applyFont="1" applyBorder="1" applyAlignment="1">
      <alignment horizontal="left" vertical="top"/>
    </xf>
    <xf numFmtId="0" fontId="10" fillId="0" borderId="32" xfId="0" applyFont="1" applyBorder="1" applyAlignment="1">
      <alignment horizontal="left" vertical="top"/>
    </xf>
    <xf numFmtId="0" fontId="9" fillId="0" borderId="10" xfId="0" applyFont="1" applyBorder="1" applyAlignment="1">
      <alignment vertical="center"/>
    </xf>
    <xf numFmtId="0" fontId="10" fillId="0" borderId="5" xfId="0" applyFont="1" applyBorder="1" applyAlignment="1">
      <alignment horizontal="left" vertical="top"/>
    </xf>
    <xf numFmtId="0" fontId="10" fillId="0" borderId="10" xfId="0" applyFont="1" applyBorder="1" applyAlignment="1">
      <alignment horizontal="left" vertical="top"/>
    </xf>
    <xf numFmtId="0" fontId="9" fillId="2" borderId="8" xfId="0" applyFont="1" applyFill="1" applyBorder="1" applyAlignment="1">
      <alignment horizontal="left" vertical="center"/>
    </xf>
    <xf numFmtId="3" fontId="9" fillId="2" borderId="3" xfId="0" applyNumberFormat="1" applyFont="1" applyFill="1" applyBorder="1" applyAlignment="1">
      <alignment horizontal="left" vertical="center"/>
    </xf>
    <xf numFmtId="3" fontId="9" fillId="2" borderId="9" xfId="0" applyNumberFormat="1" applyFont="1" applyFill="1" applyBorder="1" applyAlignment="1">
      <alignment horizontal="left" vertical="center"/>
    </xf>
    <xf numFmtId="3" fontId="9" fillId="2" borderId="15" xfId="0" applyNumberFormat="1" applyFont="1" applyFill="1" applyBorder="1" applyAlignment="1">
      <alignment horizontal="left" vertical="center"/>
    </xf>
    <xf numFmtId="0" fontId="9" fillId="19" borderId="30" xfId="0" applyFont="1" applyFill="1" applyBorder="1"/>
    <xf numFmtId="0" fontId="9" fillId="19" borderId="3" xfId="0" applyFont="1" applyFill="1" applyBorder="1"/>
    <xf numFmtId="0" fontId="10" fillId="0" borderId="7" xfId="0" applyFont="1" applyBorder="1" applyAlignment="1">
      <alignment horizontal="left" vertical="center" wrapText="1"/>
    </xf>
    <xf numFmtId="0" fontId="9" fillId="19" borderId="2" xfId="0" applyFont="1" applyFill="1" applyBorder="1" applyAlignment="1">
      <alignment horizontal="left" vertical="center"/>
    </xf>
    <xf numFmtId="0" fontId="9" fillId="0" borderId="7" xfId="0" applyFont="1" applyBorder="1" applyAlignment="1">
      <alignment horizontal="left"/>
    </xf>
    <xf numFmtId="3" fontId="9" fillId="19" borderId="16" xfId="0" applyNumberFormat="1" applyFont="1" applyFill="1" applyBorder="1" applyAlignment="1">
      <alignment horizontal="left" vertical="center"/>
    </xf>
    <xf numFmtId="0" fontId="9" fillId="19" borderId="29" xfId="0" applyFont="1" applyFill="1" applyBorder="1" applyAlignment="1">
      <alignment horizontal="left" vertical="center"/>
    </xf>
    <xf numFmtId="0" fontId="9" fillId="19" borderId="29" xfId="0" applyFont="1" applyFill="1" applyBorder="1"/>
    <xf numFmtId="0" fontId="9" fillId="19" borderId="5" xfId="0" applyFont="1" applyFill="1" applyBorder="1"/>
    <xf numFmtId="0" fontId="9" fillId="2" borderId="32" xfId="0" applyFont="1" applyFill="1" applyBorder="1" applyAlignment="1">
      <alignment horizontal="left" vertical="center"/>
    </xf>
    <xf numFmtId="0" fontId="10" fillId="0" borderId="2" xfId="0" applyFont="1" applyBorder="1"/>
    <xf numFmtId="0" fontId="10" fillId="19" borderId="3" xfId="0" applyFont="1" applyFill="1" applyBorder="1" applyAlignment="1">
      <alignment wrapText="1"/>
    </xf>
    <xf numFmtId="0" fontId="10" fillId="19" borderId="3" xfId="0" applyFont="1" applyFill="1" applyBorder="1"/>
    <xf numFmtId="0" fontId="10" fillId="0" borderId="3" xfId="0" applyFont="1" applyBorder="1"/>
    <xf numFmtId="0" fontId="10" fillId="0" borderId="9" xfId="0" applyFont="1" applyBorder="1" applyAlignment="1">
      <alignment horizontal="left"/>
    </xf>
    <xf numFmtId="0" fontId="10" fillId="0" borderId="9" xfId="0" applyFont="1" applyBorder="1" applyAlignment="1">
      <alignment horizontal="left" wrapText="1"/>
    </xf>
    <xf numFmtId="3" fontId="15" fillId="4" borderId="11" xfId="0" applyNumberFormat="1" applyFont="1" applyFill="1" applyBorder="1" applyAlignment="1">
      <alignment horizontal="center" vertical="center"/>
    </xf>
    <xf numFmtId="0" fontId="6" fillId="0" borderId="2" xfId="0" applyFont="1" applyBorder="1" applyAlignment="1">
      <alignment horizontal="center"/>
    </xf>
    <xf numFmtId="0" fontId="6" fillId="0" borderId="7" xfId="0" applyFont="1" applyBorder="1"/>
    <xf numFmtId="0" fontId="6" fillId="0" borderId="32" xfId="0" applyFont="1" applyBorder="1" applyAlignment="1">
      <alignment horizontal="center" vertical="center"/>
    </xf>
    <xf numFmtId="0" fontId="6" fillId="2" borderId="9" xfId="0" applyFont="1" applyFill="1" applyBorder="1" applyAlignment="1">
      <alignment horizontal="center" vertical="center"/>
    </xf>
    <xf numFmtId="0" fontId="6" fillId="2" borderId="15" xfId="0" applyFont="1" applyFill="1" applyBorder="1" applyAlignment="1">
      <alignment horizontal="center" vertical="center"/>
    </xf>
    <xf numFmtId="0" fontId="6" fillId="19" borderId="15" xfId="0" applyFont="1" applyFill="1" applyBorder="1" applyAlignment="1">
      <alignment horizontal="center" vertical="center"/>
    </xf>
    <xf numFmtId="0" fontId="6" fillId="19" borderId="30" xfId="0" applyFont="1" applyFill="1" applyBorder="1" applyAlignment="1">
      <alignment horizontal="center" vertical="center"/>
    </xf>
    <xf numFmtId="0" fontId="6" fillId="0" borderId="7" xfId="0" applyFont="1" applyBorder="1" applyAlignment="1">
      <alignment horizontal="center"/>
    </xf>
    <xf numFmtId="0" fontId="6" fillId="0" borderId="36" xfId="0" applyFont="1" applyBorder="1" applyAlignment="1">
      <alignment horizontal="center"/>
    </xf>
    <xf numFmtId="0" fontId="6" fillId="2" borderId="16" xfId="0" applyFont="1" applyFill="1" applyBorder="1" applyAlignment="1">
      <alignment horizontal="center" vertical="center"/>
    </xf>
    <xf numFmtId="0" fontId="6" fillId="19" borderId="16" xfId="0" applyFont="1" applyFill="1" applyBorder="1" applyAlignment="1">
      <alignment horizontal="center" vertical="center"/>
    </xf>
    <xf numFmtId="0" fontId="6" fillId="19" borderId="29" xfId="0" applyFont="1" applyFill="1" applyBorder="1" applyAlignment="1">
      <alignment horizontal="center" vertical="center"/>
    </xf>
    <xf numFmtId="0" fontId="6" fillId="19" borderId="12" xfId="0" applyFont="1" applyFill="1" applyBorder="1" applyAlignment="1">
      <alignment horizontal="center" vertical="center"/>
    </xf>
    <xf numFmtId="0" fontId="6" fillId="19" borderId="10" xfId="0" applyFont="1" applyFill="1" applyBorder="1" applyAlignment="1">
      <alignment horizontal="center" vertical="center"/>
    </xf>
    <xf numFmtId="0" fontId="6" fillId="37" borderId="2" xfId="0" applyFont="1" applyFill="1" applyBorder="1" applyAlignment="1">
      <alignment horizontal="center" vertical="center" wrapText="1"/>
    </xf>
    <xf numFmtId="0" fontId="48" fillId="38" borderId="2" xfId="0" applyFont="1" applyFill="1" applyBorder="1" applyAlignment="1">
      <alignment horizontal="left" vertical="center" wrapText="1"/>
    </xf>
    <xf numFmtId="0" fontId="48" fillId="0" borderId="2" xfId="0" applyFont="1" applyBorder="1" applyAlignment="1">
      <alignment horizontal="center" vertical="center" wrapText="1"/>
    </xf>
    <xf numFmtId="0" fontId="48" fillId="38" borderId="2" xfId="0" applyFont="1" applyFill="1" applyBorder="1" applyAlignment="1">
      <alignment horizontal="center" vertical="center" wrapText="1"/>
    </xf>
    <xf numFmtId="0" fontId="48" fillId="0" borderId="2" xfId="0" applyFont="1" applyBorder="1" applyAlignment="1">
      <alignment horizontal="left" vertical="center" wrapText="1"/>
    </xf>
    <xf numFmtId="0" fontId="49" fillId="38" borderId="2" xfId="15" applyFill="1" applyBorder="1" applyAlignment="1">
      <alignment horizontal="center" vertical="center" wrapText="1"/>
    </xf>
    <xf numFmtId="0" fontId="6" fillId="35" borderId="3" xfId="0" applyFont="1" applyFill="1" applyBorder="1" applyAlignment="1">
      <alignment horizontal="center" vertical="center" wrapText="1"/>
    </xf>
    <xf numFmtId="0" fontId="49" fillId="19" borderId="8" xfId="15" applyFill="1" applyBorder="1" applyAlignment="1">
      <alignment wrapText="1"/>
    </xf>
    <xf numFmtId="0" fontId="48" fillId="0" borderId="8" xfId="0" applyFont="1" applyBorder="1" applyAlignment="1">
      <alignment horizontal="center" vertical="center"/>
    </xf>
    <xf numFmtId="0" fontId="48" fillId="0" borderId="8" xfId="0" applyFont="1" applyBorder="1" applyAlignment="1">
      <alignment vertical="center"/>
    </xf>
    <xf numFmtId="0" fontId="7" fillId="12" borderId="13" xfId="0" applyFont="1" applyFill="1" applyBorder="1" applyAlignment="1">
      <alignment horizontal="left" vertical="top" wrapText="1"/>
    </xf>
    <xf numFmtId="0" fontId="9" fillId="0" borderId="13" xfId="0" applyFont="1" applyBorder="1"/>
    <xf numFmtId="0" fontId="15" fillId="0" borderId="7" xfId="0" applyFont="1" applyBorder="1" applyAlignment="1">
      <alignment horizontal="center" vertical="center"/>
    </xf>
    <xf numFmtId="0" fontId="24" fillId="10" borderId="11" xfId="0" applyFont="1" applyFill="1" applyBorder="1" applyAlignment="1">
      <alignment horizontal="center" vertical="center" wrapText="1"/>
    </xf>
    <xf numFmtId="166" fontId="24" fillId="10" borderId="11" xfId="0" applyNumberFormat="1" applyFont="1" applyFill="1" applyBorder="1" applyAlignment="1">
      <alignment horizontal="center" vertical="center" wrapText="1"/>
    </xf>
    <xf numFmtId="166" fontId="47" fillId="10" borderId="11" xfId="0" applyNumberFormat="1" applyFont="1" applyFill="1" applyBorder="1" applyAlignment="1">
      <alignment horizontal="center" vertical="center"/>
    </xf>
    <xf numFmtId="166" fontId="46" fillId="32" borderId="11" xfId="0" applyNumberFormat="1" applyFont="1" applyFill="1" applyBorder="1"/>
    <xf numFmtId="0" fontId="14" fillId="0" borderId="11" xfId="0" applyFont="1" applyBorder="1"/>
    <xf numFmtId="166" fontId="5" fillId="10" borderId="11" xfId="0" applyNumberFormat="1" applyFont="1" applyFill="1" applyBorder="1" applyAlignment="1">
      <alignment horizontal="center" vertical="center" wrapText="1"/>
    </xf>
    <xf numFmtId="0" fontId="5" fillId="10" borderId="11" xfId="0" applyFont="1" applyFill="1" applyBorder="1" applyAlignment="1">
      <alignment horizontal="center" vertical="center" wrapText="1"/>
    </xf>
    <xf numFmtId="0" fontId="5" fillId="23" borderId="11" xfId="0" applyFont="1" applyFill="1" applyBorder="1"/>
    <xf numFmtId="0" fontId="4" fillId="7" borderId="11" xfId="5" applyFont="1" applyFill="1" applyBorder="1"/>
    <xf numFmtId="3" fontId="46" fillId="2" borderId="11" xfId="0" applyNumberFormat="1" applyFont="1" applyFill="1" applyBorder="1" applyAlignment="1">
      <alignment horizontal="center" vertical="center" wrapText="1"/>
    </xf>
    <xf numFmtId="3" fontId="46" fillId="19" borderId="11" xfId="0" applyNumberFormat="1" applyFont="1" applyFill="1" applyBorder="1" applyAlignment="1">
      <alignment horizontal="center" vertical="center" wrapText="1"/>
    </xf>
    <xf numFmtId="0" fontId="46" fillId="0" borderId="11" xfId="0" applyFont="1" applyBorder="1" applyAlignment="1">
      <alignment wrapText="1"/>
    </xf>
    <xf numFmtId="166" fontId="5" fillId="42" borderId="11" xfId="0" applyNumberFormat="1" applyFont="1" applyFill="1" applyBorder="1"/>
    <xf numFmtId="3" fontId="6" fillId="0" borderId="11" xfId="0" applyNumberFormat="1" applyFont="1" applyBorder="1" applyAlignment="1">
      <alignment horizontal="right"/>
    </xf>
    <xf numFmtId="166" fontId="12" fillId="6" borderId="11" xfId="0" applyNumberFormat="1" applyFont="1" applyFill="1" applyBorder="1" applyAlignment="1">
      <alignment horizontal="right" vertical="top"/>
    </xf>
    <xf numFmtId="0" fontId="6" fillId="7" borderId="8" xfId="0" applyFont="1" applyFill="1" applyBorder="1" applyAlignment="1">
      <alignment horizontal="left" vertical="center"/>
    </xf>
    <xf numFmtId="0" fontId="6" fillId="7" borderId="8" xfId="0" applyFont="1" applyFill="1" applyBorder="1" applyAlignment="1">
      <alignment horizontal="left"/>
    </xf>
    <xf numFmtId="0" fontId="6" fillId="14" borderId="8" xfId="0" applyFont="1" applyFill="1" applyBorder="1" applyAlignment="1">
      <alignment horizontal="left" vertical="center"/>
    </xf>
    <xf numFmtId="0" fontId="14" fillId="7" borderId="8" xfId="0" applyFont="1" applyFill="1" applyBorder="1" applyAlignment="1">
      <alignment horizontal="left"/>
    </xf>
    <xf numFmtId="0" fontId="14" fillId="7" borderId="8" xfId="0" applyFont="1" applyFill="1" applyBorder="1" applyAlignment="1">
      <alignment horizontal="left" wrapText="1"/>
    </xf>
    <xf numFmtId="0" fontId="6" fillId="0" borderId="36" xfId="0" applyFont="1" applyBorder="1" applyAlignment="1">
      <alignment horizontal="center" vertical="center" wrapText="1"/>
    </xf>
    <xf numFmtId="0" fontId="6"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2" borderId="36"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3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6" xfId="0" applyFont="1" applyBorder="1" applyAlignment="1">
      <alignment horizontal="center" vertical="top" wrapText="1"/>
    </xf>
    <xf numFmtId="0" fontId="14" fillId="0" borderId="6" xfId="0" applyFont="1" applyBorder="1" applyAlignment="1">
      <alignment horizontal="center" vertical="top"/>
    </xf>
    <xf numFmtId="0" fontId="6" fillId="19" borderId="31" xfId="0" applyFont="1" applyFill="1" applyBorder="1" applyAlignment="1">
      <alignment horizontal="center" vertical="center"/>
    </xf>
    <xf numFmtId="0" fontId="6" fillId="19" borderId="6" xfId="0" applyFont="1" applyFill="1" applyBorder="1" applyAlignment="1">
      <alignment horizontal="center" vertical="center"/>
    </xf>
    <xf numFmtId="0" fontId="6" fillId="19" borderId="20"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18" xfId="0" applyFont="1" applyFill="1" applyBorder="1" applyAlignment="1">
      <alignment horizontal="center" vertical="center"/>
    </xf>
    <xf numFmtId="0" fontId="14" fillId="19" borderId="11" xfId="0" applyFont="1" applyFill="1" applyBorder="1" applyAlignment="1">
      <alignment horizontal="left" vertical="center" wrapText="1"/>
    </xf>
    <xf numFmtId="0" fontId="14" fillId="19" borderId="11" xfId="0" applyFont="1" applyFill="1" applyBorder="1" applyAlignment="1">
      <alignment wrapText="1"/>
    </xf>
    <xf numFmtId="0" fontId="14" fillId="19" borderId="11" xfId="0" applyFont="1" applyFill="1" applyBorder="1" applyAlignment="1">
      <alignment horizontal="left"/>
    </xf>
    <xf numFmtId="0" fontId="14" fillId="0" borderId="11" xfId="0" applyFont="1" applyBorder="1" applyAlignment="1">
      <alignment horizontal="left" vertical="center" wrapText="1"/>
    </xf>
    <xf numFmtId="0" fontId="14" fillId="2" borderId="11" xfId="0" applyFont="1" applyFill="1" applyBorder="1" applyAlignment="1">
      <alignment horizontal="left" vertical="center" wrapText="1"/>
    </xf>
    <xf numFmtId="0" fontId="0" fillId="0" borderId="11" xfId="0" applyBorder="1"/>
    <xf numFmtId="41" fontId="4" fillId="0" borderId="12" xfId="14" applyFont="1" applyBorder="1"/>
    <xf numFmtId="3" fontId="12" fillId="39" borderId="11" xfId="0" applyNumberFormat="1" applyFont="1" applyFill="1" applyBorder="1"/>
    <xf numFmtId="0" fontId="6" fillId="35" borderId="11" xfId="0" applyFont="1" applyFill="1" applyBorder="1"/>
    <xf numFmtId="0" fontId="6" fillId="7" borderId="11" xfId="0" applyFont="1" applyFill="1" applyBorder="1" applyAlignment="1">
      <alignment wrapText="1"/>
    </xf>
    <xf numFmtId="0" fontId="6" fillId="7" borderId="11" xfId="0" applyFont="1" applyFill="1" applyBorder="1"/>
    <xf numFmtId="0" fontId="6" fillId="7" borderId="11" xfId="0" applyFont="1" applyFill="1" applyBorder="1" applyAlignment="1">
      <alignment horizontal="left" wrapText="1"/>
    </xf>
    <xf numFmtId="0" fontId="6" fillId="39" borderId="11" xfId="0" applyFont="1" applyFill="1" applyBorder="1"/>
    <xf numFmtId="0" fontId="12" fillId="39" borderId="11" xfId="0" applyFont="1" applyFill="1" applyBorder="1" applyAlignment="1">
      <alignment wrapText="1"/>
    </xf>
    <xf numFmtId="166" fontId="5" fillId="6" borderId="12" xfId="0" applyNumberFormat="1" applyFont="1" applyFill="1" applyBorder="1" applyAlignment="1">
      <alignment horizontal="right" vertical="center"/>
    </xf>
    <xf numFmtId="0" fontId="6" fillId="7" borderId="21" xfId="0" applyFont="1" applyFill="1" applyBorder="1"/>
    <xf numFmtId="0" fontId="6" fillId="35" borderId="21" xfId="0" applyFont="1" applyFill="1" applyBorder="1"/>
    <xf numFmtId="0" fontId="6" fillId="7" borderId="38" xfId="0" applyFont="1" applyFill="1" applyBorder="1"/>
    <xf numFmtId="0" fontId="6" fillId="35" borderId="38" xfId="0" applyFont="1" applyFill="1" applyBorder="1"/>
    <xf numFmtId="0" fontId="6" fillId="7" borderId="2" xfId="0" applyFont="1" applyFill="1" applyBorder="1"/>
    <xf numFmtId="0" fontId="6" fillId="35" borderId="2" xfId="0" applyFont="1" applyFill="1" applyBorder="1"/>
    <xf numFmtId="0" fontId="6" fillId="7" borderId="10" xfId="0" applyFont="1" applyFill="1" applyBorder="1"/>
    <xf numFmtId="0" fontId="6" fillId="7" borderId="16" xfId="0" applyFont="1" applyFill="1" applyBorder="1"/>
    <xf numFmtId="0" fontId="6" fillId="7" borderId="7" xfId="0" applyFont="1" applyFill="1" applyBorder="1"/>
    <xf numFmtId="0" fontId="6" fillId="7" borderId="9" xfId="0" applyFont="1" applyFill="1" applyBorder="1"/>
    <xf numFmtId="0" fontId="6" fillId="7" borderId="15" xfId="0" applyFont="1" applyFill="1" applyBorder="1"/>
    <xf numFmtId="0" fontId="4" fillId="7" borderId="15" xfId="5" applyFont="1" applyFill="1" applyBorder="1"/>
    <xf numFmtId="0" fontId="6" fillId="7" borderId="3" xfId="0" applyFont="1" applyFill="1" applyBorder="1"/>
    <xf numFmtId="0" fontId="4" fillId="6" borderId="11" xfId="5" applyFont="1" applyFill="1" applyBorder="1"/>
    <xf numFmtId="3" fontId="5" fillId="6" borderId="11" xfId="5" applyNumberFormat="1" applyFont="1" applyFill="1" applyBorder="1"/>
    <xf numFmtId="3" fontId="5" fillId="6" borderId="13" xfId="5" applyNumberFormat="1" applyFont="1" applyFill="1" applyBorder="1"/>
    <xf numFmtId="0" fontId="9" fillId="0" borderId="15" xfId="0" applyFont="1" applyBorder="1" applyAlignment="1">
      <alignment vertical="center" wrapText="1"/>
    </xf>
    <xf numFmtId="3" fontId="4" fillId="0" borderId="8" xfId="0" applyNumberFormat="1" applyFont="1" applyBorder="1"/>
    <xf numFmtId="3" fontId="6" fillId="2" borderId="8" xfId="0" applyNumberFormat="1" applyFont="1" applyFill="1" applyBorder="1" applyAlignment="1">
      <alignment horizontal="left" vertical="top"/>
    </xf>
    <xf numFmtId="0" fontId="6" fillId="2" borderId="8" xfId="0" applyFont="1" applyFill="1" applyBorder="1" applyAlignment="1">
      <alignment horizontal="left" vertical="top"/>
    </xf>
    <xf numFmtId="0" fontId="8" fillId="0" borderId="11" xfId="0" applyFont="1" applyBorder="1"/>
    <xf numFmtId="0" fontId="46" fillId="41" borderId="3" xfId="0" applyFont="1" applyFill="1" applyBorder="1" applyAlignment="1">
      <alignment horizontal="center" vertical="center" wrapText="1"/>
    </xf>
    <xf numFmtId="0" fontId="46" fillId="41" borderId="9" xfId="0" applyFont="1" applyFill="1" applyBorder="1" applyAlignment="1">
      <alignment horizontal="center" vertical="center" wrapText="1"/>
    </xf>
    <xf numFmtId="0" fontId="46" fillId="41" borderId="5" xfId="0" applyFont="1" applyFill="1" applyBorder="1" applyAlignment="1">
      <alignment horizontal="center" vertical="center" wrapText="1"/>
    </xf>
    <xf numFmtId="0" fontId="46" fillId="41" borderId="32" xfId="0" applyFont="1" applyFill="1" applyBorder="1" applyAlignment="1">
      <alignment horizontal="center" vertical="center" wrapText="1"/>
    </xf>
    <xf numFmtId="0" fontId="4" fillId="8" borderId="11" xfId="0" applyFont="1" applyFill="1" applyBorder="1" applyAlignment="1">
      <alignment vertical="center" wrapText="1"/>
    </xf>
    <xf numFmtId="166" fontId="4" fillId="8" borderId="11" xfId="0" applyNumberFormat="1" applyFont="1" applyFill="1" applyBorder="1" applyAlignment="1">
      <alignment vertical="center"/>
    </xf>
    <xf numFmtId="166" fontId="4" fillId="7" borderId="8" xfId="0" applyNumberFormat="1" applyFont="1" applyFill="1" applyBorder="1" applyAlignment="1">
      <alignment vertical="center"/>
    </xf>
    <xf numFmtId="0" fontId="6" fillId="2" borderId="8" xfId="0" applyFont="1" applyFill="1" applyBorder="1"/>
    <xf numFmtId="0" fontId="6" fillId="19" borderId="8" xfId="0" applyFont="1" applyFill="1" applyBorder="1"/>
    <xf numFmtId="0" fontId="6" fillId="2" borderId="8" xfId="0" applyFont="1" applyFill="1" applyBorder="1" applyAlignment="1">
      <alignment horizontal="center" wrapText="1"/>
    </xf>
    <xf numFmtId="0" fontId="15" fillId="36" borderId="2" xfId="0" applyFont="1" applyFill="1" applyBorder="1" applyAlignment="1">
      <alignment horizontal="center" vertical="center" wrapText="1"/>
    </xf>
    <xf numFmtId="0" fontId="15" fillId="36" borderId="2" xfId="0" applyFont="1" applyFill="1" applyBorder="1" applyAlignment="1">
      <alignment horizontal="center" vertical="center"/>
    </xf>
    <xf numFmtId="3" fontId="15" fillId="36" borderId="2" xfId="0" applyNumberFormat="1" applyFont="1" applyFill="1" applyBorder="1" applyAlignment="1">
      <alignment horizontal="center" vertical="center"/>
    </xf>
    <xf numFmtId="0" fontId="12" fillId="19" borderId="8" xfId="0" applyFont="1" applyFill="1" applyBorder="1"/>
    <xf numFmtId="0" fontId="15" fillId="0" borderId="2" xfId="0" applyFont="1" applyBorder="1" applyAlignment="1">
      <alignment horizontal="left"/>
    </xf>
    <xf numFmtId="0" fontId="9" fillId="0" borderId="2" xfId="0" applyFont="1" applyBorder="1"/>
    <xf numFmtId="0" fontId="6" fillId="19" borderId="8" xfId="0" applyFont="1" applyFill="1" applyBorder="1" applyAlignment="1">
      <alignment horizontal="center" wrapText="1"/>
    </xf>
    <xf numFmtId="0" fontId="15" fillId="18" borderId="2" xfId="0" applyFont="1" applyFill="1" applyBorder="1"/>
    <xf numFmtId="0" fontId="15" fillId="18" borderId="2" xfId="0" applyFont="1" applyFill="1" applyBorder="1" applyAlignment="1">
      <alignment horizontal="right"/>
    </xf>
    <xf numFmtId="0" fontId="6" fillId="19" borderId="8" xfId="0" applyFont="1" applyFill="1" applyBorder="1" applyAlignment="1">
      <alignment horizontal="right"/>
    </xf>
    <xf numFmtId="0" fontId="12" fillId="19" borderId="8" xfId="0" applyFont="1" applyFill="1" applyBorder="1" applyAlignment="1">
      <alignment vertical="center" wrapText="1"/>
    </xf>
    <xf numFmtId="0" fontId="9" fillId="0" borderId="2" xfId="0" applyFont="1" applyBorder="1" applyAlignment="1">
      <alignment wrapText="1"/>
    </xf>
    <xf numFmtId="0" fontId="9" fillId="19" borderId="2" xfId="0" applyFont="1" applyFill="1" applyBorder="1" applyAlignment="1">
      <alignment horizontal="right"/>
    </xf>
    <xf numFmtId="0" fontId="12" fillId="19" borderId="8" xfId="0" applyFont="1" applyFill="1" applyBorder="1" applyAlignment="1">
      <alignment horizontal="center" vertical="center" wrapText="1"/>
    </xf>
    <xf numFmtId="0" fontId="6" fillId="19" borderId="8" xfId="0" applyFont="1" applyFill="1" applyBorder="1" applyAlignment="1">
      <alignment horizontal="center" vertical="center" wrapText="1"/>
    </xf>
    <xf numFmtId="0" fontId="6" fillId="19" borderId="8" xfId="0" applyFont="1" applyFill="1" applyBorder="1" applyAlignment="1">
      <alignment horizontal="left" vertical="top" wrapText="1"/>
    </xf>
    <xf numFmtId="3" fontId="9" fillId="19" borderId="2" xfId="0" applyNumberFormat="1" applyFont="1" applyFill="1" applyBorder="1" applyAlignment="1">
      <alignment horizontal="right"/>
    </xf>
    <xf numFmtId="0" fontId="9" fillId="0" borderId="6" xfId="0" applyFont="1" applyBorder="1"/>
    <xf numFmtId="0" fontId="7" fillId="9" borderId="11" xfId="0" applyFont="1" applyFill="1" applyBorder="1" applyAlignment="1">
      <alignment horizontal="center" vertical="center" wrapText="1"/>
    </xf>
    <xf numFmtId="3" fontId="0" fillId="0" borderId="11" xfId="0" applyNumberFormat="1" applyBorder="1"/>
    <xf numFmtId="0" fontId="6" fillId="35" borderId="11" xfId="0" applyFont="1" applyFill="1" applyBorder="1" applyAlignment="1">
      <alignment horizontal="right" vertical="center" wrapText="1"/>
    </xf>
    <xf numFmtId="0" fontId="48" fillId="7" borderId="11" xfId="0" applyFont="1" applyFill="1" applyBorder="1" applyAlignment="1">
      <alignment vertical="center" wrapText="1"/>
    </xf>
    <xf numFmtId="166" fontId="12" fillId="7" borderId="11" xfId="0" applyNumberFormat="1" applyFont="1" applyFill="1" applyBorder="1" applyAlignment="1">
      <alignment horizontal="left" vertical="top"/>
    </xf>
    <xf numFmtId="0" fontId="48" fillId="36" borderId="3" xfId="0" applyFont="1" applyFill="1" applyBorder="1" applyAlignment="1">
      <alignment horizontal="center" vertical="center"/>
    </xf>
    <xf numFmtId="0" fontId="48" fillId="36" borderId="3" xfId="0" applyFont="1" applyFill="1" applyBorder="1" applyAlignment="1">
      <alignment vertical="center"/>
    </xf>
    <xf numFmtId="0" fontId="48" fillId="0" borderId="3" xfId="0" applyFont="1" applyBorder="1" applyAlignment="1">
      <alignment horizontal="center" vertical="center"/>
    </xf>
    <xf numFmtId="0" fontId="48" fillId="0" borderId="11" xfId="0" applyFont="1" applyBorder="1" applyAlignment="1">
      <alignment horizontal="center" vertical="center"/>
    </xf>
    <xf numFmtId="0" fontId="48" fillId="0" borderId="11" xfId="0" applyFont="1" applyBorder="1" applyAlignment="1">
      <alignment vertical="center"/>
    </xf>
    <xf numFmtId="0" fontId="24" fillId="10" borderId="15" xfId="0" applyFont="1" applyFill="1" applyBorder="1" applyAlignment="1">
      <alignment horizontal="center" vertical="center" wrapText="1"/>
    </xf>
    <xf numFmtId="166" fontId="24" fillId="10" borderId="15" xfId="0" applyNumberFormat="1" applyFont="1" applyFill="1" applyBorder="1" applyAlignment="1">
      <alignment horizontal="center" vertical="center" wrapText="1"/>
    </xf>
    <xf numFmtId="0" fontId="9" fillId="19" borderId="2" xfId="0" applyFont="1" applyFill="1" applyBorder="1" applyAlignment="1">
      <alignment vertical="center" wrapText="1"/>
    </xf>
    <xf numFmtId="0" fontId="6" fillId="0" borderId="5" xfId="0" applyFont="1" applyBorder="1" applyAlignment="1">
      <alignment wrapText="1"/>
    </xf>
    <xf numFmtId="3" fontId="6" fillId="0" borderId="2" xfId="0" applyNumberFormat="1" applyFont="1" applyBorder="1"/>
    <xf numFmtId="0" fontId="53" fillId="0" borderId="8" xfId="0" applyFont="1" applyBorder="1"/>
    <xf numFmtId="166" fontId="4" fillId="0" borderId="11" xfId="0" applyNumberFormat="1" applyFont="1" applyBorder="1" applyAlignment="1">
      <alignment horizontal="center" vertical="center" wrapText="1"/>
    </xf>
    <xf numFmtId="0" fontId="7" fillId="9" borderId="13" xfId="0" applyFont="1" applyFill="1" applyBorder="1" applyAlignment="1">
      <alignment horizontal="center" vertical="center" wrapText="1"/>
    </xf>
    <xf numFmtId="3" fontId="14" fillId="35" borderId="11" xfId="0" applyNumberFormat="1" applyFont="1" applyFill="1" applyBorder="1"/>
    <xf numFmtId="0" fontId="14" fillId="35" borderId="11" xfId="0" applyFont="1" applyFill="1" applyBorder="1"/>
    <xf numFmtId="165" fontId="31" fillId="7" borderId="2" xfId="13" applyNumberFormat="1" applyFont="1" applyFill="1" applyBorder="1" applyAlignment="1">
      <alignment horizontal="center" vertical="center"/>
    </xf>
    <xf numFmtId="0" fontId="36" fillId="7" borderId="2" xfId="13" applyFont="1" applyFill="1" applyBorder="1" applyAlignment="1">
      <alignment horizontal="center" vertical="center"/>
    </xf>
    <xf numFmtId="3" fontId="6" fillId="2" borderId="2" xfId="0" applyNumberFormat="1" applyFont="1" applyFill="1" applyBorder="1" applyAlignment="1">
      <alignment wrapText="1"/>
    </xf>
    <xf numFmtId="0" fontId="6" fillId="2" borderId="2" xfId="0" applyFont="1" applyFill="1" applyBorder="1" applyAlignment="1">
      <alignment wrapText="1"/>
    </xf>
    <xf numFmtId="3" fontId="6" fillId="2" borderId="7" xfId="0" applyNumberFormat="1" applyFont="1" applyFill="1" applyBorder="1" applyAlignment="1">
      <alignment wrapText="1"/>
    </xf>
    <xf numFmtId="3" fontId="9" fillId="0" borderId="2" xfId="0" applyNumberFormat="1" applyFont="1" applyBorder="1"/>
    <xf numFmtId="0" fontId="6" fillId="0" borderId="11" xfId="0" applyFont="1" applyBorder="1" applyAlignment="1">
      <alignment horizontal="left"/>
    </xf>
    <xf numFmtId="0" fontId="53" fillId="0" borderId="11" xfId="0" applyFont="1" applyBorder="1"/>
    <xf numFmtId="0" fontId="9" fillId="19" borderId="11" xfId="0" applyFont="1" applyFill="1" applyBorder="1" applyAlignment="1">
      <alignment wrapText="1"/>
    </xf>
    <xf numFmtId="3" fontId="9" fillId="19" borderId="11" xfId="0" applyNumberFormat="1" applyFont="1" applyFill="1" applyBorder="1" applyAlignment="1">
      <alignment wrapText="1"/>
    </xf>
    <xf numFmtId="0" fontId="4" fillId="0" borderId="8" xfId="11" applyFont="1" applyAlignment="1">
      <alignment horizontal="center"/>
    </xf>
    <xf numFmtId="0" fontId="22" fillId="8" borderId="8" xfId="11" applyFont="1" applyFill="1" applyAlignment="1">
      <alignment horizontal="center"/>
    </xf>
    <xf numFmtId="0" fontId="6" fillId="18" borderId="3" xfId="0" applyFont="1" applyFill="1" applyBorder="1" applyAlignment="1">
      <alignment horizontal="center" vertical="center"/>
    </xf>
    <xf numFmtId="0" fontId="6" fillId="18" borderId="4" xfId="0" applyFont="1" applyFill="1" applyBorder="1" applyAlignment="1">
      <alignment horizontal="center" vertical="center"/>
    </xf>
    <xf numFmtId="0" fontId="6" fillId="18" borderId="3" xfId="0" applyFont="1" applyFill="1" applyBorder="1" applyAlignment="1">
      <alignment horizontal="center" vertical="top" wrapText="1"/>
    </xf>
    <xf numFmtId="0" fontId="6" fillId="18" borderId="4" xfId="0" applyFont="1" applyFill="1" applyBorder="1" applyAlignment="1">
      <alignment horizontal="center" vertical="top" wrapText="1"/>
    </xf>
    <xf numFmtId="0" fontId="6" fillId="18" borderId="5" xfId="0" applyFont="1" applyFill="1" applyBorder="1" applyAlignment="1">
      <alignment horizontal="center" vertical="top" wrapText="1"/>
    </xf>
    <xf numFmtId="0" fontId="6" fillId="22" borderId="3" xfId="0" applyFont="1" applyFill="1" applyBorder="1" applyAlignment="1">
      <alignment horizontal="left" vertical="center" wrapText="1"/>
    </xf>
    <xf numFmtId="0" fontId="6" fillId="22" borderId="5" xfId="0" applyFont="1" applyFill="1" applyBorder="1" applyAlignment="1">
      <alignment horizontal="left" vertical="center" wrapText="1"/>
    </xf>
    <xf numFmtId="0" fontId="6" fillId="2" borderId="3" xfId="0" applyFont="1" applyFill="1" applyBorder="1" applyAlignment="1">
      <alignment horizontal="left" vertical="top" wrapText="1" readingOrder="1"/>
    </xf>
    <xf numFmtId="0" fontId="6" fillId="2" borderId="4" xfId="0" applyFont="1" applyFill="1" applyBorder="1" applyAlignment="1">
      <alignment horizontal="left" vertical="top" wrapText="1" readingOrder="1"/>
    </xf>
    <xf numFmtId="0" fontId="6" fillId="2" borderId="5" xfId="0" applyFont="1" applyFill="1" applyBorder="1" applyAlignment="1">
      <alignment horizontal="left" vertical="top" wrapText="1" readingOrder="1"/>
    </xf>
    <xf numFmtId="0" fontId="6" fillId="22" borderId="3" xfId="0" applyFont="1" applyFill="1" applyBorder="1" applyAlignment="1">
      <alignment horizontal="center" vertical="center" wrapText="1"/>
    </xf>
    <xf numFmtId="0" fontId="6" fillId="22" borderId="4" xfId="0" applyFont="1" applyFill="1" applyBorder="1" applyAlignment="1">
      <alignment horizontal="center" vertical="center" wrapText="1"/>
    </xf>
    <xf numFmtId="0" fontId="6" fillId="22" borderId="5" xfId="0" applyFont="1" applyFill="1" applyBorder="1" applyAlignment="1">
      <alignment horizontal="center" vertical="center" wrapText="1"/>
    </xf>
    <xf numFmtId="0" fontId="6" fillId="2" borderId="3" xfId="0" applyFont="1" applyFill="1" applyBorder="1" applyAlignment="1">
      <alignment horizontal="center" vertical="top" wrapText="1" readingOrder="1"/>
    </xf>
    <xf numFmtId="0" fontId="6" fillId="2" borderId="4" xfId="0" applyFont="1" applyFill="1" applyBorder="1" applyAlignment="1">
      <alignment horizontal="center" vertical="top" wrapText="1" readingOrder="1"/>
    </xf>
    <xf numFmtId="0" fontId="6" fillId="2" borderId="5" xfId="0" applyFont="1" applyFill="1" applyBorder="1" applyAlignment="1">
      <alignment horizontal="center" vertical="top" wrapText="1" readingOrder="1"/>
    </xf>
    <xf numFmtId="0" fontId="6" fillId="0" borderId="3" xfId="0" applyFont="1" applyBorder="1" applyAlignment="1">
      <alignment horizontal="center" vertical="center" wrapText="1"/>
    </xf>
    <xf numFmtId="0" fontId="6" fillId="0" borderId="5" xfId="0" applyFont="1" applyBorder="1" applyAlignment="1">
      <alignment horizontal="center" vertical="center" wrapText="1"/>
    </xf>
    <xf numFmtId="3" fontId="6" fillId="2" borderId="3" xfId="0" applyNumberFormat="1" applyFont="1" applyFill="1" applyBorder="1" applyAlignment="1">
      <alignment horizontal="right" vertical="top" wrapText="1"/>
    </xf>
    <xf numFmtId="3" fontId="6" fillId="2" borderId="5" xfId="0" applyNumberFormat="1" applyFont="1" applyFill="1" applyBorder="1" applyAlignment="1">
      <alignment horizontal="right" vertical="top" wrapText="1"/>
    </xf>
    <xf numFmtId="0" fontId="6" fillId="22" borderId="3" xfId="0" applyFont="1" applyFill="1" applyBorder="1" applyAlignment="1">
      <alignment horizontal="left" vertical="center" wrapText="1" readingOrder="1"/>
    </xf>
    <xf numFmtId="0" fontId="6" fillId="22" borderId="5" xfId="0" applyFont="1" applyFill="1" applyBorder="1" applyAlignment="1">
      <alignment horizontal="left" vertical="center" wrapText="1" readingOrder="1"/>
    </xf>
    <xf numFmtId="0" fontId="6" fillId="2" borderId="3" xfId="0" applyFont="1" applyFill="1" applyBorder="1" applyAlignment="1">
      <alignment horizontal="left" vertical="top" wrapText="1"/>
    </xf>
    <xf numFmtId="0" fontId="6" fillId="2" borderId="5" xfId="0" applyFont="1" applyFill="1" applyBorder="1" applyAlignment="1">
      <alignment horizontal="left" vertical="top" wrapText="1"/>
    </xf>
    <xf numFmtId="0" fontId="6" fillId="2" borderId="3" xfId="0" applyFont="1" applyFill="1" applyBorder="1" applyAlignment="1">
      <alignment vertical="top" wrapText="1" readingOrder="1"/>
    </xf>
    <xf numFmtId="0" fontId="6" fillId="2" borderId="4" xfId="0" applyFont="1" applyFill="1" applyBorder="1" applyAlignment="1">
      <alignment vertical="top" wrapText="1" readingOrder="1"/>
    </xf>
    <xf numFmtId="0" fontId="6" fillId="2" borderId="5" xfId="0" applyFont="1" applyFill="1" applyBorder="1" applyAlignment="1">
      <alignment vertical="top" wrapText="1" readingOrder="1"/>
    </xf>
    <xf numFmtId="0" fontId="6" fillId="22" borderId="4" xfId="0" applyFont="1" applyFill="1" applyBorder="1" applyAlignment="1">
      <alignment horizontal="left" vertical="center" wrapText="1"/>
    </xf>
    <xf numFmtId="0" fontId="6" fillId="2" borderId="3" xfId="0" applyFont="1" applyFill="1" applyBorder="1" applyAlignment="1">
      <alignment horizontal="right" vertical="top" wrapText="1"/>
    </xf>
    <xf numFmtId="0" fontId="6" fillId="2" borderId="5" xfId="0" applyFont="1" applyFill="1" applyBorder="1" applyAlignment="1">
      <alignment horizontal="right" vertical="top" wrapText="1"/>
    </xf>
    <xf numFmtId="0" fontId="6" fillId="0" borderId="3" xfId="0" applyFont="1" applyBorder="1" applyAlignment="1">
      <alignment horizontal="right" vertical="top" wrapText="1"/>
    </xf>
    <xf numFmtId="0" fontId="6" fillId="0" borderId="5" xfId="0" applyFont="1" applyBorder="1" applyAlignment="1">
      <alignment horizontal="right" vertical="top" wrapText="1"/>
    </xf>
    <xf numFmtId="3" fontId="6" fillId="19" borderId="15" xfId="0" applyNumberFormat="1" applyFont="1" applyFill="1" applyBorder="1" applyAlignment="1">
      <alignment horizontal="right" vertical="top" wrapText="1"/>
    </xf>
    <xf numFmtId="3" fontId="6" fillId="19" borderId="16" xfId="0" applyNumberFormat="1" applyFont="1" applyFill="1" applyBorder="1" applyAlignment="1">
      <alignment horizontal="right" vertical="top" wrapText="1"/>
    </xf>
    <xf numFmtId="0" fontId="6" fillId="19" borderId="3" xfId="0" applyFont="1" applyFill="1" applyBorder="1" applyAlignment="1">
      <alignment horizontal="right" vertical="top" wrapText="1"/>
    </xf>
    <xf numFmtId="0" fontId="6" fillId="19" borderId="5" xfId="0" applyFont="1" applyFill="1" applyBorder="1" applyAlignment="1">
      <alignment horizontal="right" vertical="top" wrapText="1"/>
    </xf>
    <xf numFmtId="0" fontId="6" fillId="19" borderId="23" xfId="0" applyFont="1" applyFill="1" applyBorder="1" applyAlignment="1">
      <alignment horizontal="right" vertical="top" wrapText="1"/>
    </xf>
    <xf numFmtId="0" fontId="6" fillId="19" borderId="24" xfId="0" applyFont="1" applyFill="1" applyBorder="1" applyAlignment="1">
      <alignment horizontal="right" vertical="top" wrapText="1"/>
    </xf>
    <xf numFmtId="3" fontId="14" fillId="19" borderId="15" xfId="0" applyNumberFormat="1" applyFont="1" applyFill="1" applyBorder="1" applyAlignment="1">
      <alignment vertical="center" wrapText="1"/>
    </xf>
    <xf numFmtId="3" fontId="14" fillId="19" borderId="16" xfId="0" applyNumberFormat="1" applyFont="1" applyFill="1" applyBorder="1" applyAlignment="1">
      <alignment vertical="center" wrapText="1"/>
    </xf>
    <xf numFmtId="3" fontId="12" fillId="20" borderId="15" xfId="0" applyNumberFormat="1" applyFont="1" applyFill="1" applyBorder="1" applyAlignment="1">
      <alignment horizontal="right" vertical="top" wrapText="1" readingOrder="1"/>
    </xf>
    <xf numFmtId="3" fontId="12" fillId="20" borderId="16" xfId="0" applyNumberFormat="1" applyFont="1" applyFill="1" applyBorder="1" applyAlignment="1">
      <alignment horizontal="right" vertical="top" wrapText="1" readingOrder="1"/>
    </xf>
    <xf numFmtId="0" fontId="6" fillId="18" borderId="5" xfId="0" applyFont="1" applyFill="1" applyBorder="1" applyAlignment="1">
      <alignment horizontal="center" vertical="center"/>
    </xf>
    <xf numFmtId="3" fontId="6" fillId="0" borderId="3" xfId="0" applyNumberFormat="1" applyFont="1" applyBorder="1" applyAlignment="1">
      <alignment horizontal="right" vertical="top" wrapText="1"/>
    </xf>
    <xf numFmtId="3" fontId="6" fillId="0" borderId="5" xfId="0" applyNumberFormat="1" applyFont="1" applyBorder="1" applyAlignment="1">
      <alignment horizontal="right" vertical="top" wrapText="1"/>
    </xf>
    <xf numFmtId="0" fontId="6" fillId="2" borderId="25" xfId="0" applyFont="1" applyFill="1" applyBorder="1" applyAlignment="1">
      <alignment horizontal="left" vertical="top" wrapText="1"/>
    </xf>
    <xf numFmtId="0" fontId="6" fillId="2" borderId="26" xfId="0" applyFont="1" applyFill="1" applyBorder="1" applyAlignment="1">
      <alignment horizontal="left" vertical="top" wrapText="1"/>
    </xf>
    <xf numFmtId="0" fontId="6" fillId="0" borderId="15" xfId="0" applyFont="1" applyBorder="1" applyAlignment="1">
      <alignment horizontal="center" vertical="center" wrapText="1"/>
    </xf>
    <xf numFmtId="0" fontId="6" fillId="0" borderId="16" xfId="0" applyFont="1" applyBorder="1" applyAlignment="1">
      <alignment horizontal="center" vertical="center" wrapText="1"/>
    </xf>
    <xf numFmtId="3" fontId="6" fillId="2" borderId="15" xfId="0" applyNumberFormat="1" applyFont="1" applyFill="1" applyBorder="1" applyAlignment="1">
      <alignment horizontal="right" vertical="top" wrapText="1"/>
    </xf>
    <xf numFmtId="3" fontId="6" fillId="2" borderId="16" xfId="0" applyNumberFormat="1" applyFont="1" applyFill="1" applyBorder="1" applyAlignment="1">
      <alignment horizontal="right" vertical="top" wrapText="1"/>
    </xf>
    <xf numFmtId="3" fontId="6" fillId="0" borderId="15" xfId="0" applyNumberFormat="1" applyFont="1" applyBorder="1" applyAlignment="1">
      <alignment horizontal="right" vertical="top" wrapText="1"/>
    </xf>
    <xf numFmtId="3" fontId="6" fillId="0" borderId="16" xfId="0" applyNumberFormat="1" applyFont="1" applyBorder="1" applyAlignment="1">
      <alignment horizontal="right" vertical="top" wrapText="1"/>
    </xf>
    <xf numFmtId="0" fontId="6" fillId="2" borderId="19" xfId="0" applyFont="1" applyFill="1" applyBorder="1" applyAlignment="1">
      <alignment horizontal="center" vertical="top" wrapText="1" readingOrder="1"/>
    </xf>
    <xf numFmtId="0" fontId="6" fillId="18" borderId="3" xfId="0" applyFont="1" applyFill="1" applyBorder="1" applyAlignment="1">
      <alignment horizontal="center" vertical="center" wrapText="1"/>
    </xf>
    <xf numFmtId="0" fontId="6" fillId="18" borderId="4" xfId="0" applyFont="1" applyFill="1" applyBorder="1" applyAlignment="1">
      <alignment horizontal="center" vertical="center" wrapText="1"/>
    </xf>
    <xf numFmtId="0" fontId="6" fillId="18" borderId="5" xfId="0" applyFont="1" applyFill="1" applyBorder="1" applyAlignment="1">
      <alignment horizontal="center" vertical="center" wrapText="1"/>
    </xf>
    <xf numFmtId="0" fontId="6" fillId="2" borderId="15" xfId="0" applyFont="1" applyFill="1" applyBorder="1" applyAlignment="1">
      <alignment horizontal="right" vertical="top" wrapText="1"/>
    </xf>
    <xf numFmtId="0" fontId="6" fillId="2" borderId="16" xfId="0" applyFont="1" applyFill="1" applyBorder="1" applyAlignment="1">
      <alignment horizontal="right" vertical="top" wrapText="1"/>
    </xf>
    <xf numFmtId="0" fontId="14" fillId="19" borderId="15" xfId="0" applyFont="1" applyFill="1" applyBorder="1" applyAlignment="1">
      <alignment vertical="center" wrapText="1"/>
    </xf>
    <xf numFmtId="0" fontId="14" fillId="19" borderId="16" xfId="0" applyFont="1" applyFill="1" applyBorder="1" applyAlignment="1">
      <alignment vertical="center" wrapText="1"/>
    </xf>
    <xf numFmtId="0" fontId="6" fillId="22" borderId="3" xfId="0" applyFont="1" applyFill="1" applyBorder="1" applyAlignment="1">
      <alignment horizontal="center" vertical="top" wrapText="1" readingOrder="1"/>
    </xf>
    <xf numFmtId="0" fontId="6" fillId="22" borderId="4" xfId="0" applyFont="1" applyFill="1" applyBorder="1" applyAlignment="1">
      <alignment horizontal="center" vertical="top" wrapText="1" readingOrder="1"/>
    </xf>
    <xf numFmtId="0" fontId="6" fillId="22" borderId="5" xfId="0" applyFont="1" applyFill="1" applyBorder="1" applyAlignment="1">
      <alignment horizontal="center" vertical="top" wrapText="1" readingOrder="1"/>
    </xf>
    <xf numFmtId="0" fontId="6" fillId="22" borderId="4" xfId="0" applyFont="1" applyFill="1" applyBorder="1" applyAlignment="1">
      <alignment horizontal="left" vertical="center" wrapText="1" readingOrder="1"/>
    </xf>
    <xf numFmtId="0" fontId="6" fillId="2" borderId="22" xfId="0" applyFont="1" applyFill="1" applyBorder="1" applyAlignment="1">
      <alignment horizontal="left" vertical="top" wrapText="1" readingOrder="1"/>
    </xf>
    <xf numFmtId="0" fontId="12" fillId="18" borderId="3" xfId="0" applyFont="1" applyFill="1" applyBorder="1" applyAlignment="1">
      <alignment horizontal="center" vertical="top"/>
    </xf>
    <xf numFmtId="0" fontId="12" fillId="18" borderId="4" xfId="0" applyFont="1" applyFill="1" applyBorder="1" applyAlignment="1">
      <alignment horizontal="center" vertical="top"/>
    </xf>
    <xf numFmtId="0" fontId="12" fillId="18" borderId="5" xfId="0" applyFont="1" applyFill="1" applyBorder="1" applyAlignment="1">
      <alignment horizontal="center" vertical="top"/>
    </xf>
    <xf numFmtId="0" fontId="14" fillId="19" borderId="3" xfId="0" applyFont="1" applyFill="1" applyBorder="1" applyAlignment="1">
      <alignment horizontal="right" vertical="top" wrapText="1"/>
    </xf>
    <xf numFmtId="0" fontId="14" fillId="19" borderId="5" xfId="0" applyFont="1" applyFill="1" applyBorder="1" applyAlignment="1">
      <alignment horizontal="right" vertical="top" wrapText="1"/>
    </xf>
    <xf numFmtId="0" fontId="14" fillId="19" borderId="23" xfId="0" applyFont="1" applyFill="1" applyBorder="1" applyAlignment="1">
      <alignment horizontal="right" vertical="top" wrapText="1"/>
    </xf>
    <xf numFmtId="0" fontId="14" fillId="19" borderId="24" xfId="0" applyFont="1" applyFill="1" applyBorder="1" applyAlignment="1">
      <alignment horizontal="right" vertical="top" wrapText="1"/>
    </xf>
    <xf numFmtId="0" fontId="5" fillId="3" borderId="8" xfId="5" applyFont="1" applyFill="1" applyAlignment="1">
      <alignment horizontal="center" vertical="center" wrapText="1"/>
    </xf>
    <xf numFmtId="0" fontId="14" fillId="35" borderId="15" xfId="0" applyFont="1" applyFill="1" applyBorder="1" applyAlignment="1">
      <alignment vertical="center" wrapText="1"/>
    </xf>
    <xf numFmtId="0" fontId="14" fillId="35" borderId="16" xfId="0" applyFont="1" applyFill="1" applyBorder="1" applyAlignment="1">
      <alignment vertical="center" wrapText="1"/>
    </xf>
    <xf numFmtId="0" fontId="6" fillId="18" borderId="3" xfId="0" applyFont="1" applyFill="1" applyBorder="1" applyAlignment="1">
      <alignment horizontal="center" vertical="top"/>
    </xf>
    <xf numFmtId="0" fontId="6" fillId="18" borderId="4" xfId="0" applyFont="1" applyFill="1" applyBorder="1" applyAlignment="1">
      <alignment horizontal="center" vertical="top"/>
    </xf>
    <xf numFmtId="0" fontId="6" fillId="18" borderId="5" xfId="0" applyFont="1" applyFill="1" applyBorder="1" applyAlignment="1">
      <alignment horizontal="center" vertical="top"/>
    </xf>
    <xf numFmtId="3" fontId="14" fillId="35" borderId="15" xfId="0" applyNumberFormat="1" applyFont="1" applyFill="1" applyBorder="1" applyAlignment="1">
      <alignment horizontal="right" vertical="center" wrapText="1"/>
    </xf>
    <xf numFmtId="3" fontId="14" fillId="35" borderId="16" xfId="0" applyNumberFormat="1" applyFont="1" applyFill="1" applyBorder="1" applyAlignment="1">
      <alignment horizontal="right" vertical="center" wrapText="1"/>
    </xf>
    <xf numFmtId="3" fontId="14" fillId="35" borderId="15" xfId="0" applyNumberFormat="1" applyFont="1" applyFill="1" applyBorder="1" applyAlignment="1">
      <alignment vertical="center" wrapText="1"/>
    </xf>
    <xf numFmtId="3" fontId="14" fillId="35" borderId="16" xfId="0" applyNumberFormat="1" applyFont="1" applyFill="1" applyBorder="1" applyAlignment="1">
      <alignment vertical="center" wrapText="1"/>
    </xf>
    <xf numFmtId="0" fontId="6" fillId="18" borderId="19" xfId="0" applyFont="1" applyFill="1" applyBorder="1" applyAlignment="1">
      <alignment horizontal="center" vertical="center"/>
    </xf>
    <xf numFmtId="0" fontId="12" fillId="18" borderId="19" xfId="0" applyFont="1" applyFill="1" applyBorder="1" applyAlignment="1">
      <alignment horizontal="center" vertical="top" wrapText="1"/>
    </xf>
    <xf numFmtId="0" fontId="12" fillId="18" borderId="4" xfId="0" applyFont="1" applyFill="1" applyBorder="1" applyAlignment="1">
      <alignment horizontal="center" vertical="top" wrapText="1"/>
    </xf>
    <xf numFmtId="0" fontId="12" fillId="18" borderId="5" xfId="0" applyFont="1" applyFill="1" applyBorder="1" applyAlignment="1">
      <alignment horizontal="center" vertical="top" wrapText="1"/>
    </xf>
    <xf numFmtId="0" fontId="12" fillId="18" borderId="19" xfId="0" applyFont="1" applyFill="1" applyBorder="1" applyAlignment="1">
      <alignment horizontal="left" vertical="center" wrapText="1" readingOrder="1"/>
    </xf>
    <xf numFmtId="0" fontId="12" fillId="18" borderId="4" xfId="0" applyFont="1" applyFill="1" applyBorder="1" applyAlignment="1">
      <alignment horizontal="left" vertical="center" wrapText="1" readingOrder="1"/>
    </xf>
    <xf numFmtId="0" fontId="12" fillId="18" borderId="5" xfId="0" applyFont="1" applyFill="1" applyBorder="1" applyAlignment="1">
      <alignment horizontal="left" vertical="center" wrapText="1" readingOrder="1"/>
    </xf>
    <xf numFmtId="0" fontId="6" fillId="19" borderId="19" xfId="0" applyFont="1" applyFill="1" applyBorder="1" applyAlignment="1">
      <alignment vertical="top" wrapText="1" readingOrder="1"/>
    </xf>
    <xf numFmtId="0" fontId="6" fillId="19" borderId="4" xfId="0" applyFont="1" applyFill="1" applyBorder="1" applyAlignment="1">
      <alignment vertical="top" wrapText="1" readingOrder="1"/>
    </xf>
    <xf numFmtId="0" fontId="6" fillId="19" borderId="5" xfId="0" applyFont="1" applyFill="1" applyBorder="1" applyAlignment="1">
      <alignment vertical="top" wrapText="1" readingOrder="1"/>
    </xf>
    <xf numFmtId="0" fontId="12" fillId="18" borderId="3" xfId="0" applyFont="1" applyFill="1" applyBorder="1" applyAlignment="1">
      <alignment horizontal="center" vertical="top" wrapText="1"/>
    </xf>
    <xf numFmtId="3" fontId="6" fillId="19" borderId="3" xfId="0" applyNumberFormat="1" applyFont="1" applyFill="1" applyBorder="1" applyAlignment="1">
      <alignment horizontal="right" vertical="top" wrapText="1"/>
    </xf>
    <xf numFmtId="3" fontId="6" fillId="19" borderId="5" xfId="0" applyNumberFormat="1" applyFont="1" applyFill="1" applyBorder="1" applyAlignment="1">
      <alignment horizontal="right" vertical="top" wrapText="1"/>
    </xf>
    <xf numFmtId="0" fontId="4" fillId="0" borderId="0" xfId="0" applyFont="1" applyAlignment="1">
      <alignment horizontal="left" vertical="center" wrapText="1"/>
    </xf>
    <xf numFmtId="0" fontId="4" fillId="0" borderId="0" xfId="0" applyFont="1"/>
    <xf numFmtId="0" fontId="5" fillId="6" borderId="11" xfId="0" applyFont="1" applyFill="1" applyBorder="1" applyAlignment="1">
      <alignment horizontal="center" vertical="center" wrapText="1"/>
    </xf>
    <xf numFmtId="0" fontId="6" fillId="0" borderId="0" xfId="0" applyFont="1" applyAlignment="1">
      <alignment horizontal="left" vertical="center" wrapText="1"/>
    </xf>
    <xf numFmtId="0" fontId="4" fillId="0" borderId="0" xfId="0" applyFont="1" applyAlignment="1">
      <alignment horizontal="left" wrapText="1"/>
    </xf>
    <xf numFmtId="0" fontId="4" fillId="0" borderId="8" xfId="0" applyFont="1" applyBorder="1" applyAlignment="1">
      <alignment horizontal="left" vertical="center" wrapText="1"/>
    </xf>
    <xf numFmtId="49"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xf>
    <xf numFmtId="0" fontId="5" fillId="9" borderId="3" xfId="0" applyFont="1" applyFill="1" applyBorder="1" applyAlignment="1">
      <alignment horizontal="center"/>
    </xf>
    <xf numFmtId="0" fontId="5" fillId="9" borderId="2" xfId="0" applyFont="1" applyFill="1" applyBorder="1" applyAlignment="1">
      <alignment horizontal="center"/>
    </xf>
    <xf numFmtId="0" fontId="5" fillId="24" borderId="16" xfId="0" applyFont="1" applyFill="1" applyBorder="1" applyAlignment="1">
      <alignment horizontal="center" wrapText="1"/>
    </xf>
    <xf numFmtId="0" fontId="5" fillId="25" borderId="11" xfId="0" applyFont="1" applyFill="1" applyBorder="1" applyAlignment="1">
      <alignment horizontal="center" wrapText="1"/>
    </xf>
    <xf numFmtId="0" fontId="5" fillId="25" borderId="11"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6" fillId="0" borderId="8" xfId="0" applyFont="1" applyBorder="1" applyAlignment="1">
      <alignment horizontal="left" vertical="center" wrapText="1"/>
    </xf>
    <xf numFmtId="0" fontId="4" fillId="0" borderId="8" xfId="0" applyFont="1" applyBorder="1"/>
    <xf numFmtId="0" fontId="5" fillId="25" borderId="8" xfId="0" applyFont="1" applyFill="1" applyBorder="1" applyAlignment="1">
      <alignment horizontal="center" wrapText="1"/>
    </xf>
    <xf numFmtId="0" fontId="12" fillId="24" borderId="11" xfId="0" applyFont="1" applyFill="1" applyBorder="1" applyAlignment="1">
      <alignment horizontal="center" wrapText="1"/>
    </xf>
    <xf numFmtId="0" fontId="7" fillId="9" borderId="15" xfId="0" applyFont="1" applyFill="1" applyBorder="1" applyAlignment="1">
      <alignment horizontal="center" vertical="center" wrapText="1"/>
    </xf>
    <xf numFmtId="0" fontId="7" fillId="9" borderId="16"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7" fillId="9" borderId="12" xfId="0" applyFont="1" applyFill="1" applyBorder="1" applyAlignment="1">
      <alignment horizontal="center" vertical="center" wrapText="1"/>
    </xf>
    <xf numFmtId="0" fontId="24" fillId="24" borderId="8" xfId="0" applyFont="1" applyFill="1" applyBorder="1" applyAlignment="1">
      <alignment horizontal="center" vertical="center" wrapText="1"/>
    </xf>
    <xf numFmtId="0" fontId="9" fillId="0" borderId="3" xfId="0" applyFont="1" applyBorder="1" applyAlignment="1">
      <alignment horizontal="left" vertical="center"/>
    </xf>
    <xf numFmtId="0" fontId="9" fillId="0" borderId="5" xfId="0" applyFont="1" applyBorder="1" applyAlignment="1">
      <alignment horizontal="left" vertical="center"/>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4" fillId="3" borderId="8" xfId="5" applyFont="1" applyFill="1" applyAlignment="1">
      <alignment horizontal="center" vertical="center" wrapText="1"/>
    </xf>
    <xf numFmtId="0" fontId="9" fillId="0" borderId="4" xfId="0" applyFont="1" applyBorder="1" applyAlignment="1">
      <alignment horizontal="left" vertical="center"/>
    </xf>
    <xf numFmtId="0" fontId="46" fillId="0" borderId="0" xfId="0" applyFont="1" applyAlignment="1">
      <alignment horizontal="left" vertical="top" wrapText="1"/>
    </xf>
    <xf numFmtId="3" fontId="9" fillId="0" borderId="15" xfId="0" applyNumberFormat="1" applyFont="1" applyBorder="1" applyAlignment="1">
      <alignment horizontal="center" vertical="top" wrapText="1"/>
    </xf>
    <xf numFmtId="3" fontId="9" fillId="0" borderId="17" xfId="0" applyNumberFormat="1" applyFont="1" applyBorder="1" applyAlignment="1">
      <alignment horizontal="center" vertical="top" wrapText="1"/>
    </xf>
    <xf numFmtId="3" fontId="9" fillId="0" borderId="16" xfId="0" applyNumberFormat="1" applyFont="1" applyBorder="1" applyAlignment="1">
      <alignment horizontal="center" vertical="top" wrapText="1"/>
    </xf>
    <xf numFmtId="3" fontId="9" fillId="19" borderId="15" xfId="0" applyNumberFormat="1" applyFont="1" applyFill="1" applyBorder="1" applyAlignment="1">
      <alignment horizontal="center" vertical="top" wrapText="1"/>
    </xf>
    <xf numFmtId="3" fontId="9" fillId="19" borderId="17" xfId="0" applyNumberFormat="1" applyFont="1" applyFill="1" applyBorder="1" applyAlignment="1">
      <alignment horizontal="center" vertical="top" wrapText="1"/>
    </xf>
    <xf numFmtId="3" fontId="9" fillId="19" borderId="16" xfId="0" applyNumberFormat="1" applyFont="1" applyFill="1" applyBorder="1" applyAlignment="1">
      <alignment horizontal="center" vertical="top" wrapText="1"/>
    </xf>
    <xf numFmtId="3" fontId="9" fillId="19" borderId="33" xfId="0" applyNumberFormat="1" applyFont="1" applyFill="1" applyBorder="1" applyAlignment="1">
      <alignment horizontal="left" vertical="top"/>
    </xf>
    <xf numFmtId="3" fontId="9" fillId="19" borderId="34" xfId="0" applyNumberFormat="1" applyFont="1" applyFill="1" applyBorder="1" applyAlignment="1">
      <alignment horizontal="left" vertical="top"/>
    </xf>
    <xf numFmtId="3" fontId="9" fillId="19" borderId="35" xfId="0" applyNumberFormat="1" applyFont="1" applyFill="1" applyBorder="1" applyAlignment="1">
      <alignment horizontal="left" vertical="top"/>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9" fillId="2" borderId="5" xfId="0" applyFont="1" applyFill="1" applyBorder="1" applyAlignment="1">
      <alignment horizontal="left" vertical="center"/>
    </xf>
    <xf numFmtId="0" fontId="7" fillId="13" borderId="11" xfId="0" applyFont="1" applyFill="1" applyBorder="1" applyAlignment="1">
      <alignment horizontal="center"/>
    </xf>
    <xf numFmtId="0" fontId="7" fillId="14" borderId="8" xfId="0" applyFont="1" applyFill="1" applyBorder="1" applyAlignment="1">
      <alignment horizontal="center"/>
    </xf>
    <xf numFmtId="0" fontId="7" fillId="12" borderId="11" xfId="0" applyFont="1" applyFill="1" applyBorder="1" applyAlignment="1">
      <alignment horizontal="center" vertical="center" wrapText="1"/>
    </xf>
    <xf numFmtId="0" fontId="7" fillId="13" borderId="13" xfId="0" applyFont="1" applyFill="1" applyBorder="1" applyAlignment="1">
      <alignment horizontal="center"/>
    </xf>
    <xf numFmtId="49" fontId="7" fillId="0" borderId="0" xfId="0" applyNumberFormat="1" applyFont="1" applyAlignment="1">
      <alignment horizontal="center" vertical="top" wrapText="1"/>
    </xf>
    <xf numFmtId="0" fontId="7" fillId="0" borderId="0" xfId="0" applyFont="1" applyAlignment="1">
      <alignment horizontal="center" vertical="top" wrapText="1"/>
    </xf>
    <xf numFmtId="0" fontId="8" fillId="0" borderId="3" xfId="0" applyFont="1" applyBorder="1" applyAlignment="1">
      <alignment horizontal="center" vertical="top" wrapText="1"/>
    </xf>
    <xf numFmtId="0" fontId="8" fillId="0" borderId="4" xfId="0" applyFont="1" applyBorder="1" applyAlignment="1">
      <alignment horizontal="center" vertical="top" wrapText="1"/>
    </xf>
    <xf numFmtId="0" fontId="8" fillId="0" borderId="5" xfId="0" applyFont="1" applyBorder="1" applyAlignment="1">
      <alignment horizontal="center" vertical="top" wrapText="1"/>
    </xf>
    <xf numFmtId="0" fontId="9" fillId="2" borderId="8" xfId="0" applyFont="1" applyFill="1" applyBorder="1" applyAlignment="1">
      <alignment horizontal="left" vertical="top"/>
    </xf>
    <xf numFmtId="0" fontId="10" fillId="0" borderId="8" xfId="0" applyFont="1" applyBorder="1" applyAlignment="1">
      <alignment vertical="top"/>
    </xf>
    <xf numFmtId="0" fontId="5" fillId="3" borderId="8" xfId="0" applyFont="1" applyFill="1" applyBorder="1" applyAlignment="1">
      <alignment horizontal="center" vertical="center" wrapText="1"/>
    </xf>
    <xf numFmtId="0" fontId="6" fillId="7" borderId="8" xfId="0" applyFont="1" applyFill="1" applyBorder="1" applyAlignment="1">
      <alignment horizontal="left" vertical="center" wrapText="1"/>
    </xf>
    <xf numFmtId="0" fontId="9" fillId="0" borderId="3" xfId="0" applyFont="1" applyBorder="1" applyAlignment="1">
      <alignment horizontal="center"/>
    </xf>
    <xf numFmtId="0" fontId="9" fillId="0" borderId="5" xfId="0" applyFont="1" applyBorder="1" applyAlignment="1">
      <alignment horizontal="center"/>
    </xf>
    <xf numFmtId="0" fontId="9" fillId="2" borderId="23" xfId="0" applyFont="1" applyFill="1" applyBorder="1" applyAlignment="1">
      <alignment horizontal="left" vertical="center"/>
    </xf>
    <xf numFmtId="0" fontId="9" fillId="2" borderId="27" xfId="0" applyFont="1" applyFill="1" applyBorder="1" applyAlignment="1">
      <alignment horizontal="left" vertical="center"/>
    </xf>
    <xf numFmtId="0" fontId="9" fillId="2" borderId="24" xfId="0" applyFont="1" applyFill="1" applyBorder="1" applyAlignment="1">
      <alignment horizontal="left" vertical="center"/>
    </xf>
    <xf numFmtId="0" fontId="9" fillId="2" borderId="9" xfId="0" applyFont="1" applyFill="1" applyBorder="1" applyAlignment="1">
      <alignment horizontal="left" vertical="center"/>
    </xf>
    <xf numFmtId="0" fontId="9" fillId="2" borderId="32" xfId="0" applyFont="1" applyFill="1" applyBorder="1" applyAlignment="1">
      <alignment horizontal="left" vertical="center"/>
    </xf>
    <xf numFmtId="0" fontId="10" fillId="0" borderId="3" xfId="0" applyFont="1" applyBorder="1" applyAlignment="1">
      <alignment vertical="center"/>
    </xf>
    <xf numFmtId="0" fontId="10" fillId="0" borderId="4" xfId="0" applyFont="1" applyBorder="1" applyAlignment="1">
      <alignment vertical="center"/>
    </xf>
    <xf numFmtId="0" fontId="10" fillId="0" borderId="22" xfId="0" applyFont="1" applyBorder="1" applyAlignment="1">
      <alignment vertical="center"/>
    </xf>
    <xf numFmtId="0" fontId="6" fillId="7" borderId="8" xfId="0" applyFont="1" applyFill="1" applyBorder="1" applyAlignment="1">
      <alignment horizontal="left" vertical="center"/>
    </xf>
    <xf numFmtId="0" fontId="12" fillId="34" borderId="8" xfId="0" applyFont="1" applyFill="1" applyBorder="1" applyAlignment="1">
      <alignment horizontal="left" vertical="center"/>
    </xf>
    <xf numFmtId="0" fontId="12" fillId="41" borderId="11" xfId="0" applyFont="1" applyFill="1" applyBorder="1" applyAlignment="1">
      <alignment horizontal="center" vertical="center"/>
    </xf>
    <xf numFmtId="0" fontId="46" fillId="41" borderId="18" xfId="0" applyFont="1" applyFill="1" applyBorder="1" applyAlignment="1">
      <alignment horizontal="center" vertical="center" wrapText="1"/>
    </xf>
    <xf numFmtId="0" fontId="46" fillId="41" borderId="20" xfId="0" applyFont="1" applyFill="1" applyBorder="1" applyAlignment="1">
      <alignment horizontal="center" vertical="center" wrapText="1"/>
    </xf>
    <xf numFmtId="0" fontId="6" fillId="7" borderId="8" xfId="0" applyFont="1" applyFill="1" applyBorder="1" applyAlignment="1">
      <alignment horizontal="center" vertical="center"/>
    </xf>
    <xf numFmtId="0" fontId="46" fillId="0" borderId="0" xfId="0" applyFont="1" applyAlignment="1">
      <alignment horizontal="left" wrapText="1"/>
    </xf>
    <xf numFmtId="0" fontId="6" fillId="0" borderId="3" xfId="0" applyFont="1" applyBorder="1" applyAlignment="1">
      <alignment horizontal="center"/>
    </xf>
    <xf numFmtId="0" fontId="6" fillId="0" borderId="5" xfId="0" applyFont="1" applyBorder="1" applyAlignment="1">
      <alignment horizontal="center"/>
    </xf>
    <xf numFmtId="0" fontId="6" fillId="14" borderId="8" xfId="0" applyFont="1" applyFill="1" applyBorder="1" applyAlignment="1">
      <alignment horizontal="left" vertical="center"/>
    </xf>
    <xf numFmtId="3" fontId="9" fillId="19" borderId="3" xfId="0" applyNumberFormat="1" applyFont="1" applyFill="1" applyBorder="1" applyAlignment="1">
      <alignment horizontal="center" vertical="top"/>
    </xf>
    <xf numFmtId="3" fontId="9" fillId="19" borderId="4" xfId="0" applyNumberFormat="1" applyFont="1" applyFill="1" applyBorder="1" applyAlignment="1">
      <alignment horizontal="center" vertical="top"/>
    </xf>
    <xf numFmtId="3" fontId="9" fillId="19" borderId="5" xfId="0" applyNumberFormat="1" applyFont="1" applyFill="1" applyBorder="1" applyAlignment="1">
      <alignment horizontal="center" vertical="top"/>
    </xf>
    <xf numFmtId="0" fontId="14" fillId="0" borderId="18" xfId="0" applyFont="1" applyBorder="1" applyAlignment="1">
      <alignment horizontal="center" vertical="top"/>
    </xf>
    <xf numFmtId="0" fontId="14" fillId="0" borderId="20" xfId="0" applyFont="1" applyBorder="1" applyAlignment="1">
      <alignment horizontal="center" vertical="top"/>
    </xf>
    <xf numFmtId="0" fontId="14" fillId="0" borderId="3" xfId="0" applyFont="1" applyBorder="1" applyAlignment="1">
      <alignment horizontal="center" vertical="top"/>
    </xf>
    <xf numFmtId="0" fontId="14" fillId="0" borderId="5" xfId="0" applyFont="1" applyBorder="1" applyAlignment="1">
      <alignment horizontal="center" vertical="top"/>
    </xf>
    <xf numFmtId="0" fontId="5" fillId="3" borderId="8" xfId="0" applyFont="1" applyFill="1" applyBorder="1" applyAlignment="1">
      <alignment horizontal="center" wrapText="1"/>
    </xf>
    <xf numFmtId="0" fontId="15" fillId="4" borderId="13" xfId="0" applyFont="1" applyFill="1" applyBorder="1" applyAlignment="1">
      <alignment horizontal="center" vertical="center"/>
    </xf>
    <xf numFmtId="0" fontId="15" fillId="4" borderId="12" xfId="0" applyFont="1" applyFill="1" applyBorder="1" applyAlignment="1">
      <alignment horizontal="center" vertical="center"/>
    </xf>
    <xf numFmtId="0" fontId="12" fillId="17" borderId="11" xfId="5" applyFont="1" applyFill="1" applyBorder="1" applyAlignment="1">
      <alignment horizontal="center" vertical="center" wrapText="1"/>
    </xf>
    <xf numFmtId="0" fontId="5" fillId="27" borderId="11" xfId="0" applyFont="1" applyFill="1" applyBorder="1" applyAlignment="1">
      <alignment horizontal="center" vertical="center" wrapText="1"/>
    </xf>
    <xf numFmtId="49" fontId="4" fillId="0" borderId="0" xfId="0" applyNumberFormat="1" applyFont="1" applyAlignment="1">
      <alignment horizontal="center" vertical="top" wrapText="1"/>
    </xf>
    <xf numFmtId="0" fontId="4" fillId="0" borderId="0" xfId="0" applyFont="1" applyAlignment="1">
      <alignment horizontal="center" vertical="top" wrapText="1"/>
    </xf>
    <xf numFmtId="0" fontId="4" fillId="0" borderId="8" xfId="5" applyFont="1" applyAlignment="1">
      <alignment horizontal="center" vertical="center"/>
    </xf>
    <xf numFmtId="0" fontId="4" fillId="0" borderId="8" xfId="0" applyFont="1" applyBorder="1" applyAlignment="1">
      <alignment horizontal="center" vertical="center" wrapText="1"/>
    </xf>
    <xf numFmtId="0" fontId="5" fillId="9" borderId="11" xfId="0" applyFont="1" applyFill="1" applyBorder="1" applyAlignment="1">
      <alignment horizontal="center"/>
    </xf>
    <xf numFmtId="0" fontId="5" fillId="8" borderId="11" xfId="5" applyFont="1" applyFill="1" applyBorder="1" applyAlignment="1">
      <alignment horizontal="center"/>
    </xf>
    <xf numFmtId="0" fontId="6" fillId="0" borderId="30" xfId="5" applyFont="1" applyBorder="1" applyAlignment="1">
      <alignment horizontal="left" vertical="top" wrapText="1"/>
    </xf>
    <xf numFmtId="0" fontId="6" fillId="0" borderId="28" xfId="5" applyFont="1" applyBorder="1" applyAlignment="1">
      <alignment horizontal="left" vertical="top" wrapText="1"/>
    </xf>
    <xf numFmtId="49" fontId="4" fillId="0" borderId="8" xfId="6" applyNumberFormat="1" applyFont="1" applyAlignment="1">
      <alignment horizontal="center" vertical="center" wrapText="1"/>
    </xf>
    <xf numFmtId="0" fontId="4" fillId="0" borderId="8" xfId="6" applyFont="1" applyAlignment="1">
      <alignment horizontal="center" vertical="center" wrapText="1"/>
    </xf>
    <xf numFmtId="0" fontId="53" fillId="19" borderId="3" xfId="0" applyFont="1" applyFill="1" applyBorder="1" applyAlignment="1">
      <alignment horizontal="left" vertical="center"/>
    </xf>
    <xf numFmtId="0" fontId="53" fillId="19" borderId="5" xfId="0" applyFont="1" applyFill="1" applyBorder="1" applyAlignment="1">
      <alignment horizontal="left" vertical="center"/>
    </xf>
    <xf numFmtId="0" fontId="53" fillId="19" borderId="3" xfId="0" applyFont="1" applyFill="1" applyBorder="1" applyAlignment="1">
      <alignment horizontal="left" vertical="center" wrapText="1"/>
    </xf>
    <xf numFmtId="0" fontId="53" fillId="19" borderId="5" xfId="0" applyFont="1" applyFill="1" applyBorder="1" applyAlignment="1">
      <alignment horizontal="left" vertical="center" wrapText="1"/>
    </xf>
    <xf numFmtId="0" fontId="54" fillId="19" borderId="3" xfId="0" applyFont="1" applyFill="1" applyBorder="1"/>
    <xf numFmtId="0" fontId="54" fillId="19" borderId="5" xfId="0" applyFont="1" applyFill="1" applyBorder="1"/>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53" fillId="19" borderId="3" xfId="0" applyFont="1" applyFill="1" applyBorder="1" applyAlignment="1">
      <alignment horizontal="left"/>
    </xf>
    <xf numFmtId="0" fontId="53" fillId="19" borderId="5" xfId="0" applyFont="1" applyFill="1" applyBorder="1" applyAlignment="1">
      <alignment horizontal="left"/>
    </xf>
    <xf numFmtId="0" fontId="53" fillId="2" borderId="3" xfId="0" applyFont="1" applyFill="1" applyBorder="1" applyAlignment="1">
      <alignment horizontal="right" vertical="center" wrapText="1"/>
    </xf>
    <xf numFmtId="0" fontId="53" fillId="2" borderId="5" xfId="0" applyFont="1" applyFill="1" applyBorder="1" applyAlignment="1">
      <alignment horizontal="right" vertical="center" wrapText="1"/>
    </xf>
    <xf numFmtId="0" fontId="4" fillId="0" borderId="8" xfId="5" applyFont="1" applyAlignment="1">
      <alignment horizontal="center" vertical="center" wrapText="1"/>
    </xf>
    <xf numFmtId="0" fontId="6" fillId="35" borderId="15" xfId="0" applyFont="1" applyFill="1" applyBorder="1" applyAlignment="1">
      <alignment horizontal="left" vertical="center"/>
    </xf>
    <xf numFmtId="0" fontId="6" fillId="35" borderId="17" xfId="0" applyFont="1" applyFill="1" applyBorder="1" applyAlignment="1">
      <alignment horizontal="left" vertical="center"/>
    </xf>
    <xf numFmtId="0" fontId="6" fillId="35" borderId="16" xfId="0" applyFont="1" applyFill="1" applyBorder="1" applyAlignment="1">
      <alignment horizontal="left" vertical="center"/>
    </xf>
    <xf numFmtId="0" fontId="25" fillId="27" borderId="11" xfId="0" applyFont="1" applyFill="1" applyBorder="1" applyAlignment="1">
      <alignment horizontal="center" vertical="center" wrapText="1"/>
    </xf>
    <xf numFmtId="0" fontId="6" fillId="35" borderId="15" xfId="0" applyFont="1" applyFill="1" applyBorder="1" applyAlignment="1">
      <alignment horizontal="left" vertical="center" wrapText="1"/>
    </xf>
    <xf numFmtId="0" fontId="6" fillId="35" borderId="17" xfId="0" applyFont="1" applyFill="1" applyBorder="1" applyAlignment="1">
      <alignment horizontal="left" vertical="center" wrapText="1"/>
    </xf>
    <xf numFmtId="0" fontId="6" fillId="35" borderId="16" xfId="0" applyFont="1" applyFill="1" applyBorder="1" applyAlignment="1">
      <alignment horizontal="left" vertical="center" wrapText="1"/>
    </xf>
    <xf numFmtId="0" fontId="6" fillId="35" borderId="15" xfId="0" applyFont="1" applyFill="1" applyBorder="1" applyAlignment="1">
      <alignment horizontal="left" vertical="top"/>
    </xf>
    <xf numFmtId="0" fontId="6" fillId="35" borderId="17" xfId="0" applyFont="1" applyFill="1" applyBorder="1" applyAlignment="1">
      <alignment horizontal="left" vertical="top"/>
    </xf>
    <xf numFmtId="0" fontId="37" fillId="29" borderId="11" xfId="13" applyFont="1" applyFill="1" applyBorder="1" applyAlignment="1">
      <alignment horizontal="center" vertical="center"/>
    </xf>
    <xf numFmtId="0" fontId="38" fillId="0" borderId="11" xfId="13" applyFont="1" applyBorder="1" applyAlignment="1">
      <alignment vertical="center"/>
    </xf>
    <xf numFmtId="0" fontId="28" fillId="3" borderId="8" xfId="13" applyFont="1" applyFill="1" applyAlignment="1">
      <alignment horizontal="left" vertical="center" wrapText="1"/>
    </xf>
    <xf numFmtId="0" fontId="37" fillId="29" borderId="11" xfId="13" applyFont="1" applyFill="1" applyBorder="1" applyAlignment="1">
      <alignment horizontal="right" vertical="center"/>
    </xf>
    <xf numFmtId="0" fontId="6" fillId="0" borderId="0" xfId="0" applyFont="1"/>
    <xf numFmtId="0" fontId="6" fillId="2" borderId="0" xfId="0" applyFont="1" applyFill="1" applyAlignment="1">
      <alignment horizontal="center" wrapText="1"/>
    </xf>
    <xf numFmtId="0" fontId="6" fillId="2" borderId="0" xfId="0" applyFont="1" applyFill="1" applyAlignment="1">
      <alignment horizontal="center" vertical="center" wrapText="1"/>
    </xf>
    <xf numFmtId="0" fontId="6" fillId="0" borderId="8" xfId="0" applyFont="1" applyBorder="1"/>
    <xf numFmtId="0" fontId="6" fillId="0" borderId="39" xfId="0" applyFont="1" applyBorder="1"/>
    <xf numFmtId="0" fontId="15" fillId="0" borderId="3" xfId="0" applyFont="1" applyBorder="1" applyAlignment="1">
      <alignment horizontal="left" vertical="center" wrapText="1"/>
    </xf>
    <xf numFmtId="0" fontId="15" fillId="0" borderId="4" xfId="0" applyFont="1" applyBorder="1" applyAlignment="1">
      <alignment horizontal="left" vertical="center" wrapText="1"/>
    </xf>
    <xf numFmtId="0" fontId="15" fillId="0" borderId="11" xfId="0" applyFont="1" applyBorder="1" applyAlignment="1">
      <alignment horizontal="left" vertical="center"/>
    </xf>
    <xf numFmtId="0" fontId="12" fillId="2" borderId="1" xfId="0" applyFont="1" applyFill="1" applyBorder="1" applyAlignment="1">
      <alignment horizontal="center" vertical="center" wrapText="1"/>
    </xf>
    <xf numFmtId="0" fontId="6" fillId="0" borderId="4" xfId="0" applyFont="1" applyBorder="1" applyAlignment="1">
      <alignment wrapText="1"/>
    </xf>
    <xf numFmtId="3" fontId="6" fillId="0" borderId="3" xfId="0" applyNumberFormat="1" applyFont="1" applyBorder="1"/>
    <xf numFmtId="0" fontId="6" fillId="0" borderId="3" xfId="0" applyFont="1" applyBorder="1"/>
    <xf numFmtId="166" fontId="12" fillId="6" borderId="15" xfId="0" applyNumberFormat="1" applyFont="1" applyFill="1" applyBorder="1" applyAlignment="1">
      <alignment horizontal="right" vertical="top"/>
    </xf>
    <xf numFmtId="0" fontId="4" fillId="0" borderId="11" xfId="0" applyFont="1" applyBorder="1" applyAlignment="1">
      <alignment wrapText="1"/>
    </xf>
    <xf numFmtId="0" fontId="53" fillId="0" borderId="2" xfId="0" applyFont="1" applyBorder="1" applyAlignment="1">
      <alignment wrapText="1"/>
    </xf>
    <xf numFmtId="166" fontId="5" fillId="42" borderId="12" xfId="0" applyNumberFormat="1" applyFont="1" applyFill="1" applyBorder="1"/>
    <xf numFmtId="0" fontId="6" fillId="0" borderId="3" xfId="0" applyFont="1" applyBorder="1" applyAlignment="1">
      <alignment wrapText="1"/>
    </xf>
    <xf numFmtId="3" fontId="6" fillId="2" borderId="18" xfId="0" applyNumberFormat="1" applyFont="1" applyFill="1" applyBorder="1" applyAlignment="1">
      <alignment horizontal="left" vertical="top"/>
    </xf>
    <xf numFmtId="0" fontId="6" fillId="2" borderId="18" xfId="0" applyFont="1" applyFill="1" applyBorder="1" applyAlignment="1">
      <alignment horizontal="left" vertical="top"/>
    </xf>
    <xf numFmtId="166" fontId="47" fillId="10" borderId="15" xfId="0" applyNumberFormat="1" applyFont="1" applyFill="1" applyBorder="1" applyAlignment="1">
      <alignment horizontal="center" vertical="center"/>
    </xf>
    <xf numFmtId="0" fontId="53" fillId="19" borderId="11" xfId="0" applyFont="1" applyFill="1" applyBorder="1"/>
    <xf numFmtId="0" fontId="53" fillId="19" borderId="11" xfId="0" applyFont="1" applyFill="1" applyBorder="1" applyAlignment="1">
      <alignment wrapText="1"/>
    </xf>
    <xf numFmtId="0" fontId="57" fillId="19" borderId="11" xfId="0" applyFont="1" applyFill="1" applyBorder="1"/>
    <xf numFmtId="0" fontId="8" fillId="0" borderId="11" xfId="0" applyFont="1" applyBorder="1" applyAlignment="1">
      <alignment vertical="top"/>
    </xf>
    <xf numFmtId="0" fontId="8" fillId="0" borderId="11" xfId="0" applyFont="1" applyBorder="1" applyAlignment="1">
      <alignment horizontal="left" vertical="top"/>
    </xf>
    <xf numFmtId="0" fontId="8" fillId="0" borderId="11" xfId="0" applyFont="1" applyBorder="1" applyAlignment="1">
      <alignment vertical="top" wrapText="1"/>
    </xf>
    <xf numFmtId="0" fontId="6" fillId="0" borderId="13" xfId="0" applyFont="1" applyBorder="1" applyAlignment="1">
      <alignment wrapText="1"/>
    </xf>
    <xf numFmtId="0" fontId="6" fillId="0" borderId="7" xfId="0" applyFont="1" applyBorder="1" applyAlignment="1">
      <alignment wrapText="1"/>
    </xf>
    <xf numFmtId="0" fontId="53" fillId="0" borderId="12" xfId="0" applyFont="1" applyBorder="1"/>
  </cellXfs>
  <cellStyles count="16">
    <cellStyle name="Hipervínculo" xfId="15" builtinId="8"/>
    <cellStyle name="Hipervínculo 2" xfId="3" xr:uid="{00000000-0005-0000-0000-000001000000}"/>
    <cellStyle name="Hyperlink" xfId="1" xr:uid="{00000000-0005-0000-0000-000002000000}"/>
    <cellStyle name="Hyperlink 2" xfId="7" xr:uid="{00000000-0005-0000-0000-000003000000}"/>
    <cellStyle name="Millares [0]" xfId="14" builtinId="6"/>
    <cellStyle name="Millares [0] 2" xfId="9" xr:uid="{00000000-0005-0000-0000-000006000000}"/>
    <cellStyle name="Millares [0] 2 2" xfId="12" xr:uid="{00000000-0005-0000-0000-000007000000}"/>
    <cellStyle name="Millares 2" xfId="8" xr:uid="{00000000-0005-0000-0000-000008000000}"/>
    <cellStyle name="Normal" xfId="0" builtinId="0"/>
    <cellStyle name="Normal 2" xfId="2" xr:uid="{00000000-0005-0000-0000-00000A000000}"/>
    <cellStyle name="Normal 2 2" xfId="6" xr:uid="{00000000-0005-0000-0000-00000B000000}"/>
    <cellStyle name="Normal 3" xfId="4" xr:uid="{00000000-0005-0000-0000-00000C000000}"/>
    <cellStyle name="Normal 3 2" xfId="11" xr:uid="{00000000-0005-0000-0000-00000D000000}"/>
    <cellStyle name="Normal 4" xfId="5" xr:uid="{00000000-0005-0000-0000-00000E000000}"/>
    <cellStyle name="Normal 5" xfId="13" xr:uid="{00000000-0005-0000-0000-00000F000000}"/>
    <cellStyle name="Porcentaje 2" xfId="10"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hyperlink" Target="#'H.CRAI+11_Plan_formaci&#243;n'!A1"/><Relationship Id="rId3" Type="http://schemas.openxmlformats.org/officeDocument/2006/relationships/hyperlink" Target="#'D. Biblioteca_digital_BDIGITAL'!A1"/><Relationship Id="rId7" Type="http://schemas.openxmlformats.org/officeDocument/2006/relationships/hyperlink" Target="#'F.CRAI+2_Alianza Interbiblio'!A1"/><Relationship Id="rId2" Type="http://schemas.openxmlformats.org/officeDocument/2006/relationships/hyperlink" Target="#'A. Uso_Servicios CRAI+desglose'!A1"/><Relationship Id="rId1" Type="http://schemas.openxmlformats.org/officeDocument/2006/relationships/image" Target="../media/image1.png"/><Relationship Id="rId6" Type="http://schemas.openxmlformats.org/officeDocument/2006/relationships/hyperlink" Target="#'G. Usos_Tipo_Usuario'!A1"/><Relationship Id="rId11" Type="http://schemas.openxmlformats.org/officeDocument/2006/relationships/hyperlink" Target="#'G. Gesti&#243;n Cultural'!A1"/><Relationship Id="rId5" Type="http://schemas.openxmlformats.org/officeDocument/2006/relationships/hyperlink" Target="#'E. Colecci&#243;n_digital_RIUD'!A1"/><Relationship Id="rId10" Type="http://schemas.openxmlformats.org/officeDocument/2006/relationships/hyperlink" Target="#'I. Infraestructura Biblioteca'!A1"/><Relationship Id="rId4" Type="http://schemas.openxmlformats.org/officeDocument/2006/relationships/hyperlink" Target="#'B. Colecciones_bibliogr&#225;ficas'!A1"/><Relationship Id="rId9" Type="http://schemas.openxmlformats.org/officeDocument/2006/relationships/hyperlink" Target="#'C Colecci&#243;n_impresa_ubicaci&#243;n'!A1"/></Relationships>
</file>

<file path=xl/drawings/_rels/drawing2.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Contenido!A1"/></Relationships>
</file>

<file path=xl/drawings/_rels/drawing7.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Contenido!A1"/><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Contenido!A1"/></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0</xdr:row>
      <xdr:rowOff>180975</xdr:rowOff>
    </xdr:from>
    <xdr:to>
      <xdr:col>2</xdr:col>
      <xdr:colOff>2209800</xdr:colOff>
      <xdr:row>3</xdr:row>
      <xdr:rowOff>152061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0075" y="180975"/>
          <a:ext cx="2028825" cy="514011"/>
        </a:xfrm>
        <a:prstGeom prst="rect">
          <a:avLst/>
        </a:prstGeom>
      </xdr:spPr>
    </xdr:pic>
    <xdr:clientData/>
  </xdr:twoCellAnchor>
  <xdr:twoCellAnchor>
    <xdr:from>
      <xdr:col>3</xdr:col>
      <xdr:colOff>1556848</xdr:colOff>
      <xdr:row>7</xdr:row>
      <xdr:rowOff>104020</xdr:rowOff>
    </xdr:from>
    <xdr:to>
      <xdr:col>5</xdr:col>
      <xdr:colOff>563654</xdr:colOff>
      <xdr:row>14</xdr:row>
      <xdr:rowOff>76760</xdr:rowOff>
    </xdr:to>
    <xdr:sp macro="" textlink="">
      <xdr:nvSpPr>
        <xdr:cNvPr id="4" name="Flecha a la derecha con bandas 3">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4271473" y="1389895"/>
          <a:ext cx="3235906" cy="1106215"/>
        </a:xfrm>
        <a:prstGeom prst="stripedRightArrow">
          <a:avLst/>
        </a:prstGeom>
        <a:solidFill>
          <a:schemeClr val="bg1">
            <a:lumMod val="9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A</a:t>
          </a:r>
          <a:r>
            <a:rPr lang="en-US" sz="900" b="0">
              <a:solidFill>
                <a:sysClr val="windowText" lastClr="000000"/>
              </a:solidFill>
              <a:latin typeface="Arial Narrow" panose="020B0606020202030204" pitchFamily="34" charset="0"/>
            </a:rPr>
            <a:t>.</a:t>
          </a:r>
          <a:r>
            <a:rPr lang="en-US" sz="900" b="0" baseline="0">
              <a:solidFill>
                <a:sysClr val="windowText" lastClr="000000"/>
              </a:solidFill>
              <a:latin typeface="Arial Narrow" panose="020B0606020202030204" pitchFamily="34" charset="0"/>
            </a:rPr>
            <a:t> </a:t>
          </a:r>
          <a:r>
            <a:rPr lang="en-US" sz="900" b="1" baseline="0">
              <a:solidFill>
                <a:sysClr val="windowText" lastClr="000000"/>
              </a:solidFill>
              <a:latin typeface="Arial Narrow" panose="020B0606020202030204" pitchFamily="34" charset="0"/>
            </a:rPr>
            <a:t>USOS DE LOS SERVICIOS CRAI+</a:t>
          </a:r>
          <a:r>
            <a:rPr lang="en-US" sz="900" b="0" baseline="0">
              <a:solidFill>
                <a:sysClr val="windowText" lastClr="000000"/>
              </a:solidFill>
              <a:latin typeface="Arial Narrow" panose="020B0606020202030204" pitchFamily="34" charset="0"/>
            </a:rPr>
            <a:t> DESGLOSADOS </a:t>
          </a:r>
          <a:endParaRPr lang="en-US" sz="900" b="0">
            <a:solidFill>
              <a:sysClr val="windowText" lastClr="000000"/>
            </a:solidFill>
            <a:latin typeface="Arial Narrow" panose="020B0606020202030204" pitchFamily="34" charset="0"/>
          </a:endParaRPr>
        </a:p>
      </xdr:txBody>
    </xdr:sp>
    <xdr:clientData/>
  </xdr:twoCellAnchor>
  <xdr:twoCellAnchor>
    <xdr:from>
      <xdr:col>4</xdr:col>
      <xdr:colOff>333374</xdr:colOff>
      <xdr:row>13</xdr:row>
      <xdr:rowOff>103654</xdr:rowOff>
    </xdr:from>
    <xdr:to>
      <xdr:col>7</xdr:col>
      <xdr:colOff>571500</xdr:colOff>
      <xdr:row>22</xdr:row>
      <xdr:rowOff>0</xdr:rowOff>
    </xdr:to>
    <xdr:sp macro="" textlink="">
      <xdr:nvSpPr>
        <xdr:cNvPr id="5" name="Flecha a la derecha con bandas 4">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6029324" y="2361079"/>
          <a:ext cx="3009901" cy="1353671"/>
        </a:xfrm>
        <a:prstGeom prst="stripedRightArrow">
          <a:avLst/>
        </a:prstGeom>
        <a:solidFill>
          <a:schemeClr val="accent3">
            <a:lumMod val="40000"/>
            <a:lumOff val="6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200" b="1">
              <a:solidFill>
                <a:sysClr val="windowText" lastClr="000000"/>
              </a:solidFill>
              <a:latin typeface="Arial Narrow" panose="020B0606020202030204" pitchFamily="34" charset="0"/>
            </a:rPr>
            <a:t>D</a:t>
          </a:r>
          <a:r>
            <a:rPr lang="en-US" sz="800" b="1">
              <a:solidFill>
                <a:sysClr val="windowText" lastClr="000000"/>
              </a:solidFill>
              <a:latin typeface="Arial Narrow" panose="020B0606020202030204" pitchFamily="34" charset="0"/>
            </a:rPr>
            <a:t>. SERVICIOS CRAI+2: COLECCIÓN</a:t>
          </a:r>
          <a:r>
            <a:rPr lang="en-US" sz="800" b="1" baseline="0">
              <a:solidFill>
                <a:sysClr val="windowText" lastClr="000000"/>
              </a:solidFill>
              <a:latin typeface="Arial Narrow" panose="020B0606020202030204" pitchFamily="34" charset="0"/>
            </a:rPr>
            <a:t> DIGITAL -BDIGITAL</a:t>
          </a:r>
          <a:r>
            <a:rPr lang="en-US" sz="800" b="1">
              <a:solidFill>
                <a:sysClr val="windowText" lastClr="000000"/>
              </a:solidFill>
              <a:latin typeface="Arial Narrow" panose="020B0606020202030204" pitchFamily="34" charset="0"/>
            </a:rPr>
            <a:t> </a:t>
          </a:r>
          <a:r>
            <a:rPr lang="en-US" sz="800" b="1">
              <a:solidFill>
                <a:schemeClr val="lt1"/>
              </a:solidFill>
              <a:effectLst/>
              <a:latin typeface="Arial Narrow" panose="020B0606020202030204" pitchFamily="34" charset="0"/>
              <a:ea typeface="+mn-ea"/>
              <a:cs typeface="+mn-cs"/>
            </a:rPr>
            <a:t> </a:t>
          </a:r>
          <a:r>
            <a:rPr lang="en-US" sz="800" b="0">
              <a:solidFill>
                <a:sysClr val="windowText" lastClr="000000"/>
              </a:solidFill>
              <a:effectLst/>
              <a:latin typeface="Arial Narrow" panose="020B0606020202030204" pitchFamily="34" charset="0"/>
              <a:ea typeface="+mn-ea"/>
              <a:cs typeface="+mn-cs"/>
            </a:rPr>
            <a:t>CONSULTA ACCESO A RECURSOS ELECTRONICOS - BASES DE DATOS X FACULTAD  X PROYECTO CURRICULAR </a:t>
          </a:r>
          <a:endParaRPr lang="en-US" sz="800" b="0">
            <a:solidFill>
              <a:sysClr val="windowText" lastClr="000000"/>
            </a:solidFill>
            <a:latin typeface="Arial Narrow" panose="020B0606020202030204" pitchFamily="34" charset="0"/>
          </a:endParaRPr>
        </a:p>
      </xdr:txBody>
    </xdr:sp>
    <xdr:clientData/>
  </xdr:twoCellAnchor>
  <xdr:twoCellAnchor>
    <xdr:from>
      <xdr:col>2</xdr:col>
      <xdr:colOff>1474</xdr:colOff>
      <xdr:row>14</xdr:row>
      <xdr:rowOff>42006</xdr:rowOff>
    </xdr:from>
    <xdr:to>
      <xdr:col>3</xdr:col>
      <xdr:colOff>95250</xdr:colOff>
      <xdr:row>20</xdr:row>
      <xdr:rowOff>133350</xdr:rowOff>
    </xdr:to>
    <xdr:sp macro="" textlink="">
      <xdr:nvSpPr>
        <xdr:cNvPr id="6" name="Flecha a la derecha con bandas 5">
          <a:hlinkClick xmlns:r="http://schemas.openxmlformats.org/officeDocument/2006/relationships" r:id="rId4"/>
          <a:extLst>
            <a:ext uri="{FF2B5EF4-FFF2-40B4-BE49-F238E27FC236}">
              <a16:creationId xmlns:a16="http://schemas.microsoft.com/office/drawing/2014/main" id="{00000000-0008-0000-0000-000006000000}"/>
            </a:ext>
          </a:extLst>
        </xdr:cNvPr>
        <xdr:cNvSpPr/>
      </xdr:nvSpPr>
      <xdr:spPr>
        <a:xfrm>
          <a:off x="420574" y="2461356"/>
          <a:ext cx="2389301" cy="1062894"/>
        </a:xfrm>
        <a:prstGeom prst="stripedRightArrow">
          <a:avLst/>
        </a:prstGeom>
        <a:solidFill>
          <a:schemeClr val="accent3">
            <a:lumMod val="40000"/>
            <a:lumOff val="6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r>
            <a:rPr lang="en-US" sz="1400" b="1">
              <a:solidFill>
                <a:sysClr val="windowText" lastClr="000000"/>
              </a:solidFill>
              <a:latin typeface="Arial Narrow" panose="020B0606020202030204" pitchFamily="34" charset="0"/>
            </a:rPr>
            <a:t>B.</a:t>
          </a:r>
          <a:r>
            <a:rPr lang="en-US" sz="1400" b="1" baseline="0">
              <a:solidFill>
                <a:sysClr val="windowText" lastClr="000000"/>
              </a:solidFill>
              <a:latin typeface="Arial Narrow" panose="020B0606020202030204" pitchFamily="34" charset="0"/>
            </a:rPr>
            <a:t>  </a:t>
          </a:r>
          <a:r>
            <a:rPr lang="en-US" sz="900" b="1" baseline="0">
              <a:solidFill>
                <a:sysClr val="windowText" lastClr="000000"/>
              </a:solidFill>
              <a:latin typeface="Arial Narrow" panose="020B0606020202030204" pitchFamily="34" charset="0"/>
            </a:rPr>
            <a:t>SERVICIO CRAI+10: COLECCIONES BIBLIOGRÁFICAS GENERAL</a:t>
          </a:r>
          <a:endParaRPr lang="en-US" sz="900" b="0">
            <a:solidFill>
              <a:sysClr val="windowText" lastClr="000000"/>
            </a:solidFill>
            <a:latin typeface="Arial Narrow" panose="020B0606020202030204" pitchFamily="34" charset="0"/>
          </a:endParaRPr>
        </a:p>
      </xdr:txBody>
    </xdr:sp>
    <xdr:clientData/>
  </xdr:twoCellAnchor>
  <xdr:twoCellAnchor>
    <xdr:from>
      <xdr:col>8</xdr:col>
      <xdr:colOff>9524</xdr:colOff>
      <xdr:row>12</xdr:row>
      <xdr:rowOff>96930</xdr:rowOff>
    </xdr:from>
    <xdr:to>
      <xdr:col>11</xdr:col>
      <xdr:colOff>400050</xdr:colOff>
      <xdr:row>22</xdr:row>
      <xdr:rowOff>19050</xdr:rowOff>
    </xdr:to>
    <xdr:sp macro="" textlink="">
      <xdr:nvSpPr>
        <xdr:cNvPr id="7" name="Flecha a la derecha con bandas 6">
          <a:hlinkClick xmlns:r="http://schemas.openxmlformats.org/officeDocument/2006/relationships" r:id="rId5"/>
          <a:extLst>
            <a:ext uri="{FF2B5EF4-FFF2-40B4-BE49-F238E27FC236}">
              <a16:creationId xmlns:a16="http://schemas.microsoft.com/office/drawing/2014/main" id="{00000000-0008-0000-0000-000007000000}"/>
            </a:ext>
          </a:extLst>
        </xdr:cNvPr>
        <xdr:cNvSpPr/>
      </xdr:nvSpPr>
      <xdr:spPr>
        <a:xfrm>
          <a:off x="9239249" y="2192430"/>
          <a:ext cx="2676526" cy="1541370"/>
        </a:xfrm>
        <a:prstGeom prst="stripedRightArrow">
          <a:avLst/>
        </a:prstGeom>
        <a:solidFill>
          <a:schemeClr val="accent3">
            <a:lumMod val="40000"/>
            <a:lumOff val="60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800" b="1">
              <a:solidFill>
                <a:sysClr val="windowText" lastClr="000000"/>
              </a:solidFill>
              <a:latin typeface="Arial Narrow" panose="020B0606020202030204" pitchFamily="34" charset="0"/>
            </a:rPr>
            <a:t>E. SERVICIOS CRAI+6: COLECCIÓN DIGITAL INSTITUCIONAL </a:t>
          </a:r>
          <a:r>
            <a:rPr lang="en-US" sz="800" b="0">
              <a:solidFill>
                <a:sysClr val="windowText" lastClr="000000"/>
              </a:solidFill>
              <a:latin typeface="Arial Narrow" panose="020B0606020202030204" pitchFamily="34" charset="0"/>
            </a:rPr>
            <a:t>REPOSITORIO INSTITUCIONAL RIUD (Accesos) X FACULTAD</a:t>
          </a:r>
          <a:r>
            <a:rPr lang="en-US" sz="800" b="0" baseline="0">
              <a:solidFill>
                <a:sysClr val="windowText" lastClr="000000"/>
              </a:solidFill>
              <a:latin typeface="Arial Narrow" panose="020B0606020202030204" pitchFamily="34" charset="0"/>
            </a:rPr>
            <a:t> X PROYECTO CURRICULAR </a:t>
          </a:r>
          <a:endParaRPr lang="en-US" sz="800" b="0">
            <a:solidFill>
              <a:sysClr val="windowText" lastClr="000000"/>
            </a:solidFill>
            <a:latin typeface="Arial Narrow" panose="020B0606020202030204" pitchFamily="34" charset="0"/>
          </a:endParaRPr>
        </a:p>
      </xdr:txBody>
    </xdr:sp>
    <xdr:clientData/>
  </xdr:twoCellAnchor>
  <xdr:twoCellAnchor>
    <xdr:from>
      <xdr:col>2</xdr:col>
      <xdr:colOff>563805</xdr:colOff>
      <xdr:row>28</xdr:row>
      <xdr:rowOff>125889</xdr:rowOff>
    </xdr:from>
    <xdr:to>
      <xdr:col>3</xdr:col>
      <xdr:colOff>1542055</xdr:colOff>
      <xdr:row>35</xdr:row>
      <xdr:rowOff>132906</xdr:rowOff>
    </xdr:to>
    <xdr:sp macro="" textlink="">
      <xdr:nvSpPr>
        <xdr:cNvPr id="8" name="Flecha a la derecha con bandas 7">
          <a:hlinkClick xmlns:r="http://schemas.openxmlformats.org/officeDocument/2006/relationships" r:id="rId6"/>
          <a:extLst>
            <a:ext uri="{FF2B5EF4-FFF2-40B4-BE49-F238E27FC236}">
              <a16:creationId xmlns:a16="http://schemas.microsoft.com/office/drawing/2014/main" id="{00000000-0008-0000-0000-000008000000}"/>
            </a:ext>
          </a:extLst>
        </xdr:cNvPr>
        <xdr:cNvSpPr/>
      </xdr:nvSpPr>
      <xdr:spPr>
        <a:xfrm>
          <a:off x="997968" y="5229517"/>
          <a:ext cx="3343994" cy="1371529"/>
        </a:xfrm>
        <a:prstGeom prst="stripedRightArrow">
          <a:avLst/>
        </a:prstGeom>
        <a:solidFill>
          <a:schemeClr val="accent2">
            <a:lumMod val="20000"/>
            <a:lumOff val="80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G</a:t>
          </a:r>
          <a:r>
            <a:rPr lang="en-US" sz="900" b="1">
              <a:solidFill>
                <a:sysClr val="windowText" lastClr="000000"/>
              </a:solidFill>
              <a:latin typeface="Arial Narrow" panose="020B0606020202030204" pitchFamily="34" charset="0"/>
            </a:rPr>
            <a:t>.SERVICIOS CRAI+ USOS </a:t>
          </a:r>
          <a:r>
            <a:rPr lang="en-US" sz="900" b="0">
              <a:solidFill>
                <a:sysClr val="windowText" lastClr="000000"/>
              </a:solidFill>
              <a:latin typeface="Arial Narrow" panose="020B0606020202030204" pitchFamily="34" charset="0"/>
            </a:rPr>
            <a:t>X TIPO DE USUARIO  X FACULTAD X PROYECTO CURRICULAR</a:t>
          </a:r>
        </a:p>
      </xdr:txBody>
    </xdr:sp>
    <xdr:clientData/>
  </xdr:twoCellAnchor>
  <xdr:twoCellAnchor>
    <xdr:from>
      <xdr:col>3</xdr:col>
      <xdr:colOff>810995</xdr:colOff>
      <xdr:row>22</xdr:row>
      <xdr:rowOff>60428</xdr:rowOff>
    </xdr:from>
    <xdr:to>
      <xdr:col>4</xdr:col>
      <xdr:colOff>869016</xdr:colOff>
      <xdr:row>29</xdr:row>
      <xdr:rowOff>0</xdr:rowOff>
    </xdr:to>
    <xdr:sp macro="" textlink="">
      <xdr:nvSpPr>
        <xdr:cNvPr id="9" name="Flecha a la derecha con bandas 8">
          <a:hlinkClick xmlns:r="http://schemas.openxmlformats.org/officeDocument/2006/relationships" r:id="rId7"/>
          <a:extLst>
            <a:ext uri="{FF2B5EF4-FFF2-40B4-BE49-F238E27FC236}">
              <a16:creationId xmlns:a16="http://schemas.microsoft.com/office/drawing/2014/main" id="{00000000-0008-0000-0000-000009000000}"/>
            </a:ext>
          </a:extLst>
        </xdr:cNvPr>
        <xdr:cNvSpPr/>
      </xdr:nvSpPr>
      <xdr:spPr>
        <a:xfrm>
          <a:off x="3525620" y="3775178"/>
          <a:ext cx="3039346" cy="1187347"/>
        </a:xfrm>
        <a:prstGeom prst="stripedRightArrow">
          <a:avLst/>
        </a:prstGeom>
        <a:solidFill>
          <a:schemeClr val="accent5">
            <a:lumMod val="20000"/>
            <a:lumOff val="80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F. </a:t>
          </a:r>
          <a:r>
            <a:rPr lang="en-US" sz="900" b="1">
              <a:solidFill>
                <a:sysClr val="windowText" lastClr="000000"/>
              </a:solidFill>
              <a:latin typeface="Arial Narrow" panose="020B0606020202030204" pitchFamily="34" charset="0"/>
            </a:rPr>
            <a:t>SERVICIOS CRAI+2: ALIANZAS</a:t>
          </a:r>
          <a:r>
            <a:rPr lang="en-US" sz="900" b="1" baseline="0">
              <a:solidFill>
                <a:sysClr val="windowText" lastClr="000000"/>
              </a:solidFill>
              <a:latin typeface="Arial Narrow" panose="020B0606020202030204" pitchFamily="34" charset="0"/>
            </a:rPr>
            <a:t> INTERBIBLIOTECARIAS</a:t>
          </a:r>
          <a:endParaRPr lang="en-US" sz="900" b="1">
            <a:solidFill>
              <a:sysClr val="windowText" lastClr="000000"/>
            </a:solidFill>
            <a:latin typeface="Arial Narrow" panose="020B0606020202030204" pitchFamily="34" charset="0"/>
          </a:endParaRPr>
        </a:p>
      </xdr:txBody>
    </xdr:sp>
    <xdr:clientData/>
  </xdr:twoCellAnchor>
  <xdr:twoCellAnchor>
    <xdr:from>
      <xdr:col>5</xdr:col>
      <xdr:colOff>95250</xdr:colOff>
      <xdr:row>21</xdr:row>
      <xdr:rowOff>152400</xdr:rowOff>
    </xdr:from>
    <xdr:to>
      <xdr:col>10</xdr:col>
      <xdr:colOff>7844</xdr:colOff>
      <xdr:row>29</xdr:row>
      <xdr:rowOff>4483</xdr:rowOff>
    </xdr:to>
    <xdr:sp macro="" textlink="">
      <xdr:nvSpPr>
        <xdr:cNvPr id="10" name="Flecha a la derecha con bandas 9">
          <a:hlinkClick xmlns:r="http://schemas.openxmlformats.org/officeDocument/2006/relationships" r:id="rId8"/>
          <a:extLst>
            <a:ext uri="{FF2B5EF4-FFF2-40B4-BE49-F238E27FC236}">
              <a16:creationId xmlns:a16="http://schemas.microsoft.com/office/drawing/2014/main" id="{00000000-0008-0000-0000-00000A000000}"/>
            </a:ext>
          </a:extLst>
        </xdr:cNvPr>
        <xdr:cNvSpPr/>
      </xdr:nvSpPr>
      <xdr:spPr>
        <a:xfrm>
          <a:off x="7038975" y="3705225"/>
          <a:ext cx="3722594" cy="1261783"/>
        </a:xfrm>
        <a:prstGeom prst="stripedRightArrow">
          <a:avLst/>
        </a:prstGeom>
        <a:solidFill>
          <a:schemeClr val="accent5">
            <a:lumMod val="20000"/>
            <a:lumOff val="8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H</a:t>
          </a:r>
          <a:r>
            <a:rPr lang="en-US" sz="900" b="1">
              <a:solidFill>
                <a:sysClr val="windowText" lastClr="000000"/>
              </a:solidFill>
              <a:latin typeface="Arial Narrow" panose="020B0606020202030204" pitchFamily="34" charset="0"/>
            </a:rPr>
            <a:t>.</a:t>
          </a:r>
          <a:r>
            <a:rPr lang="en-US" sz="900" b="1" baseline="0">
              <a:solidFill>
                <a:sysClr val="windowText" lastClr="000000"/>
              </a:solidFill>
              <a:latin typeface="Arial Narrow" panose="020B0606020202030204" pitchFamily="34" charset="0"/>
            </a:rPr>
            <a:t> </a:t>
          </a:r>
          <a:r>
            <a:rPr lang="en-US" sz="900" b="1">
              <a:solidFill>
                <a:sysClr val="windowText" lastClr="000000"/>
              </a:solidFill>
              <a:latin typeface="Arial Narrow" panose="020B0606020202030204" pitchFamily="34" charset="0"/>
            </a:rPr>
            <a:t>SERVICIOS CRAI+11 DESARROLLO DE COMPETENCIAS </a:t>
          </a:r>
          <a:r>
            <a:rPr lang="en-US" sz="900" b="0">
              <a:solidFill>
                <a:sysClr val="windowText" lastClr="000000"/>
              </a:solidFill>
              <a:latin typeface="Arial Narrow" panose="020B0606020202030204" pitchFamily="34" charset="0"/>
            </a:rPr>
            <a:t>ACADÉMICAS USUARIOS</a:t>
          </a:r>
          <a:r>
            <a:rPr lang="en-US" sz="900" b="0" baseline="0">
              <a:solidFill>
                <a:sysClr val="windowText" lastClr="000000"/>
              </a:solidFill>
              <a:latin typeface="Arial Narrow" panose="020B0606020202030204" pitchFamily="34" charset="0"/>
            </a:rPr>
            <a:t> CAPACITADOS EN </a:t>
          </a:r>
          <a:r>
            <a:rPr lang="en-US" sz="900" b="0">
              <a:solidFill>
                <a:sysClr val="windowText" lastClr="000000"/>
              </a:solidFill>
              <a:latin typeface="Arial Narrow" panose="020B0606020202030204" pitchFamily="34" charset="0"/>
            </a:rPr>
            <a:t> PLAN DE FORMACIÓN  BIBLIOTECA</a:t>
          </a:r>
          <a:r>
            <a:rPr lang="en-US" sz="900" b="0" baseline="0">
              <a:solidFill>
                <a:sysClr val="windowText" lastClr="000000"/>
              </a:solidFill>
              <a:latin typeface="Arial Narrow" panose="020B0606020202030204" pitchFamily="34" charset="0"/>
            </a:rPr>
            <a:t> X FACULTAD X PROYECTO CURRICULAR</a:t>
          </a:r>
          <a:endParaRPr lang="en-US" sz="900" b="0">
            <a:solidFill>
              <a:sysClr val="windowText" lastClr="000000"/>
            </a:solidFill>
            <a:latin typeface="Arial Narrow" panose="020B0606020202030204" pitchFamily="34" charset="0"/>
          </a:endParaRPr>
        </a:p>
      </xdr:txBody>
    </xdr:sp>
    <xdr:clientData/>
  </xdr:twoCellAnchor>
  <xdr:twoCellAnchor>
    <xdr:from>
      <xdr:col>3</xdr:col>
      <xdr:colOff>468404</xdr:colOff>
      <xdr:row>14</xdr:row>
      <xdr:rowOff>11205</xdr:rowOff>
    </xdr:from>
    <xdr:to>
      <xdr:col>3</xdr:col>
      <xdr:colOff>2971800</xdr:colOff>
      <xdr:row>20</xdr:row>
      <xdr:rowOff>152400</xdr:rowOff>
    </xdr:to>
    <xdr:sp macro="" textlink="">
      <xdr:nvSpPr>
        <xdr:cNvPr id="11" name="Flecha a la derecha con bandas 10">
          <a:hlinkClick xmlns:r="http://schemas.openxmlformats.org/officeDocument/2006/relationships" r:id="rId9"/>
          <a:extLst>
            <a:ext uri="{FF2B5EF4-FFF2-40B4-BE49-F238E27FC236}">
              <a16:creationId xmlns:a16="http://schemas.microsoft.com/office/drawing/2014/main" id="{00000000-0008-0000-0000-00000B000000}"/>
            </a:ext>
          </a:extLst>
        </xdr:cNvPr>
        <xdr:cNvSpPr/>
      </xdr:nvSpPr>
      <xdr:spPr>
        <a:xfrm>
          <a:off x="3183029" y="2430555"/>
          <a:ext cx="2503396" cy="1112745"/>
        </a:xfrm>
        <a:prstGeom prst="stripedRightArrow">
          <a:avLst/>
        </a:prstGeom>
        <a:solidFill>
          <a:schemeClr val="accent3">
            <a:lumMod val="40000"/>
            <a:lumOff val="6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r>
            <a:rPr lang="en-US" sz="1400" b="1">
              <a:solidFill>
                <a:sysClr val="windowText" lastClr="000000"/>
              </a:solidFill>
              <a:effectLst/>
              <a:latin typeface="Arial Narrow" panose="020B0606020202030204" pitchFamily="34" charset="0"/>
              <a:ea typeface="+mn-ea"/>
              <a:cs typeface="+mn-cs"/>
            </a:rPr>
            <a:t>C. </a:t>
          </a:r>
          <a:r>
            <a:rPr lang="en-US" sz="900" b="1">
              <a:solidFill>
                <a:sysClr val="windowText" lastClr="000000"/>
              </a:solidFill>
              <a:effectLst/>
              <a:latin typeface="Arial Narrow" panose="020B0606020202030204" pitchFamily="34" charset="0"/>
              <a:ea typeface="+mn-ea"/>
              <a:cs typeface="+mn-cs"/>
            </a:rPr>
            <a:t>SERVICIOS CRAI+10: COLECCIONES BIBLIOGRÁFICOS IMPRESOS</a:t>
          </a:r>
          <a:r>
            <a:rPr lang="en-US" sz="900" b="0" baseline="0">
              <a:solidFill>
                <a:sysClr val="windowText" lastClr="000000"/>
              </a:solidFill>
              <a:effectLst/>
              <a:latin typeface="Arial Narrow" panose="020B0606020202030204" pitchFamily="34" charset="0"/>
              <a:ea typeface="+mn-ea"/>
              <a:cs typeface="+mn-cs"/>
            </a:rPr>
            <a:t> X SEDE X FACULTAD</a:t>
          </a:r>
          <a:endParaRPr lang="en-US" sz="900" b="0">
            <a:solidFill>
              <a:sysClr val="windowText" lastClr="000000"/>
            </a:solidFill>
            <a:effectLst/>
            <a:latin typeface="Arial Narrow" panose="020B0606020202030204" pitchFamily="34" charset="0"/>
          </a:endParaRPr>
        </a:p>
      </xdr:txBody>
    </xdr:sp>
    <xdr:clientData/>
  </xdr:twoCellAnchor>
  <xdr:twoCellAnchor>
    <xdr:from>
      <xdr:col>3</xdr:col>
      <xdr:colOff>2205410</xdr:colOff>
      <xdr:row>28</xdr:row>
      <xdr:rowOff>187913</xdr:rowOff>
    </xdr:from>
    <xdr:to>
      <xdr:col>6</xdr:col>
      <xdr:colOff>396909</xdr:colOff>
      <xdr:row>36</xdr:row>
      <xdr:rowOff>0</xdr:rowOff>
    </xdr:to>
    <xdr:sp macro="" textlink="">
      <xdr:nvSpPr>
        <xdr:cNvPr id="12" name="Flecha a la derecha con bandas 11">
          <a:hlinkClick xmlns:r="http://schemas.openxmlformats.org/officeDocument/2006/relationships" r:id="rId10"/>
          <a:extLst>
            <a:ext uri="{FF2B5EF4-FFF2-40B4-BE49-F238E27FC236}">
              <a16:creationId xmlns:a16="http://schemas.microsoft.com/office/drawing/2014/main" id="{00000000-0008-0000-0000-00000C000000}"/>
            </a:ext>
          </a:extLst>
        </xdr:cNvPr>
        <xdr:cNvSpPr/>
      </xdr:nvSpPr>
      <xdr:spPr>
        <a:xfrm>
          <a:off x="5005317" y="5291541"/>
          <a:ext cx="3321708" cy="1371529"/>
        </a:xfrm>
        <a:prstGeom prst="stripedRightArrow">
          <a:avLst/>
        </a:prstGeom>
        <a:solidFill>
          <a:schemeClr val="accent2">
            <a:lumMod val="20000"/>
            <a:lumOff val="80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1400" b="1">
              <a:solidFill>
                <a:sysClr val="windowText" lastClr="000000"/>
              </a:solidFill>
              <a:latin typeface="Arial Narrow" panose="020B0606020202030204" pitchFamily="34" charset="0"/>
            </a:rPr>
            <a:t>i</a:t>
          </a:r>
          <a:r>
            <a:rPr lang="en-US" sz="900" b="1">
              <a:solidFill>
                <a:sysClr val="windowText" lastClr="000000"/>
              </a:solidFill>
              <a:latin typeface="Arial Narrow" panose="020B0606020202030204" pitchFamily="34" charset="0"/>
            </a:rPr>
            <a:t>.INFRAESTRUCTURA</a:t>
          </a:r>
          <a:r>
            <a:rPr lang="en-US" sz="900" b="1" baseline="0">
              <a:solidFill>
                <a:sysClr val="windowText" lastClr="000000"/>
              </a:solidFill>
              <a:latin typeface="Arial Narrow" panose="020B0606020202030204" pitchFamily="34" charset="0"/>
            </a:rPr>
            <a:t> FÍSICA POR BIBLIOTECA</a:t>
          </a:r>
          <a:endParaRPr lang="en-US" sz="900" b="0">
            <a:solidFill>
              <a:sysClr val="windowText" lastClr="000000"/>
            </a:solidFill>
            <a:latin typeface="Arial Narrow" panose="020B0606020202030204" pitchFamily="34" charset="0"/>
          </a:endParaRPr>
        </a:p>
      </xdr:txBody>
    </xdr:sp>
    <xdr:clientData/>
  </xdr:twoCellAnchor>
  <xdr:twoCellAnchor>
    <xdr:from>
      <xdr:col>6</xdr:col>
      <xdr:colOff>550275</xdr:colOff>
      <xdr:row>28</xdr:row>
      <xdr:rowOff>187913</xdr:rowOff>
    </xdr:from>
    <xdr:to>
      <xdr:col>10</xdr:col>
      <xdr:colOff>717657</xdr:colOff>
      <xdr:row>35</xdr:row>
      <xdr:rowOff>44302</xdr:rowOff>
    </xdr:to>
    <xdr:sp macro="" textlink="">
      <xdr:nvSpPr>
        <xdr:cNvPr id="3" name="Flecha a la derecha con bandas 11">
          <a:hlinkClick xmlns:r="http://schemas.openxmlformats.org/officeDocument/2006/relationships" r:id="rId11"/>
          <a:extLst>
            <a:ext uri="{FF2B5EF4-FFF2-40B4-BE49-F238E27FC236}">
              <a16:creationId xmlns:a16="http://schemas.microsoft.com/office/drawing/2014/main" id="{93645873-056D-4567-A9D3-CA6B631A3386}"/>
            </a:ext>
          </a:extLst>
        </xdr:cNvPr>
        <xdr:cNvSpPr/>
      </xdr:nvSpPr>
      <xdr:spPr>
        <a:xfrm>
          <a:off x="8480391" y="5291541"/>
          <a:ext cx="3321708" cy="1220901"/>
        </a:xfrm>
        <a:prstGeom prst="stripedRightArrow">
          <a:avLst/>
        </a:prstGeom>
        <a:solidFill>
          <a:schemeClr val="accent2">
            <a:lumMod val="20000"/>
            <a:lumOff val="80000"/>
          </a:schemeClr>
        </a:solidFill>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l"/>
          <a:r>
            <a:rPr lang="en-US" sz="900" b="1">
              <a:solidFill>
                <a:sysClr val="windowText" lastClr="000000"/>
              </a:solidFill>
              <a:latin typeface="Arial Narrow" panose="020B0606020202030204" pitchFamily="34" charset="0"/>
              <a:ea typeface="+mn-ea"/>
              <a:cs typeface="+mn-cs"/>
            </a:rPr>
            <a:t>G. GESTIÓN CULTURAL BIBLIOTECA</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2295525</xdr:colOff>
      <xdr:row>1</xdr:row>
      <xdr:rowOff>28575</xdr:rowOff>
    </xdr:from>
    <xdr:to>
      <xdr:col>2</xdr:col>
      <xdr:colOff>466724</xdr:colOff>
      <xdr:row>3</xdr:row>
      <xdr:rowOff>38100</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7525" y="190500"/>
          <a:ext cx="1952624" cy="409575"/>
        </a:xfrm>
        <a:prstGeom prst="rect">
          <a:avLst/>
        </a:prstGeom>
      </xdr:spPr>
    </xdr:pic>
    <xdr:clientData/>
  </xdr:twoCellAnchor>
  <xdr:twoCellAnchor>
    <xdr:from>
      <xdr:col>1</xdr:col>
      <xdr:colOff>95250</xdr:colOff>
      <xdr:row>0</xdr:row>
      <xdr:rowOff>114300</xdr:rowOff>
    </xdr:from>
    <xdr:to>
      <xdr:col>1</xdr:col>
      <xdr:colOff>1800225</xdr:colOff>
      <xdr:row>2</xdr:row>
      <xdr:rowOff>333375</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100-000003000000}"/>
            </a:ext>
          </a:extLst>
        </xdr:cNvPr>
        <xdr:cNvSpPr/>
      </xdr:nvSpPr>
      <xdr:spPr>
        <a:xfrm>
          <a:off x="857250" y="114300"/>
          <a:ext cx="1704975" cy="447675"/>
        </a:xfrm>
        <a:prstGeom prst="leftArrow">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38100</xdr:colOff>
      <xdr:row>0</xdr:row>
      <xdr:rowOff>133350</xdr:rowOff>
    </xdr:from>
    <xdr:to>
      <xdr:col>5</xdr:col>
      <xdr:colOff>695324</xdr:colOff>
      <xdr:row>3</xdr:row>
      <xdr:rowOff>57150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0" y="133350"/>
          <a:ext cx="1952624" cy="409575"/>
        </a:xfrm>
        <a:prstGeom prst="rect">
          <a:avLst/>
        </a:prstGeom>
      </xdr:spPr>
    </xdr:pic>
    <xdr:clientData/>
  </xdr:twoCellAnchor>
  <xdr:twoCellAnchor>
    <xdr:from>
      <xdr:col>2</xdr:col>
      <xdr:colOff>0</xdr:colOff>
      <xdr:row>0</xdr:row>
      <xdr:rowOff>76200</xdr:rowOff>
    </xdr:from>
    <xdr:to>
      <xdr:col>2</xdr:col>
      <xdr:colOff>1543050</xdr:colOff>
      <xdr:row>3</xdr:row>
      <xdr:rowOff>133350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733425" y="76200"/>
          <a:ext cx="1543050" cy="542925"/>
        </a:xfrm>
        <a:prstGeom prst="leftArrow">
          <a:avLst/>
        </a:prstGeom>
        <a:solidFill>
          <a:schemeClr val="accent3">
            <a:lumMod val="40000"/>
            <a:lumOff val="6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161925</xdr:colOff>
      <xdr:row>0</xdr:row>
      <xdr:rowOff>161925</xdr:rowOff>
    </xdr:from>
    <xdr:to>
      <xdr:col>1</xdr:col>
      <xdr:colOff>1704975</xdr:colOff>
      <xdr:row>3</xdr:row>
      <xdr:rowOff>142875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828675" y="161925"/>
          <a:ext cx="1543050" cy="542925"/>
        </a:xfrm>
        <a:prstGeom prst="leftArrow">
          <a:avLst/>
        </a:prstGeom>
        <a:solidFill>
          <a:schemeClr val="accent3">
            <a:lumMod val="40000"/>
            <a:lumOff val="6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twoCellAnchor editAs="oneCell">
    <xdr:from>
      <xdr:col>2</xdr:col>
      <xdr:colOff>19050</xdr:colOff>
      <xdr:row>1</xdr:row>
      <xdr:rowOff>47625</xdr:rowOff>
    </xdr:from>
    <xdr:to>
      <xdr:col>2</xdr:col>
      <xdr:colOff>2017394</xdr:colOff>
      <xdr:row>3</xdr:row>
      <xdr:rowOff>85725</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24125" y="238125"/>
          <a:ext cx="1952624" cy="4095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1543050</xdr:colOff>
      <xdr:row>3</xdr:row>
      <xdr:rowOff>161925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400-000002000000}"/>
            </a:ext>
          </a:extLst>
        </xdr:cNvPr>
        <xdr:cNvSpPr/>
      </xdr:nvSpPr>
      <xdr:spPr>
        <a:xfrm>
          <a:off x="762000" y="190500"/>
          <a:ext cx="1543050" cy="542925"/>
        </a:xfrm>
        <a:prstGeom prst="leftArrow">
          <a:avLst/>
        </a:prstGeom>
        <a:solidFill>
          <a:schemeClr val="accent3">
            <a:lumMod val="40000"/>
            <a:lumOff val="6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twoCellAnchor editAs="oneCell">
    <xdr:from>
      <xdr:col>2</xdr:col>
      <xdr:colOff>0</xdr:colOff>
      <xdr:row>1</xdr:row>
      <xdr:rowOff>66675</xdr:rowOff>
    </xdr:from>
    <xdr:to>
      <xdr:col>2</xdr:col>
      <xdr:colOff>1953038</xdr:colOff>
      <xdr:row>3</xdr:row>
      <xdr:rowOff>142875</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600325" y="257175"/>
          <a:ext cx="1952624" cy="409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752475</xdr:colOff>
      <xdr:row>0</xdr:row>
      <xdr:rowOff>133350</xdr:rowOff>
    </xdr:from>
    <xdr:to>
      <xdr:col>1</xdr:col>
      <xdr:colOff>1676400</xdr:colOff>
      <xdr:row>3</xdr:row>
      <xdr:rowOff>104775</xdr:rowOff>
    </xdr:to>
    <xdr:sp macro="" textlink="">
      <xdr:nvSpPr>
        <xdr:cNvPr id="2" name="Flecha izquierda 1">
          <a:hlinkClick xmlns:r="http://schemas.openxmlformats.org/officeDocument/2006/relationships" r:id="rId1"/>
          <a:extLst>
            <a:ext uri="{FF2B5EF4-FFF2-40B4-BE49-F238E27FC236}">
              <a16:creationId xmlns:a16="http://schemas.microsoft.com/office/drawing/2014/main" id="{00000000-0008-0000-0500-000002000000}"/>
            </a:ext>
          </a:extLst>
        </xdr:cNvPr>
        <xdr:cNvSpPr/>
      </xdr:nvSpPr>
      <xdr:spPr>
        <a:xfrm>
          <a:off x="752475" y="133350"/>
          <a:ext cx="1685925" cy="514350"/>
        </a:xfrm>
        <a:prstGeom prst="leftArrow">
          <a:avLst/>
        </a:prstGeom>
        <a:solidFill>
          <a:schemeClr val="accent3">
            <a:lumMod val="40000"/>
            <a:lumOff val="60000"/>
          </a:schemeClr>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1400" b="1">
              <a:solidFill>
                <a:sysClr val="windowText" lastClr="000000"/>
              </a:solidFill>
            </a:rPr>
            <a:t>INICIO</a:t>
          </a:r>
        </a:p>
      </xdr:txBody>
    </xdr:sp>
    <xdr:clientData/>
  </xdr:twoCellAnchor>
  <xdr:twoCellAnchor editAs="oneCell">
    <xdr:from>
      <xdr:col>1</xdr:col>
      <xdr:colOff>2019300</xdr:colOff>
      <xdr:row>1</xdr:row>
      <xdr:rowOff>19050</xdr:rowOff>
    </xdr:from>
    <xdr:to>
      <xdr:col>3</xdr:col>
      <xdr:colOff>180974</xdr:colOff>
      <xdr:row>3</xdr:row>
      <xdr:rowOff>47625</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781300" y="180975"/>
          <a:ext cx="1952624" cy="4095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2560320</xdr:colOff>
      <xdr:row>1</xdr:row>
      <xdr:rowOff>55245</xdr:rowOff>
    </xdr:from>
    <xdr:to>
      <xdr:col>3</xdr:col>
      <xdr:colOff>1051560</xdr:colOff>
      <xdr:row>3</xdr:row>
      <xdr:rowOff>140970</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46120" y="245745"/>
          <a:ext cx="2156460" cy="405765"/>
        </a:xfrm>
        <a:prstGeom prst="rect">
          <a:avLst/>
        </a:prstGeom>
      </xdr:spPr>
    </xdr:pic>
    <xdr:clientData/>
  </xdr:twoCellAnchor>
  <xdr:twoCellAnchor>
    <xdr:from>
      <xdr:col>1</xdr:col>
      <xdr:colOff>38101</xdr:colOff>
      <xdr:row>1</xdr:row>
      <xdr:rowOff>19050</xdr:rowOff>
    </xdr:from>
    <xdr:to>
      <xdr:col>1</xdr:col>
      <xdr:colOff>1836420</xdr:colOff>
      <xdr:row>4</xdr:row>
      <xdr:rowOff>19050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a:xfrm>
          <a:off x="723901" y="209550"/>
          <a:ext cx="1798319" cy="480060"/>
        </a:xfrm>
        <a:prstGeom prst="leftArrow">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9525</xdr:colOff>
      <xdr:row>1</xdr:row>
      <xdr:rowOff>57150</xdr:rowOff>
    </xdr:from>
    <xdr:to>
      <xdr:col>2</xdr:col>
      <xdr:colOff>1962149</xdr:colOff>
      <xdr:row>3</xdr:row>
      <xdr:rowOff>142875</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3525" y="219075"/>
          <a:ext cx="1952624" cy="409575"/>
        </a:xfrm>
        <a:prstGeom prst="rect">
          <a:avLst/>
        </a:prstGeom>
      </xdr:spPr>
    </xdr:pic>
    <xdr:clientData/>
  </xdr:twoCellAnchor>
  <xdr:twoCellAnchor>
    <xdr:from>
      <xdr:col>0</xdr:col>
      <xdr:colOff>114300</xdr:colOff>
      <xdr:row>1</xdr:row>
      <xdr:rowOff>0</xdr:rowOff>
    </xdr:from>
    <xdr:to>
      <xdr:col>1</xdr:col>
      <xdr:colOff>647700</xdr:colOff>
      <xdr:row>4</xdr:row>
      <xdr:rowOff>57150</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800-000003000000}"/>
            </a:ext>
          </a:extLst>
        </xdr:cNvPr>
        <xdr:cNvSpPr/>
      </xdr:nvSpPr>
      <xdr:spPr>
        <a:xfrm>
          <a:off x="114300" y="161925"/>
          <a:ext cx="1295400" cy="542925"/>
        </a:xfrm>
        <a:prstGeom prst="leftArrow">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ysClr val="windowText" lastClr="000000"/>
              </a:solidFill>
            </a:rPr>
            <a:t>INICIO</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38100</xdr:colOff>
      <xdr:row>0</xdr:row>
      <xdr:rowOff>152400</xdr:rowOff>
    </xdr:from>
    <xdr:to>
      <xdr:col>2</xdr:col>
      <xdr:colOff>1990724</xdr:colOff>
      <xdr:row>3</xdr:row>
      <xdr:rowOff>47625</xdr:rowOff>
    </xdr:to>
    <xdr:pic>
      <xdr:nvPicPr>
        <xdr:cNvPr id="2" name="Imagen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0" y="152400"/>
          <a:ext cx="1952624" cy="409575"/>
        </a:xfrm>
        <a:prstGeom prst="rect">
          <a:avLst/>
        </a:prstGeom>
      </xdr:spPr>
    </xdr:pic>
    <xdr:clientData/>
  </xdr:twoCellAnchor>
  <xdr:twoCellAnchor>
    <xdr:from>
      <xdr:col>1</xdr:col>
      <xdr:colOff>161926</xdr:colOff>
      <xdr:row>1</xdr:row>
      <xdr:rowOff>0</xdr:rowOff>
    </xdr:from>
    <xdr:to>
      <xdr:col>1</xdr:col>
      <xdr:colOff>1495426</xdr:colOff>
      <xdr:row>3</xdr:row>
      <xdr:rowOff>28575</xdr:rowOff>
    </xdr:to>
    <xdr:sp macro="" textlink="">
      <xdr:nvSpPr>
        <xdr:cNvPr id="3" name="Flecha izquierda 2">
          <a:hlinkClick xmlns:r="http://schemas.openxmlformats.org/officeDocument/2006/relationships" r:id="rId2"/>
          <a:extLst>
            <a:ext uri="{FF2B5EF4-FFF2-40B4-BE49-F238E27FC236}">
              <a16:creationId xmlns:a16="http://schemas.microsoft.com/office/drawing/2014/main" id="{00000000-0008-0000-0900-000003000000}"/>
            </a:ext>
          </a:extLst>
        </xdr:cNvPr>
        <xdr:cNvSpPr/>
      </xdr:nvSpPr>
      <xdr:spPr>
        <a:xfrm>
          <a:off x="771526" y="190500"/>
          <a:ext cx="1333500" cy="352425"/>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152400</xdr:rowOff>
    </xdr:from>
    <xdr:to>
      <xdr:col>2</xdr:col>
      <xdr:colOff>541020</xdr:colOff>
      <xdr:row>2</xdr:row>
      <xdr:rowOff>135255</xdr:rowOff>
    </xdr:to>
    <xdr:sp macro="" textlink="">
      <xdr:nvSpPr>
        <xdr:cNvPr id="2" name="Flecha izquierda 2">
          <a:hlinkClick xmlns:r="http://schemas.openxmlformats.org/officeDocument/2006/relationships" r:id="rId1"/>
          <a:extLst>
            <a:ext uri="{FF2B5EF4-FFF2-40B4-BE49-F238E27FC236}">
              <a16:creationId xmlns:a16="http://schemas.microsoft.com/office/drawing/2014/main" id="{634E3144-4922-4783-8F6E-2071C54AE19F}"/>
            </a:ext>
          </a:extLst>
        </xdr:cNvPr>
        <xdr:cNvSpPr/>
      </xdr:nvSpPr>
      <xdr:spPr>
        <a:xfrm>
          <a:off x="792480" y="152400"/>
          <a:ext cx="1333500" cy="348615"/>
        </a:xfrm>
        <a:prstGeom prst="leftArrow">
          <a:avLst/>
        </a:prstGeom>
        <a:solidFill>
          <a:schemeClr val="accent2">
            <a:lumMod val="60000"/>
            <a:lumOff val="40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200" b="1">
              <a:solidFill>
                <a:sysClr val="windowText" lastClr="000000"/>
              </a:solidFill>
            </a:rPr>
            <a:t>INICIO</a:t>
          </a:r>
        </a:p>
      </xdr:txBody>
    </xdr:sp>
    <xdr:clientData/>
  </xdr:twoCellAnchor>
  <xdr:twoCellAnchor editAs="oneCell">
    <xdr:from>
      <xdr:col>2</xdr:col>
      <xdr:colOff>769620</xdr:colOff>
      <xdr:row>0</xdr:row>
      <xdr:rowOff>167640</xdr:rowOff>
    </xdr:from>
    <xdr:to>
      <xdr:col>3</xdr:col>
      <xdr:colOff>1106804</xdr:colOff>
      <xdr:row>3</xdr:row>
      <xdr:rowOff>24765</xdr:rowOff>
    </xdr:to>
    <xdr:pic>
      <xdr:nvPicPr>
        <xdr:cNvPr id="3" name="Imagen 2">
          <a:extLst>
            <a:ext uri="{FF2B5EF4-FFF2-40B4-BE49-F238E27FC236}">
              <a16:creationId xmlns:a16="http://schemas.microsoft.com/office/drawing/2014/main" id="{079C7088-8274-4815-8925-5B5F69CA86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54580" y="167640"/>
          <a:ext cx="1952624" cy="40576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bibliotecas.udistrital.edu.co/"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epository.udistrital.edu.co/home" TargetMode="Externa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biblioteca.udistrital.edu.co/F?RN=927836072" TargetMode="External"/><Relationship Id="rId1" Type="http://schemas.openxmlformats.org/officeDocument/2006/relationships/hyperlink" Target="https://research.ebsco.com/c/2gsfcu/search/results?autocorrect=y&amp;q=ingenieria"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repository.udistrital.edu.co/home" TargetMode="External"/><Relationship Id="rId13" Type="http://schemas.openxmlformats.org/officeDocument/2006/relationships/drawing" Target="../drawings/drawing5.xml"/><Relationship Id="rId3" Type="http://schemas.openxmlformats.org/officeDocument/2006/relationships/hyperlink" Target="https://repository.udistrital.edu.co/home" TargetMode="External"/><Relationship Id="rId7" Type="http://schemas.openxmlformats.org/officeDocument/2006/relationships/hyperlink" Target="https://bibliotecas.udistrital.edu.co/repositorio/index.html" TargetMode="External"/><Relationship Id="rId12" Type="http://schemas.openxmlformats.org/officeDocument/2006/relationships/printerSettings" Target="../printerSettings/printerSettings4.bin"/><Relationship Id="rId2" Type="http://schemas.openxmlformats.org/officeDocument/2006/relationships/hyperlink" Target="http://herbario.udistrital.edu.co/herbario/" TargetMode="External"/><Relationship Id="rId1" Type="http://schemas.openxmlformats.org/officeDocument/2006/relationships/hyperlink" Target="https://bibliotecas.udistrital.edu.co/ud/bdigital2/subjects/index.php" TargetMode="External"/><Relationship Id="rId6" Type="http://schemas.openxmlformats.org/officeDocument/2006/relationships/hyperlink" Target="http://hdl.handle.net/11349/42615" TargetMode="External"/><Relationship Id="rId11" Type="http://schemas.openxmlformats.org/officeDocument/2006/relationships/hyperlink" Target="https://login.bdigital.udistrital.edu.co/login?url=https://www.oreilly.com/library-access/" TargetMode="External"/><Relationship Id="rId5" Type="http://schemas.openxmlformats.org/officeDocument/2006/relationships/hyperlink" Target="https://revistas.udistrital.edu.co/" TargetMode="External"/><Relationship Id="rId10" Type="http://schemas.openxmlformats.org/officeDocument/2006/relationships/hyperlink" Target="https://bibliotecas.udistrital.edu.co/ud/bdigital2/subjects/index.php" TargetMode="External"/><Relationship Id="rId4" Type="http://schemas.openxmlformats.org/officeDocument/2006/relationships/hyperlink" Target="https://bibliotecas.udistrital.edu.co/ud/bdigital2/subjects/index.php" TargetMode="External"/><Relationship Id="rId9" Type="http://schemas.openxmlformats.org/officeDocument/2006/relationships/hyperlink" Target="https://bibliotecas.udistrital.edu.co/ud/bdigital2/subjects/index.php"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repository.udistrital.edu.co/home" TargetMode="External"/><Relationship Id="rId1" Type="http://schemas.openxmlformats.org/officeDocument/2006/relationships/hyperlink" Target="https://repository.udistrital.edu.co/hom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bibliotecas.udistrital.edu.co/prestamo_interbibliotecario" TargetMode="External"/><Relationship Id="rId2" Type="http://schemas.openxmlformats.org/officeDocument/2006/relationships/hyperlink" Target="https://bibliotecas.udistrital.edu.co/nosotros/alianzas" TargetMode="External"/><Relationship Id="rId1" Type="http://schemas.openxmlformats.org/officeDocument/2006/relationships/hyperlink" Target="https://bibliotecas.udistrital.edu.co/" TargetMode="External"/><Relationship Id="rId5" Type="http://schemas.openxmlformats.org/officeDocument/2006/relationships/drawing" Target="../drawings/drawing7.xml"/><Relationship Id="rId4"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bibliotecas.udistrital.edu.co/"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XFC36"/>
  <sheetViews>
    <sheetView showGridLines="0" tabSelected="1" zoomScale="86" zoomScaleNormal="86" workbookViewId="0"/>
  </sheetViews>
  <sheetFormatPr baseColWidth="10" defaultColWidth="0" defaultRowHeight="15" customHeight="1" zeroHeight="1" x14ac:dyDescent="0.3"/>
  <cols>
    <col min="1" max="1" width="2.44140625" style="154" customWidth="1"/>
    <col min="2" max="2" width="3.88671875" style="154" customWidth="1"/>
    <col min="3" max="3" width="34.44140625" style="154" customWidth="1"/>
    <col min="4" max="4" width="44.6640625" style="154" customWidth="1"/>
    <col min="5" max="5" width="18.6640625" style="154" customWidth="1"/>
    <col min="6" max="12" width="11.44140625" style="154" customWidth="1"/>
    <col min="13" max="16381" width="11.44140625" style="154" hidden="1" customWidth="1"/>
    <col min="16382" max="16382" width="6" style="154" hidden="1" customWidth="1"/>
    <col min="16383" max="16383" width="12.109375" style="154" hidden="1" customWidth="1"/>
    <col min="16384" max="16384" width="3" style="154" hidden="1" customWidth="1"/>
  </cols>
  <sheetData>
    <row r="1" spans="3:11" ht="15" customHeight="1" x14ac:dyDescent="0.3"/>
    <row r="2" spans="3:11" ht="18" x14ac:dyDescent="0.35">
      <c r="C2" s="710"/>
      <c r="D2" s="711" t="s">
        <v>92</v>
      </c>
      <c r="E2" s="711"/>
      <c r="F2" s="711"/>
      <c r="G2" s="711"/>
      <c r="H2" s="711"/>
      <c r="I2" s="711"/>
      <c r="J2" s="711"/>
      <c r="K2" s="711"/>
    </row>
    <row r="3" spans="3:11" s="157" customFormat="1" ht="9.75" customHeight="1" x14ac:dyDescent="0.35">
      <c r="C3" s="710"/>
      <c r="D3" s="155"/>
      <c r="E3" s="155"/>
      <c r="F3" s="155"/>
      <c r="G3" s="155"/>
      <c r="H3" s="155"/>
      <c r="I3" s="156"/>
      <c r="J3" s="156"/>
      <c r="K3" s="156"/>
    </row>
    <row r="4" spans="3:11" ht="18" x14ac:dyDescent="0.35">
      <c r="C4" s="710"/>
      <c r="D4" s="711" t="s">
        <v>1528</v>
      </c>
      <c r="E4" s="711"/>
      <c r="F4" s="711"/>
      <c r="G4" s="711"/>
      <c r="H4" s="711"/>
      <c r="I4" s="711"/>
      <c r="J4" s="711"/>
      <c r="K4" s="711"/>
    </row>
    <row r="5" spans="3:11" ht="15" customHeight="1" x14ac:dyDescent="0.3"/>
    <row r="6" spans="3:11" ht="13.8" x14ac:dyDescent="0.3">
      <c r="C6" s="158" t="s">
        <v>93</v>
      </c>
      <c r="E6" s="159"/>
    </row>
    <row r="7" spans="3:11" ht="13.8" x14ac:dyDescent="0.3">
      <c r="C7" s="154" t="s">
        <v>434</v>
      </c>
    </row>
    <row r="8" spans="3:11" ht="13.8" x14ac:dyDescent="0.3"/>
    <row r="9" spans="3:11" ht="13.8" x14ac:dyDescent="0.3">
      <c r="C9" s="158"/>
    </row>
    <row r="10" spans="3:11" ht="13.8" x14ac:dyDescent="0.3">
      <c r="C10" s="158"/>
    </row>
    <row r="11" spans="3:11" ht="13.8" x14ac:dyDescent="0.3">
      <c r="C11" s="158"/>
      <c r="D11" s="158"/>
      <c r="E11" s="158"/>
    </row>
    <row r="12" spans="3:11" ht="13.8" x14ac:dyDescent="0.3">
      <c r="C12" s="158"/>
    </row>
    <row r="13" spans="3:11" ht="13.8" x14ac:dyDescent="0.3">
      <c r="C13" s="158"/>
    </row>
    <row r="14" spans="3:11" ht="13.8" x14ac:dyDescent="0.3">
      <c r="C14" s="158"/>
    </row>
    <row r="15" spans="3:11" ht="13.8" x14ac:dyDescent="0.3">
      <c r="C15" s="158"/>
    </row>
    <row r="16" spans="3:11" ht="13.8" x14ac:dyDescent="0.3">
      <c r="C16" s="158"/>
    </row>
    <row r="17" spans="3:3" ht="13.8" x14ac:dyDescent="0.3">
      <c r="C17" s="158"/>
    </row>
    <row r="18" spans="3:3" ht="13.8" x14ac:dyDescent="0.3">
      <c r="C18" s="158"/>
    </row>
    <row r="19" spans="3:3" ht="13.8" x14ac:dyDescent="0.3">
      <c r="C19" s="160"/>
    </row>
    <row r="20" spans="3:3" ht="13.8" x14ac:dyDescent="0.3">
      <c r="C20" s="160"/>
    </row>
    <row r="21" spans="3:3" ht="13.8" x14ac:dyDescent="0.3">
      <c r="C21" s="160"/>
    </row>
    <row r="22" spans="3:3" ht="13.8" x14ac:dyDescent="0.3">
      <c r="C22" s="160"/>
    </row>
    <row r="23" spans="3:3" ht="13.8" x14ac:dyDescent="0.3">
      <c r="C23" s="160"/>
    </row>
    <row r="24" spans="3:3" ht="13.8" x14ac:dyDescent="0.3">
      <c r="C24" s="160"/>
    </row>
    <row r="25" spans="3:3" ht="13.8" x14ac:dyDescent="0.3">
      <c r="C25" s="160"/>
    </row>
    <row r="26" spans="3:3" ht="15" customHeight="1" x14ac:dyDescent="0.3"/>
    <row r="27" spans="3:3" ht="15" customHeight="1" x14ac:dyDescent="0.3"/>
    <row r="28" spans="3:3" ht="15" customHeight="1" x14ac:dyDescent="0.3"/>
    <row r="29" spans="3:3" ht="15" customHeight="1" x14ac:dyDescent="0.3"/>
    <row r="30" spans="3:3" ht="15" customHeight="1" x14ac:dyDescent="0.3"/>
    <row r="31" spans="3:3" ht="15" customHeight="1" x14ac:dyDescent="0.3"/>
    <row r="32" spans="3:3" ht="15" customHeight="1" x14ac:dyDescent="0.3"/>
    <row r="33" ht="15" customHeight="1" x14ac:dyDescent="0.3"/>
    <row r="34" ht="15" customHeight="1" x14ac:dyDescent="0.3"/>
    <row r="35" ht="15" customHeight="1" x14ac:dyDescent="0.3"/>
    <row r="36" ht="15" customHeight="1" x14ac:dyDescent="0.3"/>
  </sheetData>
  <mergeCells count="3">
    <mergeCell ref="C2:C4"/>
    <mergeCell ref="D2:K2"/>
    <mergeCell ref="D4:K4"/>
  </mergeCells>
  <pageMargins left="0.7" right="0.7" top="0.75" bottom="0.75" header="0.3" footer="0.3"/>
  <pageSetup orientation="portrait"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B738"/>
  <sheetViews>
    <sheetView showGridLines="0" workbookViewId="0">
      <selection activeCell="A99" sqref="A99"/>
    </sheetView>
  </sheetViews>
  <sheetFormatPr baseColWidth="10" defaultColWidth="14.44140625" defaultRowHeight="15" customHeight="1" x14ac:dyDescent="0.3"/>
  <cols>
    <col min="1" max="1" width="11.44140625" style="100" customWidth="1"/>
    <col min="2" max="2" width="56.6640625" style="98" customWidth="1"/>
    <col min="3" max="3" width="21.88671875" style="99" customWidth="1"/>
    <col min="4" max="4" width="32.88671875" style="98" customWidth="1"/>
    <col min="5" max="5" width="31.44140625" style="103" customWidth="1"/>
    <col min="6" max="6" width="8.6640625" style="98" customWidth="1"/>
    <col min="7" max="7" width="11.88671875" style="98" customWidth="1"/>
    <col min="8" max="8" width="11.5546875" style="98" customWidth="1"/>
    <col min="9" max="9" width="13.109375" style="98" customWidth="1"/>
    <col min="10" max="10" width="14.33203125" style="98" customWidth="1"/>
    <col min="11" max="12" width="11.44140625" style="98" customWidth="1"/>
    <col min="13" max="13" width="12.77734375" style="98" customWidth="1"/>
    <col min="14" max="14" width="10" style="98" customWidth="1"/>
    <col min="15" max="15" width="15.6640625" style="98" customWidth="1"/>
    <col min="16" max="28" width="10" style="98" customWidth="1"/>
    <col min="29" max="16384" width="14.44140625" style="98"/>
  </cols>
  <sheetData>
    <row r="1" spans="1:28" ht="12.75" customHeight="1" x14ac:dyDescent="0.3">
      <c r="A1" s="93"/>
      <c r="B1" s="94"/>
      <c r="C1" s="95"/>
      <c r="D1" s="94"/>
      <c r="E1" s="96"/>
      <c r="F1" s="94"/>
      <c r="G1" s="97"/>
      <c r="H1" s="97"/>
      <c r="I1" s="97"/>
      <c r="J1" s="97"/>
      <c r="K1" s="97"/>
      <c r="L1" s="97"/>
      <c r="M1" s="97"/>
      <c r="N1" s="97"/>
      <c r="O1" s="97"/>
      <c r="P1" s="97"/>
      <c r="Q1" s="97"/>
      <c r="R1" s="97"/>
      <c r="S1" s="97"/>
      <c r="T1" s="97"/>
      <c r="U1" s="97"/>
      <c r="V1" s="97"/>
      <c r="W1" s="97"/>
      <c r="X1" s="97"/>
      <c r="Y1" s="97"/>
      <c r="Z1" s="97"/>
      <c r="AA1" s="97"/>
      <c r="AB1" s="97"/>
    </row>
    <row r="2" spans="1:28" ht="12.75" customHeight="1" x14ac:dyDescent="0.3">
      <c r="A2" s="97"/>
      <c r="D2" s="785" t="s">
        <v>0</v>
      </c>
      <c r="E2" s="785"/>
      <c r="F2" s="785"/>
      <c r="G2" s="785"/>
      <c r="H2" s="785"/>
      <c r="I2" s="785"/>
      <c r="J2" s="785"/>
      <c r="K2" s="785"/>
      <c r="L2" s="97"/>
      <c r="M2" s="97"/>
      <c r="N2" s="97"/>
      <c r="O2" s="97"/>
      <c r="P2" s="97"/>
      <c r="Q2" s="97"/>
      <c r="R2" s="97"/>
      <c r="S2" s="97"/>
      <c r="T2" s="97"/>
      <c r="U2" s="97"/>
      <c r="V2" s="97"/>
      <c r="W2" s="97"/>
      <c r="X2" s="97"/>
      <c r="Y2" s="97"/>
      <c r="Z2" s="97"/>
      <c r="AA2" s="97"/>
      <c r="AB2" s="97"/>
    </row>
    <row r="3" spans="1:28" ht="18.75" customHeight="1" x14ac:dyDescent="0.3">
      <c r="A3" s="97"/>
      <c r="D3" s="785" t="s">
        <v>222</v>
      </c>
      <c r="E3" s="785"/>
      <c r="F3" s="785"/>
      <c r="G3" s="785"/>
      <c r="H3" s="785"/>
      <c r="I3" s="785"/>
      <c r="J3" s="785"/>
      <c r="K3" s="785"/>
      <c r="L3" s="97"/>
      <c r="M3" s="97"/>
      <c r="N3" s="97"/>
      <c r="O3" s="97"/>
      <c r="P3" s="97"/>
      <c r="Q3" s="97"/>
      <c r="R3" s="97"/>
      <c r="S3" s="97"/>
      <c r="T3" s="97"/>
      <c r="U3" s="97"/>
      <c r="V3" s="97"/>
      <c r="W3" s="97"/>
      <c r="X3" s="97"/>
      <c r="Y3" s="97"/>
      <c r="Z3" s="97"/>
      <c r="AA3" s="97"/>
      <c r="AB3" s="97"/>
    </row>
    <row r="4" spans="1:28" ht="15.75" customHeight="1" x14ac:dyDescent="0.3">
      <c r="A4" s="97"/>
      <c r="B4" s="97"/>
      <c r="D4" s="785" t="s">
        <v>223</v>
      </c>
      <c r="E4" s="785"/>
      <c r="F4" s="785"/>
      <c r="G4" s="785"/>
      <c r="H4" s="785"/>
      <c r="I4" s="785"/>
      <c r="J4" s="785"/>
      <c r="K4" s="785"/>
      <c r="L4" s="97"/>
      <c r="M4" s="97"/>
      <c r="N4" s="97"/>
      <c r="O4" s="97"/>
      <c r="P4" s="97"/>
      <c r="Q4" s="97"/>
      <c r="R4" s="97"/>
      <c r="S4" s="97"/>
      <c r="T4" s="97"/>
      <c r="U4" s="97"/>
      <c r="V4" s="97"/>
      <c r="W4" s="97"/>
      <c r="X4" s="97"/>
      <c r="Y4" s="97"/>
      <c r="Z4" s="97"/>
      <c r="AA4" s="97"/>
      <c r="AB4" s="97"/>
    </row>
    <row r="5" spans="1:28" ht="17.25" customHeight="1" x14ac:dyDescent="0.3">
      <c r="B5" s="101" t="s">
        <v>224</v>
      </c>
      <c r="C5" s="48" t="s">
        <v>225</v>
      </c>
      <c r="D5" s="101"/>
      <c r="E5" s="102"/>
      <c r="F5" s="102"/>
      <c r="G5" s="102"/>
      <c r="H5" s="102"/>
      <c r="I5" s="102"/>
      <c r="J5" s="97"/>
      <c r="K5" s="97"/>
      <c r="L5" s="97"/>
      <c r="M5" s="97"/>
      <c r="N5" s="97"/>
      <c r="O5" s="97"/>
      <c r="P5" s="97"/>
      <c r="Q5" s="97"/>
      <c r="R5" s="97"/>
      <c r="S5" s="97"/>
      <c r="T5" s="97"/>
      <c r="U5" s="97"/>
      <c r="V5" s="97"/>
      <c r="W5" s="97"/>
      <c r="X5" s="97"/>
      <c r="Y5" s="97"/>
      <c r="Z5" s="97"/>
      <c r="AA5" s="97"/>
      <c r="AB5" s="97"/>
    </row>
    <row r="6" spans="1:28" ht="12.75" customHeight="1" x14ac:dyDescent="0.3">
      <c r="A6" s="97"/>
      <c r="B6" s="97"/>
      <c r="D6" s="97"/>
      <c r="F6" s="97"/>
      <c r="G6" s="97"/>
      <c r="H6" s="97"/>
      <c r="I6" s="97"/>
      <c r="J6" s="97"/>
      <c r="K6" s="97"/>
      <c r="L6" s="97"/>
      <c r="M6" s="97"/>
      <c r="N6" s="97"/>
      <c r="O6" s="97"/>
      <c r="P6" s="97"/>
      <c r="Q6" s="97"/>
      <c r="R6" s="97"/>
      <c r="S6" s="97"/>
      <c r="T6" s="97"/>
      <c r="U6" s="97"/>
      <c r="V6" s="97"/>
      <c r="W6" s="97"/>
      <c r="X6" s="97"/>
      <c r="Y6" s="97"/>
      <c r="Z6" s="97"/>
      <c r="AA6" s="97"/>
      <c r="AB6" s="97"/>
    </row>
    <row r="7" spans="1:28" s="97" customFormat="1" ht="45" customHeight="1" x14ac:dyDescent="0.3">
      <c r="B7" s="104" t="s">
        <v>226</v>
      </c>
      <c r="C7" s="104">
        <v>2018</v>
      </c>
      <c r="D7" s="104">
        <v>2019</v>
      </c>
      <c r="E7" s="104">
        <v>2020</v>
      </c>
      <c r="F7" s="104">
        <v>2021</v>
      </c>
      <c r="G7" s="104">
        <v>2022</v>
      </c>
      <c r="H7" s="104">
        <v>2023</v>
      </c>
      <c r="I7" s="104">
        <v>2024</v>
      </c>
      <c r="J7" s="104">
        <v>2025</v>
      </c>
      <c r="K7" s="104">
        <v>2026</v>
      </c>
      <c r="L7" s="104" t="s">
        <v>46</v>
      </c>
      <c r="M7" s="267" t="s">
        <v>227</v>
      </c>
    </row>
    <row r="8" spans="1:28" ht="12.75" customHeight="1" x14ac:dyDescent="0.3">
      <c r="A8" s="97"/>
      <c r="B8" s="105" t="s">
        <v>228</v>
      </c>
      <c r="C8" s="106">
        <v>0</v>
      </c>
      <c r="D8" s="107">
        <v>0</v>
      </c>
      <c r="E8" s="108">
        <v>0</v>
      </c>
      <c r="F8" s="107">
        <v>0</v>
      </c>
      <c r="G8" s="107">
        <v>0</v>
      </c>
      <c r="H8" s="107">
        <v>3012</v>
      </c>
      <c r="I8" s="107">
        <v>8221</v>
      </c>
      <c r="J8" s="334">
        <v>102497</v>
      </c>
      <c r="K8" s="334">
        <v>49636</v>
      </c>
      <c r="L8" s="463">
        <f>+SUM(C8:K8)</f>
        <v>163366</v>
      </c>
      <c r="M8" s="109">
        <f t="shared" ref="M8:M19" si="0">+L8/$L$19</f>
        <v>7.19271596947963E-3</v>
      </c>
      <c r="N8" s="97"/>
      <c r="O8" s="97"/>
      <c r="P8" s="97"/>
      <c r="Q8" s="97"/>
      <c r="R8" s="97"/>
      <c r="S8" s="97"/>
      <c r="T8" s="97"/>
      <c r="U8" s="97"/>
      <c r="V8" s="97"/>
      <c r="W8" s="97"/>
      <c r="X8" s="97"/>
      <c r="Y8" s="97"/>
      <c r="Z8" s="97"/>
      <c r="AA8" s="97"/>
      <c r="AB8" s="97"/>
    </row>
    <row r="9" spans="1:28" ht="12.75" customHeight="1" x14ac:dyDescent="0.3">
      <c r="A9" s="97"/>
      <c r="B9" s="105" t="s">
        <v>229</v>
      </c>
      <c r="C9" s="106">
        <v>64934</v>
      </c>
      <c r="D9" s="107">
        <v>58029</v>
      </c>
      <c r="E9" s="108">
        <v>14587</v>
      </c>
      <c r="F9" s="107">
        <v>3649</v>
      </c>
      <c r="G9" s="107">
        <v>21432</v>
      </c>
      <c r="H9" s="107">
        <v>43036</v>
      </c>
      <c r="I9" s="107">
        <v>30517</v>
      </c>
      <c r="J9" s="334">
        <v>32072</v>
      </c>
      <c r="K9" s="334">
        <v>18827</v>
      </c>
      <c r="L9" s="463">
        <f t="shared" ref="L9:L18" si="1">+SUM(C9:K9)</f>
        <v>287083</v>
      </c>
      <c r="M9" s="109">
        <f t="shared" si="0"/>
        <v>1.2639756611939576E-2</v>
      </c>
      <c r="N9" s="97"/>
      <c r="O9" s="97"/>
      <c r="P9" s="97"/>
      <c r="Q9" s="97"/>
      <c r="R9" s="97"/>
      <c r="S9" s="97"/>
      <c r="T9" s="97"/>
      <c r="U9" s="97"/>
      <c r="V9" s="97"/>
      <c r="W9" s="97"/>
      <c r="X9" s="97"/>
      <c r="Y9" s="97"/>
      <c r="Z9" s="97"/>
      <c r="AA9" s="97"/>
      <c r="AB9" s="97"/>
    </row>
    <row r="10" spans="1:28" ht="12.75" customHeight="1" x14ac:dyDescent="0.3">
      <c r="A10" s="97"/>
      <c r="B10" s="105" t="s">
        <v>230</v>
      </c>
      <c r="C10" s="106">
        <v>152587</v>
      </c>
      <c r="D10" s="107">
        <v>302366</v>
      </c>
      <c r="E10" s="108">
        <v>17918</v>
      </c>
      <c r="F10" s="107">
        <v>1810</v>
      </c>
      <c r="G10" s="107">
        <v>192172</v>
      </c>
      <c r="H10" s="107">
        <v>86796</v>
      </c>
      <c r="I10" s="107">
        <v>50918</v>
      </c>
      <c r="J10" s="334">
        <v>76641</v>
      </c>
      <c r="K10" s="334">
        <v>45793</v>
      </c>
      <c r="L10" s="463">
        <f t="shared" si="1"/>
        <v>927001</v>
      </c>
      <c r="M10" s="109">
        <f t="shared" si="0"/>
        <v>4.0814214074064291E-2</v>
      </c>
      <c r="N10" s="97"/>
      <c r="O10" s="97"/>
      <c r="P10" s="97"/>
      <c r="Q10" s="97"/>
      <c r="R10" s="97"/>
      <c r="S10" s="97"/>
      <c r="T10" s="97"/>
      <c r="U10" s="97"/>
      <c r="V10" s="97"/>
      <c r="W10" s="97"/>
      <c r="X10" s="97"/>
      <c r="Y10" s="97"/>
      <c r="Z10" s="97"/>
      <c r="AA10" s="97"/>
      <c r="AB10" s="97"/>
    </row>
    <row r="11" spans="1:28" ht="12.75" customHeight="1" x14ac:dyDescent="0.3">
      <c r="A11" s="97"/>
      <c r="B11" s="105" t="s">
        <v>231</v>
      </c>
      <c r="C11" s="106">
        <v>0</v>
      </c>
      <c r="D11" s="107">
        <v>0</v>
      </c>
      <c r="E11" s="108">
        <v>0</v>
      </c>
      <c r="F11" s="107">
        <v>0</v>
      </c>
      <c r="G11" s="107">
        <v>0</v>
      </c>
      <c r="H11" s="107">
        <v>156</v>
      </c>
      <c r="I11" s="107">
        <v>170</v>
      </c>
      <c r="J11" s="334">
        <v>1796</v>
      </c>
      <c r="K11" s="334">
        <v>331</v>
      </c>
      <c r="L11" s="463">
        <f t="shared" si="1"/>
        <v>2453</v>
      </c>
      <c r="M11" s="109">
        <f t="shared" si="0"/>
        <v>1.0800125040175761E-4</v>
      </c>
      <c r="N11" s="97"/>
      <c r="O11" s="97"/>
      <c r="P11" s="97"/>
      <c r="Q11" s="97"/>
      <c r="R11" s="97"/>
      <c r="S11" s="97"/>
      <c r="T11" s="97"/>
      <c r="U11" s="97"/>
      <c r="V11" s="97"/>
      <c r="W11" s="97"/>
      <c r="X11" s="97"/>
      <c r="Y11" s="97"/>
      <c r="Z11" s="97"/>
      <c r="AA11" s="97"/>
      <c r="AB11" s="97"/>
    </row>
    <row r="12" spans="1:28" ht="12.75" customHeight="1" x14ac:dyDescent="0.3">
      <c r="A12" s="97"/>
      <c r="B12" s="105" t="s">
        <v>232</v>
      </c>
      <c r="C12" s="106">
        <v>0</v>
      </c>
      <c r="D12" s="107">
        <v>0</v>
      </c>
      <c r="E12" s="108">
        <v>0</v>
      </c>
      <c r="F12" s="107">
        <v>0</v>
      </c>
      <c r="G12" s="107">
        <v>0</v>
      </c>
      <c r="H12" s="107">
        <v>469</v>
      </c>
      <c r="I12" s="107">
        <v>279</v>
      </c>
      <c r="J12" s="334">
        <v>2092</v>
      </c>
      <c r="K12" s="334">
        <v>1248</v>
      </c>
      <c r="L12" s="463">
        <f t="shared" si="1"/>
        <v>4088</v>
      </c>
      <c r="M12" s="109">
        <f t="shared" si="0"/>
        <v>1.7998740792596213E-4</v>
      </c>
      <c r="N12" s="97"/>
      <c r="O12" s="97"/>
      <c r="P12" s="97"/>
      <c r="Q12" s="97"/>
      <c r="R12" s="97"/>
      <c r="S12" s="97"/>
      <c r="T12" s="97"/>
      <c r="U12" s="97"/>
      <c r="V12" s="97"/>
      <c r="W12" s="97"/>
      <c r="X12" s="97"/>
      <c r="Y12" s="97"/>
      <c r="Z12" s="97"/>
      <c r="AA12" s="97"/>
      <c r="AB12" s="97"/>
    </row>
    <row r="13" spans="1:28" ht="12.75" customHeight="1" x14ac:dyDescent="0.3">
      <c r="A13" s="97"/>
      <c r="B13" s="105" t="s">
        <v>233</v>
      </c>
      <c r="C13" s="106">
        <v>1789131</v>
      </c>
      <c r="D13" s="107">
        <v>1658544</v>
      </c>
      <c r="E13" s="108">
        <v>1105359</v>
      </c>
      <c r="F13" s="107">
        <v>1375973</v>
      </c>
      <c r="G13" s="107">
        <v>1143710</v>
      </c>
      <c r="H13" s="107">
        <v>1071500</v>
      </c>
      <c r="I13" s="107">
        <v>4101879</v>
      </c>
      <c r="J13" s="334">
        <v>6350885</v>
      </c>
      <c r="K13" s="334">
        <v>2467671</v>
      </c>
      <c r="L13" s="463">
        <f t="shared" si="1"/>
        <v>21064652</v>
      </c>
      <c r="M13" s="109">
        <f t="shared" si="0"/>
        <v>0.9274393621189907</v>
      </c>
      <c r="N13" s="97"/>
      <c r="O13" s="97"/>
      <c r="P13" s="97"/>
      <c r="Q13" s="97"/>
      <c r="R13" s="97"/>
      <c r="S13" s="97"/>
      <c r="T13" s="97"/>
      <c r="U13" s="97"/>
      <c r="V13" s="97"/>
      <c r="W13" s="97"/>
      <c r="X13" s="97"/>
      <c r="Y13" s="97"/>
      <c r="Z13" s="97"/>
      <c r="AA13" s="97"/>
      <c r="AB13" s="97"/>
    </row>
    <row r="14" spans="1:28" ht="12.75" customHeight="1" x14ac:dyDescent="0.3">
      <c r="A14" s="97"/>
      <c r="B14" s="105" t="s">
        <v>234</v>
      </c>
      <c r="C14" s="106">
        <v>0</v>
      </c>
      <c r="D14" s="107">
        <v>0</v>
      </c>
      <c r="E14" s="108">
        <v>0</v>
      </c>
      <c r="F14" s="107">
        <v>0</v>
      </c>
      <c r="G14" s="107">
        <v>0</v>
      </c>
      <c r="H14" s="107">
        <v>26</v>
      </c>
      <c r="I14" s="107">
        <v>58</v>
      </c>
      <c r="J14" s="274">
        <v>998</v>
      </c>
      <c r="K14" s="334">
        <v>1038</v>
      </c>
      <c r="L14" s="463">
        <f t="shared" si="1"/>
        <v>2120</v>
      </c>
      <c r="M14" s="109">
        <f t="shared" si="0"/>
        <v>9.3339849511506776E-5</v>
      </c>
      <c r="N14" s="97"/>
      <c r="O14" s="97"/>
      <c r="P14" s="97"/>
      <c r="Q14" s="97"/>
      <c r="R14" s="97"/>
      <c r="S14" s="97"/>
      <c r="T14" s="97"/>
      <c r="U14" s="97"/>
      <c r="V14" s="97"/>
      <c r="W14" s="97"/>
      <c r="X14" s="97"/>
      <c r="Y14" s="97"/>
      <c r="Z14" s="97"/>
      <c r="AA14" s="97"/>
      <c r="AB14" s="97"/>
    </row>
    <row r="15" spans="1:28" ht="12.75" customHeight="1" x14ac:dyDescent="0.3">
      <c r="A15" s="97"/>
      <c r="B15" s="105" t="s">
        <v>235</v>
      </c>
      <c r="C15" s="106">
        <v>0</v>
      </c>
      <c r="D15" s="107">
        <v>0</v>
      </c>
      <c r="E15" s="108">
        <v>1504</v>
      </c>
      <c r="F15" s="107">
        <v>12</v>
      </c>
      <c r="G15" s="107">
        <v>76</v>
      </c>
      <c r="H15" s="107">
        <v>482</v>
      </c>
      <c r="I15" s="107">
        <v>3116</v>
      </c>
      <c r="J15" s="274">
        <v>316</v>
      </c>
      <c r="K15" s="274">
        <v>111</v>
      </c>
      <c r="L15" s="463">
        <f t="shared" si="1"/>
        <v>5617</v>
      </c>
      <c r="M15" s="109">
        <f t="shared" si="0"/>
        <v>2.4730657297459131E-4</v>
      </c>
      <c r="N15" s="97"/>
      <c r="O15" s="97"/>
      <c r="P15" s="97"/>
      <c r="Q15" s="97"/>
      <c r="R15" s="97"/>
      <c r="S15" s="97"/>
      <c r="T15" s="97"/>
      <c r="U15" s="97"/>
      <c r="V15" s="97"/>
      <c r="W15" s="97"/>
      <c r="X15" s="97"/>
      <c r="Y15" s="97"/>
      <c r="Z15" s="97"/>
      <c r="AA15" s="97"/>
      <c r="AB15" s="97"/>
    </row>
    <row r="16" spans="1:28" ht="12.75" customHeight="1" x14ac:dyDescent="0.3">
      <c r="A16" s="97"/>
      <c r="B16" s="105" t="s">
        <v>236</v>
      </c>
      <c r="C16" s="106">
        <v>9935</v>
      </c>
      <c r="D16" s="107">
        <v>16687</v>
      </c>
      <c r="E16" s="108">
        <v>2212</v>
      </c>
      <c r="F16" s="107">
        <v>1715</v>
      </c>
      <c r="G16" s="107">
        <v>9169</v>
      </c>
      <c r="H16" s="107">
        <v>7859</v>
      </c>
      <c r="I16" s="107">
        <v>13436</v>
      </c>
      <c r="J16" s="334">
        <v>18783</v>
      </c>
      <c r="K16" s="334">
        <v>9128</v>
      </c>
      <c r="L16" s="463">
        <f t="shared" si="1"/>
        <v>88924</v>
      </c>
      <c r="M16" s="109">
        <f t="shared" si="0"/>
        <v>3.9151664046986924E-3</v>
      </c>
      <c r="N16" s="97"/>
      <c r="O16" s="97"/>
      <c r="P16" s="97"/>
      <c r="Q16" s="97"/>
      <c r="R16" s="97"/>
      <c r="S16" s="97"/>
      <c r="T16" s="97"/>
      <c r="U16" s="97"/>
      <c r="V16" s="97"/>
      <c r="W16" s="97"/>
      <c r="X16" s="97"/>
      <c r="Y16" s="97"/>
      <c r="Z16" s="97"/>
      <c r="AA16" s="97"/>
      <c r="AB16" s="97"/>
    </row>
    <row r="17" spans="1:28" ht="12.75" customHeight="1" x14ac:dyDescent="0.3">
      <c r="A17" s="97"/>
      <c r="B17" s="105" t="s">
        <v>237</v>
      </c>
      <c r="C17" s="106">
        <v>3004</v>
      </c>
      <c r="D17" s="107">
        <v>468</v>
      </c>
      <c r="E17" s="108">
        <v>5913</v>
      </c>
      <c r="F17" s="107">
        <v>4858</v>
      </c>
      <c r="G17" s="107">
        <v>13993</v>
      </c>
      <c r="H17" s="107">
        <v>63350</v>
      </c>
      <c r="I17" s="107">
        <v>9376</v>
      </c>
      <c r="J17" s="334">
        <v>31104</v>
      </c>
      <c r="K17" s="334">
        <v>14625</v>
      </c>
      <c r="L17" s="463">
        <f t="shared" si="1"/>
        <v>146691</v>
      </c>
      <c r="M17" s="109">
        <f t="shared" si="0"/>
        <v>6.4585452191945475E-3</v>
      </c>
      <c r="N17" s="97"/>
      <c r="O17" s="97"/>
      <c r="P17" s="97"/>
      <c r="Q17" s="97"/>
      <c r="R17" s="97"/>
      <c r="S17" s="97"/>
      <c r="T17" s="97"/>
      <c r="U17" s="97"/>
      <c r="V17" s="97"/>
      <c r="W17" s="97"/>
      <c r="X17" s="97"/>
      <c r="Y17" s="97"/>
      <c r="Z17" s="97"/>
      <c r="AA17" s="97"/>
      <c r="AB17" s="97"/>
    </row>
    <row r="18" spans="1:28" ht="12.75" customHeight="1" x14ac:dyDescent="0.3">
      <c r="A18" s="97"/>
      <c r="B18" s="105" t="s">
        <v>238</v>
      </c>
      <c r="C18" s="106">
        <v>0</v>
      </c>
      <c r="D18" s="107">
        <v>0</v>
      </c>
      <c r="E18" s="108">
        <v>0</v>
      </c>
      <c r="F18" s="107">
        <v>26</v>
      </c>
      <c r="G18" s="107">
        <v>299</v>
      </c>
      <c r="H18" s="107">
        <v>131</v>
      </c>
      <c r="I18" s="107">
        <v>17514</v>
      </c>
      <c r="J18" s="334">
        <v>1121</v>
      </c>
      <c r="K18" s="334">
        <v>1614</v>
      </c>
      <c r="L18" s="463">
        <f t="shared" si="1"/>
        <v>20705</v>
      </c>
      <c r="M18" s="109">
        <f t="shared" si="0"/>
        <v>9.1160452081874902E-4</v>
      </c>
      <c r="N18" s="97"/>
      <c r="O18" s="97"/>
      <c r="P18" s="97"/>
      <c r="Q18" s="97"/>
      <c r="R18" s="97"/>
      <c r="S18" s="97"/>
      <c r="T18" s="97"/>
      <c r="U18" s="97"/>
      <c r="V18" s="97"/>
      <c r="W18" s="97"/>
      <c r="X18" s="97"/>
      <c r="Y18" s="97"/>
      <c r="Z18" s="97"/>
      <c r="AA18" s="97"/>
      <c r="AB18" s="97"/>
    </row>
    <row r="19" spans="1:28" ht="12.75" customHeight="1" x14ac:dyDescent="0.3">
      <c r="A19" s="97"/>
      <c r="B19" s="110" t="s">
        <v>46</v>
      </c>
      <c r="C19" s="111">
        <f t="shared" ref="C19:I19" si="2">+SUM(C8:C18)</f>
        <v>2019591</v>
      </c>
      <c r="D19" s="112">
        <f t="shared" si="2"/>
        <v>2036094</v>
      </c>
      <c r="E19" s="113">
        <f t="shared" si="2"/>
        <v>1147493</v>
      </c>
      <c r="F19" s="112">
        <f t="shared" si="2"/>
        <v>1388043</v>
      </c>
      <c r="G19" s="112">
        <f t="shared" si="2"/>
        <v>1380851</v>
      </c>
      <c r="H19" s="112">
        <f t="shared" si="2"/>
        <v>1276817</v>
      </c>
      <c r="I19" s="112">
        <f t="shared" si="2"/>
        <v>4235484</v>
      </c>
      <c r="J19" s="112">
        <f>+SUM(J8:J18)</f>
        <v>6618305</v>
      </c>
      <c r="K19" s="112">
        <f>+SUM(K8:K18)</f>
        <v>2610022</v>
      </c>
      <c r="L19" s="112">
        <f>+SUM(L8:L18)</f>
        <v>22712700</v>
      </c>
      <c r="M19" s="109">
        <f t="shared" si="0"/>
        <v>1</v>
      </c>
      <c r="N19" s="97"/>
      <c r="O19" s="97"/>
      <c r="P19" s="97"/>
      <c r="Q19" s="97"/>
      <c r="R19" s="97"/>
      <c r="S19" s="97"/>
      <c r="T19" s="97"/>
      <c r="U19" s="97"/>
      <c r="V19" s="97"/>
      <c r="W19" s="97"/>
      <c r="X19" s="97"/>
      <c r="Y19" s="97"/>
      <c r="Z19" s="97"/>
      <c r="AA19" s="97"/>
      <c r="AB19" s="97"/>
    </row>
    <row r="20" spans="1:28" s="153" customFormat="1" ht="15.75" customHeight="1" x14ac:dyDescent="0.3">
      <c r="A20" s="235"/>
      <c r="B20" s="238" t="s">
        <v>1242</v>
      </c>
      <c r="C20" s="236"/>
      <c r="D20" s="235"/>
      <c r="E20" s="237"/>
      <c r="F20" s="235"/>
      <c r="G20" s="235"/>
      <c r="H20" s="235"/>
      <c r="I20" s="235"/>
      <c r="J20" s="235"/>
      <c r="K20" s="235"/>
      <c r="L20" s="235"/>
      <c r="M20" s="235"/>
      <c r="N20" s="235"/>
      <c r="O20" s="235"/>
      <c r="P20" s="235"/>
      <c r="Q20" s="235"/>
      <c r="R20" s="235"/>
      <c r="S20" s="235"/>
      <c r="T20" s="235"/>
      <c r="U20" s="235"/>
      <c r="V20" s="235"/>
      <c r="W20" s="235"/>
      <c r="X20" s="235"/>
      <c r="Y20" s="235"/>
      <c r="Z20" s="235"/>
      <c r="AA20" s="235"/>
      <c r="AB20" s="235"/>
    </row>
    <row r="21" spans="1:28" ht="12.75" customHeight="1" x14ac:dyDescent="0.3">
      <c r="A21" s="97"/>
      <c r="B21" s="97"/>
      <c r="D21" s="97"/>
      <c r="F21" s="97"/>
      <c r="G21" s="97"/>
      <c r="H21" s="97"/>
      <c r="I21" s="97"/>
      <c r="J21" s="97"/>
      <c r="K21" s="97"/>
      <c r="L21" s="97"/>
      <c r="M21" s="97"/>
      <c r="N21" s="97"/>
      <c r="O21" s="97"/>
      <c r="P21" s="97"/>
      <c r="Q21" s="97"/>
      <c r="R21" s="97"/>
      <c r="S21" s="97"/>
      <c r="T21" s="97"/>
      <c r="U21" s="97"/>
      <c r="V21" s="97"/>
      <c r="W21" s="97"/>
      <c r="X21" s="97"/>
      <c r="Y21" s="97"/>
      <c r="Z21" s="97"/>
      <c r="AA21" s="97"/>
      <c r="AB21" s="97"/>
    </row>
    <row r="22" spans="1:28" ht="12.75" customHeight="1" x14ac:dyDescent="0.3">
      <c r="A22" s="97"/>
      <c r="B22" s="97"/>
      <c r="D22" s="97"/>
      <c r="F22" s="97"/>
      <c r="G22" s="97"/>
      <c r="H22" s="97"/>
      <c r="I22" s="97"/>
      <c r="J22" s="97"/>
      <c r="K22" s="97"/>
      <c r="L22" s="97"/>
      <c r="M22" s="97"/>
      <c r="N22" s="97"/>
      <c r="O22" s="97"/>
      <c r="P22" s="97"/>
      <c r="Q22" s="97"/>
      <c r="R22" s="97"/>
      <c r="S22" s="97"/>
      <c r="T22" s="97"/>
      <c r="U22" s="97"/>
      <c r="V22" s="97"/>
      <c r="W22" s="97"/>
      <c r="X22" s="97"/>
      <c r="Y22" s="97"/>
      <c r="Z22" s="97"/>
      <c r="AA22" s="97"/>
      <c r="AB22" s="97"/>
    </row>
    <row r="23" spans="1:28" ht="12.75" customHeight="1" x14ac:dyDescent="0.3">
      <c r="A23" s="338" t="s">
        <v>239</v>
      </c>
      <c r="B23" s="338" t="s">
        <v>240</v>
      </c>
      <c r="C23" s="339" t="s">
        <v>241</v>
      </c>
      <c r="D23" s="340"/>
      <c r="E23" s="341" t="s">
        <v>242</v>
      </c>
      <c r="F23" s="340" t="s">
        <v>243</v>
      </c>
      <c r="G23" s="340" t="s">
        <v>244</v>
      </c>
      <c r="H23" s="340" t="s">
        <v>245</v>
      </c>
      <c r="I23" s="342" t="s">
        <v>246</v>
      </c>
      <c r="J23" s="340">
        <v>2018</v>
      </c>
      <c r="K23" s="340">
        <v>2019</v>
      </c>
      <c r="L23" s="340">
        <v>2020</v>
      </c>
      <c r="M23" s="340">
        <v>2021</v>
      </c>
      <c r="N23" s="340">
        <v>2022</v>
      </c>
      <c r="O23" s="340">
        <v>2023</v>
      </c>
      <c r="P23" s="343">
        <v>2024</v>
      </c>
      <c r="Q23" s="344">
        <v>2025</v>
      </c>
      <c r="R23" s="423">
        <v>2026</v>
      </c>
      <c r="S23" s="345" t="s">
        <v>46</v>
      </c>
      <c r="T23" s="97"/>
      <c r="U23" s="97"/>
      <c r="V23" s="97"/>
      <c r="W23" s="97"/>
      <c r="X23" s="97"/>
      <c r="Y23" s="97"/>
      <c r="Z23" s="97"/>
      <c r="AA23" s="97"/>
      <c r="AB23" s="97"/>
    </row>
    <row r="24" spans="1:28" ht="12.75" customHeight="1" x14ac:dyDescent="0.3">
      <c r="A24" s="795">
        <v>1</v>
      </c>
      <c r="B24" s="796" t="s">
        <v>247</v>
      </c>
      <c r="C24" s="799" t="s">
        <v>248</v>
      </c>
      <c r="D24" s="239" t="s">
        <v>249</v>
      </c>
      <c r="E24" s="802" t="s">
        <v>250</v>
      </c>
      <c r="F24" s="268">
        <v>2023</v>
      </c>
      <c r="G24" s="269"/>
      <c r="H24" s="269" t="s">
        <v>91</v>
      </c>
      <c r="I24" s="269" t="s">
        <v>251</v>
      </c>
      <c r="J24" s="268"/>
      <c r="K24" s="268"/>
      <c r="L24" s="268"/>
      <c r="M24" s="268"/>
      <c r="N24" s="268"/>
      <c r="O24" s="270">
        <v>832</v>
      </c>
      <c r="P24" s="271">
        <v>1718</v>
      </c>
      <c r="Q24" s="335">
        <v>2477</v>
      </c>
      <c r="R24" s="426">
        <v>6266</v>
      </c>
      <c r="S24" s="346">
        <v>11293</v>
      </c>
      <c r="T24" s="97"/>
      <c r="U24" s="97"/>
      <c r="V24" s="97"/>
      <c r="W24" s="97"/>
      <c r="X24" s="97"/>
      <c r="Y24" s="97"/>
      <c r="Z24" s="97"/>
      <c r="AA24" s="97"/>
      <c r="AB24" s="97"/>
    </row>
    <row r="25" spans="1:28" ht="12.75" customHeight="1" x14ac:dyDescent="0.3">
      <c r="A25" s="713"/>
      <c r="B25" s="797"/>
      <c r="C25" s="800"/>
      <c r="D25" s="240" t="s">
        <v>550</v>
      </c>
      <c r="E25" s="803"/>
      <c r="F25" s="272">
        <v>2023</v>
      </c>
      <c r="G25" s="273"/>
      <c r="H25" s="273" t="s">
        <v>91</v>
      </c>
      <c r="I25" s="274" t="s">
        <v>251</v>
      </c>
      <c r="J25" s="275">
        <v>6987</v>
      </c>
      <c r="K25" s="276">
        <v>2515</v>
      </c>
      <c r="L25" s="277">
        <v>865</v>
      </c>
      <c r="M25" s="277">
        <v>834</v>
      </c>
      <c r="N25" s="275">
        <v>1217</v>
      </c>
      <c r="O25" s="278">
        <v>846</v>
      </c>
      <c r="P25" s="347">
        <v>897</v>
      </c>
      <c r="Q25" s="335">
        <v>1749</v>
      </c>
      <c r="R25" s="426">
        <v>1095</v>
      </c>
      <c r="S25" s="346">
        <v>17005</v>
      </c>
      <c r="T25" s="97"/>
      <c r="U25" s="97"/>
      <c r="V25" s="97"/>
      <c r="W25" s="97"/>
      <c r="X25" s="97"/>
      <c r="Y25" s="97"/>
      <c r="Z25" s="97"/>
      <c r="AA25" s="97"/>
      <c r="AB25" s="97"/>
    </row>
    <row r="26" spans="1:28" ht="12.75" customHeight="1" x14ac:dyDescent="0.3">
      <c r="A26" s="713"/>
      <c r="B26" s="797"/>
      <c r="C26" s="800"/>
      <c r="D26" s="240" t="s">
        <v>252</v>
      </c>
      <c r="E26" s="803"/>
      <c r="F26" s="272">
        <v>2024</v>
      </c>
      <c r="G26" s="273" t="s">
        <v>91</v>
      </c>
      <c r="H26" s="273"/>
      <c r="I26" s="274" t="s">
        <v>251</v>
      </c>
      <c r="J26" s="272"/>
      <c r="K26" s="272"/>
      <c r="L26" s="272"/>
      <c r="M26" s="272"/>
      <c r="N26" s="272"/>
      <c r="O26" s="279"/>
      <c r="P26" s="347">
        <v>1939</v>
      </c>
      <c r="Q26" s="335">
        <v>24495</v>
      </c>
      <c r="R26" s="426">
        <v>6441</v>
      </c>
      <c r="S26" s="346">
        <v>32875</v>
      </c>
      <c r="T26" s="97"/>
      <c r="U26" s="97"/>
      <c r="V26" s="97"/>
      <c r="W26" s="97"/>
      <c r="X26" s="97"/>
      <c r="Y26" s="97"/>
      <c r="Z26" s="97"/>
      <c r="AA26" s="97"/>
      <c r="AB26" s="97"/>
    </row>
    <row r="27" spans="1:28" ht="12.75" customHeight="1" x14ac:dyDescent="0.3">
      <c r="A27" s="713"/>
      <c r="B27" s="797"/>
      <c r="C27" s="800"/>
      <c r="D27" s="240" t="s">
        <v>253</v>
      </c>
      <c r="E27" s="803"/>
      <c r="F27" s="272">
        <v>2023</v>
      </c>
      <c r="G27" s="273"/>
      <c r="H27" s="273" t="s">
        <v>91</v>
      </c>
      <c r="I27" s="274" t="s">
        <v>251</v>
      </c>
      <c r="J27" s="272"/>
      <c r="K27" s="272"/>
      <c r="L27" s="272"/>
      <c r="M27" s="272"/>
      <c r="N27" s="272"/>
      <c r="O27" s="279">
        <v>1006</v>
      </c>
      <c r="P27" s="347">
        <v>1332</v>
      </c>
      <c r="Q27" s="335">
        <v>57724</v>
      </c>
      <c r="R27" s="426">
        <v>23361</v>
      </c>
      <c r="S27" s="346">
        <v>83423</v>
      </c>
      <c r="T27" s="97"/>
      <c r="U27" s="97"/>
      <c r="V27" s="97"/>
      <c r="W27" s="97"/>
      <c r="X27" s="97"/>
      <c r="Y27" s="97"/>
      <c r="Z27" s="97"/>
      <c r="AA27" s="97"/>
      <c r="AB27" s="97"/>
    </row>
    <row r="28" spans="1:28" ht="12.75" customHeight="1" x14ac:dyDescent="0.3">
      <c r="A28" s="713"/>
      <c r="B28" s="797"/>
      <c r="C28" s="800"/>
      <c r="D28" s="240" t="s">
        <v>254</v>
      </c>
      <c r="E28" s="803"/>
      <c r="F28" s="272">
        <v>2023</v>
      </c>
      <c r="G28" s="273"/>
      <c r="H28" s="273" t="s">
        <v>91</v>
      </c>
      <c r="I28" s="274" t="s">
        <v>251</v>
      </c>
      <c r="J28" s="272"/>
      <c r="K28" s="272"/>
      <c r="L28" s="272"/>
      <c r="M28" s="272"/>
      <c r="N28" s="272"/>
      <c r="O28" s="279">
        <v>662</v>
      </c>
      <c r="P28" s="347">
        <v>1298</v>
      </c>
      <c r="Q28" s="335">
        <v>1587</v>
      </c>
      <c r="R28" s="426">
        <v>11851</v>
      </c>
      <c r="S28" s="346">
        <v>15398</v>
      </c>
      <c r="T28" s="97"/>
      <c r="U28" s="97"/>
      <c r="V28" s="97"/>
      <c r="W28" s="97"/>
      <c r="X28" s="97"/>
      <c r="Y28" s="97"/>
      <c r="Z28" s="97"/>
      <c r="AA28" s="97"/>
      <c r="AB28" s="97"/>
    </row>
    <row r="29" spans="1:28" ht="12.75" customHeight="1" x14ac:dyDescent="0.3">
      <c r="A29" s="754"/>
      <c r="B29" s="798"/>
      <c r="C29" s="801"/>
      <c r="D29" s="240" t="s">
        <v>255</v>
      </c>
      <c r="E29" s="804"/>
      <c r="F29" s="280">
        <v>2023</v>
      </c>
      <c r="G29" s="281"/>
      <c r="H29" s="281" t="s">
        <v>91</v>
      </c>
      <c r="I29" s="274" t="s">
        <v>251</v>
      </c>
      <c r="J29" s="280"/>
      <c r="K29" s="280"/>
      <c r="L29" s="280"/>
      <c r="M29" s="280"/>
      <c r="N29" s="280"/>
      <c r="O29" s="279">
        <v>512</v>
      </c>
      <c r="P29" s="347">
        <v>1037</v>
      </c>
      <c r="Q29" s="335">
        <v>14465</v>
      </c>
      <c r="R29" s="427">
        <v>622</v>
      </c>
      <c r="S29" s="346">
        <v>16636</v>
      </c>
      <c r="T29" s="97"/>
      <c r="U29" s="97"/>
      <c r="V29" s="97"/>
      <c r="W29" s="97"/>
      <c r="X29" s="97"/>
      <c r="Y29" s="97"/>
      <c r="Z29" s="97"/>
      <c r="AA29" s="97"/>
      <c r="AB29" s="97"/>
    </row>
    <row r="30" spans="1:28" ht="12.75" customHeight="1" x14ac:dyDescent="0.3">
      <c r="A30" s="712">
        <v>2</v>
      </c>
      <c r="B30" s="714" t="s">
        <v>256</v>
      </c>
      <c r="C30" s="722" t="s">
        <v>257</v>
      </c>
      <c r="D30" s="240" t="s">
        <v>258</v>
      </c>
      <c r="E30" s="736" t="s">
        <v>259</v>
      </c>
      <c r="F30" s="282">
        <v>1964</v>
      </c>
      <c r="G30" s="283" t="s">
        <v>91</v>
      </c>
      <c r="H30" s="283"/>
      <c r="I30" s="274" t="s">
        <v>251</v>
      </c>
      <c r="J30" s="282">
        <v>30784</v>
      </c>
      <c r="K30" s="284">
        <v>29615</v>
      </c>
      <c r="L30" s="282">
        <v>3535</v>
      </c>
      <c r="M30" s="285">
        <v>39</v>
      </c>
      <c r="N30" s="286">
        <v>2769</v>
      </c>
      <c r="O30" s="286">
        <v>17854</v>
      </c>
      <c r="P30" s="348">
        <v>11470</v>
      </c>
      <c r="Q30" s="335">
        <v>12096</v>
      </c>
      <c r="R30" s="426">
        <v>10616</v>
      </c>
      <c r="S30" s="346">
        <v>118778</v>
      </c>
      <c r="T30" s="97"/>
      <c r="U30" s="97"/>
      <c r="V30" s="97"/>
      <c r="W30" s="97"/>
      <c r="X30" s="97"/>
      <c r="Y30" s="97"/>
      <c r="Z30" s="97"/>
      <c r="AA30" s="97"/>
      <c r="AB30" s="97"/>
    </row>
    <row r="31" spans="1:28" ht="12.75" customHeight="1" x14ac:dyDescent="0.3">
      <c r="A31" s="713"/>
      <c r="B31" s="715"/>
      <c r="C31" s="723"/>
      <c r="D31" s="241" t="s">
        <v>260</v>
      </c>
      <c r="E31" s="737"/>
      <c r="F31" s="275">
        <v>1964</v>
      </c>
      <c r="G31" s="287" t="s">
        <v>91</v>
      </c>
      <c r="H31" s="287"/>
      <c r="I31" s="274" t="s">
        <v>251</v>
      </c>
      <c r="J31" s="275">
        <v>24729</v>
      </c>
      <c r="K31" s="276">
        <v>23495</v>
      </c>
      <c r="L31" s="275">
        <v>2869</v>
      </c>
      <c r="M31" s="275">
        <v>1305</v>
      </c>
      <c r="N31" s="288">
        <v>9208</v>
      </c>
      <c r="O31" s="286">
        <v>8597</v>
      </c>
      <c r="P31" s="348">
        <v>7522</v>
      </c>
      <c r="Q31" s="335">
        <v>7303</v>
      </c>
      <c r="R31" s="426">
        <v>4457</v>
      </c>
      <c r="S31" s="346">
        <v>89485</v>
      </c>
      <c r="T31" s="97"/>
      <c r="U31" s="97"/>
      <c r="V31" s="97"/>
      <c r="W31" s="97"/>
      <c r="X31" s="97"/>
      <c r="Y31" s="97"/>
      <c r="Z31" s="97"/>
      <c r="AA31" s="97"/>
      <c r="AB31" s="97"/>
    </row>
    <row r="32" spans="1:28" ht="12.75" customHeight="1" x14ac:dyDescent="0.3">
      <c r="A32" s="713"/>
      <c r="B32" s="715"/>
      <c r="C32" s="723"/>
      <c r="D32" s="241" t="s">
        <v>261</v>
      </c>
      <c r="E32" s="737"/>
      <c r="F32" s="275">
        <v>2009</v>
      </c>
      <c r="G32" s="287" t="s">
        <v>91</v>
      </c>
      <c r="H32" s="287" t="s">
        <v>91</v>
      </c>
      <c r="I32" s="274" t="s">
        <v>251</v>
      </c>
      <c r="J32" s="277">
        <v>182</v>
      </c>
      <c r="K32" s="289">
        <v>62</v>
      </c>
      <c r="L32" s="277"/>
      <c r="M32" s="277" t="s">
        <v>262</v>
      </c>
      <c r="N32" s="277">
        <v>129</v>
      </c>
      <c r="O32" s="278">
        <v>15</v>
      </c>
      <c r="P32" s="349">
        <v>58</v>
      </c>
      <c r="Q32" s="336">
        <v>138</v>
      </c>
      <c r="R32" s="428">
        <v>17</v>
      </c>
      <c r="S32" s="350">
        <v>601</v>
      </c>
      <c r="T32" s="97"/>
      <c r="U32" s="97"/>
      <c r="V32" s="97"/>
      <c r="W32" s="97"/>
      <c r="X32" s="97"/>
      <c r="Y32" s="97"/>
      <c r="Z32" s="97"/>
      <c r="AA32" s="97"/>
      <c r="AB32" s="97"/>
    </row>
    <row r="33" spans="1:28" ht="12.75" customHeight="1" x14ac:dyDescent="0.3">
      <c r="A33" s="713"/>
      <c r="B33" s="715"/>
      <c r="C33" s="723"/>
      <c r="D33" s="241" t="s">
        <v>263</v>
      </c>
      <c r="E33" s="737"/>
      <c r="F33" s="275">
        <v>2009</v>
      </c>
      <c r="G33" s="287"/>
      <c r="H33" s="287" t="s">
        <v>91</v>
      </c>
      <c r="I33" s="274" t="s">
        <v>251</v>
      </c>
      <c r="J33" s="277"/>
      <c r="K33" s="289"/>
      <c r="L33" s="277"/>
      <c r="M33" s="277"/>
      <c r="N33" s="277"/>
      <c r="O33" s="278"/>
      <c r="P33" s="349">
        <v>49</v>
      </c>
      <c r="Q33" s="336">
        <v>52</v>
      </c>
      <c r="R33" s="428">
        <v>62</v>
      </c>
      <c r="S33" s="350">
        <v>163</v>
      </c>
      <c r="T33" s="97"/>
      <c r="U33" s="97"/>
      <c r="V33" s="97"/>
      <c r="W33" s="97"/>
      <c r="X33" s="97"/>
      <c r="Y33" s="97"/>
      <c r="Z33" s="97"/>
      <c r="AA33" s="97"/>
      <c r="AB33" s="97"/>
    </row>
    <row r="34" spans="1:28" ht="12.75" customHeight="1" x14ac:dyDescent="0.3">
      <c r="A34" s="713"/>
      <c r="B34" s="715"/>
      <c r="C34" s="723"/>
      <c r="D34" s="241" t="s">
        <v>264</v>
      </c>
      <c r="E34" s="737"/>
      <c r="F34" s="275">
        <v>2009</v>
      </c>
      <c r="G34" s="287" t="s">
        <v>91</v>
      </c>
      <c r="H34" s="287" t="s">
        <v>91</v>
      </c>
      <c r="I34" s="274" t="s">
        <v>251</v>
      </c>
      <c r="J34" s="277">
        <v>894</v>
      </c>
      <c r="K34" s="276">
        <v>1286</v>
      </c>
      <c r="L34" s="277"/>
      <c r="M34" s="277"/>
      <c r="N34" s="290">
        <v>284</v>
      </c>
      <c r="O34" s="278">
        <v>854</v>
      </c>
      <c r="P34" s="349">
        <v>3024</v>
      </c>
      <c r="Q34" s="337">
        <v>2420</v>
      </c>
      <c r="R34" s="428">
        <v>700</v>
      </c>
      <c r="S34" s="346">
        <v>9462</v>
      </c>
      <c r="T34" s="97"/>
      <c r="U34" s="97"/>
      <c r="V34" s="97"/>
      <c r="W34" s="97"/>
      <c r="X34" s="97"/>
      <c r="Y34" s="97"/>
      <c r="Z34" s="97"/>
      <c r="AA34" s="97"/>
      <c r="AB34" s="97"/>
    </row>
    <row r="35" spans="1:28" ht="12.75" customHeight="1" x14ac:dyDescent="0.3">
      <c r="A35" s="713"/>
      <c r="B35" s="715"/>
      <c r="C35" s="723"/>
      <c r="D35" s="734" t="s">
        <v>268</v>
      </c>
      <c r="E35" s="737"/>
      <c r="F35" s="299">
        <v>2009</v>
      </c>
      <c r="G35" s="728" t="s">
        <v>91</v>
      </c>
      <c r="H35" s="728" t="s">
        <v>674</v>
      </c>
      <c r="I35" s="728" t="s">
        <v>251</v>
      </c>
      <c r="J35" s="740">
        <v>375</v>
      </c>
      <c r="K35" s="742">
        <v>301</v>
      </c>
      <c r="L35" s="740">
        <v>107</v>
      </c>
      <c r="M35" s="740">
        <v>187</v>
      </c>
      <c r="N35" s="740">
        <v>223</v>
      </c>
      <c r="O35" s="781">
        <v>122</v>
      </c>
      <c r="P35" s="783">
        <v>13</v>
      </c>
      <c r="Q35" s="771">
        <v>22</v>
      </c>
      <c r="R35" s="786" t="s">
        <v>673</v>
      </c>
      <c r="S35" s="752">
        <v>1350</v>
      </c>
      <c r="T35" s="97"/>
      <c r="U35" s="97"/>
      <c r="V35" s="97"/>
      <c r="W35" s="97"/>
      <c r="X35" s="97"/>
      <c r="Y35" s="97"/>
      <c r="Z35" s="97"/>
      <c r="AA35" s="97"/>
      <c r="AB35" s="97"/>
    </row>
    <row r="36" spans="1:28" ht="12.75" customHeight="1" x14ac:dyDescent="0.3">
      <c r="A36" s="713"/>
      <c r="B36" s="715"/>
      <c r="C36" s="723"/>
      <c r="D36" s="735"/>
      <c r="E36" s="737"/>
      <c r="F36" s="312">
        <v>2020</v>
      </c>
      <c r="G36" s="729"/>
      <c r="H36" s="729"/>
      <c r="I36" s="729"/>
      <c r="J36" s="741"/>
      <c r="K36" s="743"/>
      <c r="L36" s="741"/>
      <c r="M36" s="741"/>
      <c r="N36" s="741"/>
      <c r="O36" s="782"/>
      <c r="P36" s="784"/>
      <c r="Q36" s="772"/>
      <c r="R36" s="787"/>
      <c r="S36" s="753"/>
      <c r="T36" s="97"/>
      <c r="U36" s="97"/>
      <c r="V36" s="97"/>
      <c r="W36" s="97"/>
      <c r="X36" s="97"/>
      <c r="Y36" s="97"/>
      <c r="Z36" s="97"/>
      <c r="AA36" s="97"/>
      <c r="AB36" s="97"/>
    </row>
    <row r="37" spans="1:28" ht="12.75" customHeight="1" x14ac:dyDescent="0.3">
      <c r="A37" s="713"/>
      <c r="B37" s="715"/>
      <c r="C37" s="724"/>
      <c r="D37" s="241" t="s">
        <v>269</v>
      </c>
      <c r="E37" s="737"/>
      <c r="F37" s="275">
        <v>2013</v>
      </c>
      <c r="G37" s="287" t="s">
        <v>91</v>
      </c>
      <c r="H37" s="287" t="s">
        <v>674</v>
      </c>
      <c r="I37" s="287" t="s">
        <v>267</v>
      </c>
      <c r="J37" s="277">
        <v>30</v>
      </c>
      <c r="K37" s="289">
        <v>33</v>
      </c>
      <c r="L37" s="277"/>
      <c r="M37" s="277">
        <v>261</v>
      </c>
      <c r="N37" s="277">
        <v>109</v>
      </c>
      <c r="O37" s="278">
        <v>75</v>
      </c>
      <c r="P37" s="349">
        <v>4</v>
      </c>
      <c r="Q37" s="336"/>
      <c r="R37" s="428" t="s">
        <v>1253</v>
      </c>
      <c r="S37" s="350">
        <v>512</v>
      </c>
      <c r="T37" s="97"/>
      <c r="U37" s="97"/>
      <c r="V37" s="97"/>
      <c r="W37" s="97"/>
      <c r="X37" s="97"/>
      <c r="Y37" s="97"/>
      <c r="Z37" s="97"/>
      <c r="AA37" s="97"/>
      <c r="AB37" s="97"/>
    </row>
    <row r="38" spans="1:28" ht="12.75" customHeight="1" x14ac:dyDescent="0.3">
      <c r="A38" s="713"/>
      <c r="B38" s="715"/>
      <c r="C38" s="717" t="s">
        <v>270</v>
      </c>
      <c r="D38" s="241" t="s">
        <v>271</v>
      </c>
      <c r="E38" s="737"/>
      <c r="F38" s="275">
        <v>2006</v>
      </c>
      <c r="G38" s="287" t="s">
        <v>91</v>
      </c>
      <c r="H38" s="287" t="s">
        <v>674</v>
      </c>
      <c r="I38" s="287" t="s">
        <v>251</v>
      </c>
      <c r="J38" s="277"/>
      <c r="K38" s="289"/>
      <c r="L38" s="277"/>
      <c r="M38" s="277"/>
      <c r="N38" s="290"/>
      <c r="O38" s="286">
        <v>8558</v>
      </c>
      <c r="P38" s="347">
        <v>1075</v>
      </c>
      <c r="Q38" s="335">
        <v>1624</v>
      </c>
      <c r="R38" s="427">
        <v>152</v>
      </c>
      <c r="S38" s="346">
        <v>11409</v>
      </c>
      <c r="T38" s="97"/>
      <c r="U38" s="97"/>
      <c r="V38" s="97"/>
      <c r="W38" s="97"/>
      <c r="X38" s="97"/>
      <c r="Y38" s="97"/>
      <c r="Z38" s="97"/>
      <c r="AA38" s="97"/>
      <c r="AB38" s="97"/>
    </row>
    <row r="39" spans="1:28" ht="12.75" customHeight="1" x14ac:dyDescent="0.3">
      <c r="A39" s="713"/>
      <c r="B39" s="715"/>
      <c r="C39" s="739"/>
      <c r="D39" s="241" t="s">
        <v>272</v>
      </c>
      <c r="E39" s="737"/>
      <c r="F39" s="275">
        <v>2006</v>
      </c>
      <c r="G39" s="287"/>
      <c r="H39" s="287" t="s">
        <v>674</v>
      </c>
      <c r="I39" s="287" t="s">
        <v>251</v>
      </c>
      <c r="J39" s="277"/>
      <c r="K39" s="289"/>
      <c r="L39" s="277"/>
      <c r="M39" s="277"/>
      <c r="N39" s="290"/>
      <c r="O39" s="286">
        <v>3524</v>
      </c>
      <c r="P39" s="347">
        <v>1997</v>
      </c>
      <c r="Q39" s="335">
        <v>2708</v>
      </c>
      <c r="R39" s="426">
        <v>1084</v>
      </c>
      <c r="S39" s="346">
        <v>9313</v>
      </c>
      <c r="T39" s="97"/>
      <c r="U39" s="97"/>
      <c r="V39" s="97"/>
      <c r="W39" s="97"/>
      <c r="X39" s="97"/>
      <c r="Y39" s="97"/>
      <c r="Z39" s="97"/>
      <c r="AA39" s="97"/>
      <c r="AB39" s="97"/>
    </row>
    <row r="40" spans="1:28" ht="12.75" customHeight="1" x14ac:dyDescent="0.3">
      <c r="A40" s="713"/>
      <c r="B40" s="715"/>
      <c r="C40" s="718"/>
      <c r="D40" s="241" t="s">
        <v>273</v>
      </c>
      <c r="E40" s="738"/>
      <c r="F40" s="275">
        <v>2006</v>
      </c>
      <c r="G40" s="287"/>
      <c r="H40" s="287" t="s">
        <v>674</v>
      </c>
      <c r="I40" s="287" t="s">
        <v>251</v>
      </c>
      <c r="J40" s="277"/>
      <c r="K40" s="289"/>
      <c r="L40" s="275">
        <v>7200</v>
      </c>
      <c r="M40" s="275">
        <v>1002</v>
      </c>
      <c r="N40" s="275">
        <v>7068</v>
      </c>
      <c r="O40" s="279">
        <v>2400</v>
      </c>
      <c r="P40" s="347">
        <v>4778</v>
      </c>
      <c r="Q40" s="335">
        <v>4289</v>
      </c>
      <c r="R40" s="426">
        <v>1721</v>
      </c>
      <c r="S40" s="346">
        <v>28458</v>
      </c>
      <c r="T40" s="97"/>
      <c r="U40" s="97"/>
      <c r="V40" s="97"/>
      <c r="W40" s="97"/>
      <c r="X40" s="97"/>
      <c r="Y40" s="97"/>
      <c r="Z40" s="97"/>
      <c r="AA40" s="97"/>
      <c r="AB40" s="97"/>
    </row>
    <row r="41" spans="1:28" ht="12.75" customHeight="1" x14ac:dyDescent="0.3">
      <c r="A41" s="754"/>
      <c r="B41" s="716"/>
      <c r="C41" s="242" t="s">
        <v>274</v>
      </c>
      <c r="D41" s="241" t="s">
        <v>274</v>
      </c>
      <c r="E41" s="291" t="s">
        <v>275</v>
      </c>
      <c r="F41" s="275">
        <v>2018</v>
      </c>
      <c r="G41" s="287" t="s">
        <v>91</v>
      </c>
      <c r="H41" s="287"/>
      <c r="I41" s="287" t="s">
        <v>251</v>
      </c>
      <c r="J41" s="277">
        <v>614</v>
      </c>
      <c r="K41" s="289">
        <v>643</v>
      </c>
      <c r="L41" s="277"/>
      <c r="M41" s="277"/>
      <c r="N41" s="277" t="s">
        <v>276</v>
      </c>
      <c r="O41" s="290">
        <v>68</v>
      </c>
      <c r="P41" s="353">
        <v>490</v>
      </c>
      <c r="Q41" s="337">
        <v>1420</v>
      </c>
      <c r="R41" s="428">
        <v>18</v>
      </c>
      <c r="S41" s="346">
        <v>3253</v>
      </c>
      <c r="T41" s="97"/>
      <c r="U41" s="97"/>
      <c r="V41" s="97"/>
      <c r="W41" s="97"/>
      <c r="X41" s="97"/>
      <c r="Y41" s="97"/>
      <c r="Z41" s="97"/>
      <c r="AA41" s="97"/>
      <c r="AB41" s="97"/>
    </row>
    <row r="42" spans="1:28" ht="12.75" customHeight="1" x14ac:dyDescent="0.3">
      <c r="A42" s="712">
        <v>3</v>
      </c>
      <c r="B42" s="778" t="s">
        <v>277</v>
      </c>
      <c r="C42" s="717" t="s">
        <v>278</v>
      </c>
      <c r="D42" s="241" t="s">
        <v>279</v>
      </c>
      <c r="E42" s="736" t="s">
        <v>675</v>
      </c>
      <c r="F42" s="275">
        <v>2012</v>
      </c>
      <c r="G42" s="287" t="s">
        <v>91</v>
      </c>
      <c r="H42" s="287"/>
      <c r="I42" s="287" t="s">
        <v>251</v>
      </c>
      <c r="J42" s="275">
        <v>71455</v>
      </c>
      <c r="K42" s="275">
        <v>94599</v>
      </c>
      <c r="L42" s="275">
        <v>9845</v>
      </c>
      <c r="M42" s="275">
        <v>1800</v>
      </c>
      <c r="N42" s="288">
        <v>86239</v>
      </c>
      <c r="O42" s="292">
        <v>76589</v>
      </c>
      <c r="P42" s="354">
        <v>38117</v>
      </c>
      <c r="Q42" s="337">
        <v>53098</v>
      </c>
      <c r="R42" s="429">
        <v>33623</v>
      </c>
      <c r="S42" s="346">
        <v>465365</v>
      </c>
      <c r="T42" s="97"/>
      <c r="U42" s="97"/>
      <c r="V42" s="97"/>
      <c r="W42" s="97"/>
      <c r="X42" s="97"/>
      <c r="Y42" s="97"/>
      <c r="Z42" s="97"/>
      <c r="AA42" s="97"/>
      <c r="AB42" s="97"/>
    </row>
    <row r="43" spans="1:28" ht="12.75" customHeight="1" x14ac:dyDescent="0.3">
      <c r="A43" s="713"/>
      <c r="B43" s="779"/>
      <c r="C43" s="739"/>
      <c r="D43" s="241" t="s">
        <v>676</v>
      </c>
      <c r="E43" s="737"/>
      <c r="F43" s="275">
        <v>2018</v>
      </c>
      <c r="G43" s="287" t="s">
        <v>91</v>
      </c>
      <c r="H43" s="287"/>
      <c r="I43" s="287" t="s">
        <v>251</v>
      </c>
      <c r="J43" s="277">
        <v>96</v>
      </c>
      <c r="K43" s="277">
        <v>842</v>
      </c>
      <c r="L43" s="277" t="s">
        <v>677</v>
      </c>
      <c r="M43" s="277" t="s">
        <v>262</v>
      </c>
      <c r="N43" s="290">
        <v>593</v>
      </c>
      <c r="O43" s="292">
        <v>2678</v>
      </c>
      <c r="P43" s="354">
        <v>5731</v>
      </c>
      <c r="Q43" s="337">
        <v>8207</v>
      </c>
      <c r="R43" s="429">
        <v>5022</v>
      </c>
      <c r="S43" s="346">
        <v>23169</v>
      </c>
      <c r="T43" s="97"/>
      <c r="U43" s="97"/>
      <c r="V43" s="97"/>
      <c r="W43" s="97"/>
      <c r="X43" s="97"/>
      <c r="Y43" s="97"/>
      <c r="Z43" s="97"/>
      <c r="AA43" s="97"/>
      <c r="AB43" s="97"/>
    </row>
    <row r="44" spans="1:28" ht="12.75" customHeight="1" x14ac:dyDescent="0.3">
      <c r="A44" s="713"/>
      <c r="B44" s="779"/>
      <c r="C44" s="739"/>
      <c r="D44" s="241" t="s">
        <v>678</v>
      </c>
      <c r="E44" s="737"/>
      <c r="F44" s="275">
        <v>2018</v>
      </c>
      <c r="G44" s="287"/>
      <c r="H44" s="287"/>
      <c r="I44" s="287"/>
      <c r="J44" s="277"/>
      <c r="K44" s="277"/>
      <c r="L44" s="277"/>
      <c r="M44" s="277"/>
      <c r="N44" s="290"/>
      <c r="O44" s="278"/>
      <c r="P44" s="349"/>
      <c r="Q44" s="337">
        <v>6670</v>
      </c>
      <c r="R44" s="428">
        <v>352</v>
      </c>
      <c r="S44" s="346">
        <v>7022</v>
      </c>
      <c r="T44" s="97"/>
      <c r="U44" s="97"/>
      <c r="V44" s="97"/>
      <c r="W44" s="97"/>
      <c r="X44" s="97"/>
      <c r="Y44" s="97"/>
      <c r="Z44" s="97"/>
      <c r="AA44" s="97"/>
      <c r="AB44" s="97"/>
    </row>
    <row r="45" spans="1:28" ht="12.75" customHeight="1" x14ac:dyDescent="0.3">
      <c r="A45" s="713"/>
      <c r="B45" s="779"/>
      <c r="C45" s="739"/>
      <c r="D45" s="241" t="s">
        <v>281</v>
      </c>
      <c r="E45" s="737"/>
      <c r="F45" s="275">
        <v>2022</v>
      </c>
      <c r="G45" s="287" t="s">
        <v>91</v>
      </c>
      <c r="H45" s="287"/>
      <c r="I45" s="287" t="s">
        <v>251</v>
      </c>
      <c r="J45" s="277"/>
      <c r="K45" s="277"/>
      <c r="L45" s="277"/>
      <c r="M45" s="277"/>
      <c r="N45" s="290">
        <v>664</v>
      </c>
      <c r="O45" s="292">
        <v>3180</v>
      </c>
      <c r="P45" s="349">
        <v>1658</v>
      </c>
      <c r="Q45" s="337">
        <v>1108</v>
      </c>
      <c r="R45" s="428">
        <v>532</v>
      </c>
      <c r="S45" s="346">
        <v>7142</v>
      </c>
      <c r="T45" s="97"/>
      <c r="U45" s="97"/>
      <c r="V45" s="97"/>
      <c r="W45" s="97"/>
      <c r="X45" s="97"/>
      <c r="Y45" s="97"/>
      <c r="Z45" s="97"/>
      <c r="AA45" s="97"/>
      <c r="AB45" s="97"/>
    </row>
    <row r="46" spans="1:28" ht="12.75" customHeight="1" x14ac:dyDescent="0.3">
      <c r="A46" s="713"/>
      <c r="B46" s="779"/>
      <c r="C46" s="739"/>
      <c r="D46" s="241" t="s">
        <v>282</v>
      </c>
      <c r="E46" s="737"/>
      <c r="F46" s="275">
        <v>2014</v>
      </c>
      <c r="G46" s="287" t="s">
        <v>91</v>
      </c>
      <c r="H46" s="287"/>
      <c r="I46" s="287" t="s">
        <v>251</v>
      </c>
      <c r="J46" s="275">
        <v>1639</v>
      </c>
      <c r="K46" s="275">
        <v>1701</v>
      </c>
      <c r="L46" s="277">
        <v>356</v>
      </c>
      <c r="M46" s="277">
        <v>5</v>
      </c>
      <c r="N46" s="292">
        <v>7786</v>
      </c>
      <c r="O46" s="278">
        <v>268</v>
      </c>
      <c r="P46" s="349">
        <v>943</v>
      </c>
      <c r="Q46" s="337">
        <v>2225</v>
      </c>
      <c r="R46" s="429">
        <v>2838</v>
      </c>
      <c r="S46" s="346">
        <v>17761</v>
      </c>
      <c r="T46" s="97"/>
      <c r="U46" s="97"/>
      <c r="V46" s="97"/>
      <c r="W46" s="97"/>
      <c r="X46" s="97"/>
      <c r="Y46" s="97"/>
      <c r="Z46" s="97"/>
      <c r="AA46" s="97"/>
      <c r="AB46" s="97"/>
    </row>
    <row r="47" spans="1:28" ht="12.75" customHeight="1" x14ac:dyDescent="0.3">
      <c r="A47" s="713"/>
      <c r="B47" s="779"/>
      <c r="C47" s="739"/>
      <c r="D47" s="241" t="s">
        <v>679</v>
      </c>
      <c r="E47" s="737"/>
      <c r="F47" s="275">
        <v>2025</v>
      </c>
      <c r="G47" s="287" t="s">
        <v>91</v>
      </c>
      <c r="H47" s="287"/>
      <c r="I47" s="287"/>
      <c r="J47" s="277"/>
      <c r="K47" s="277"/>
      <c r="L47" s="277"/>
      <c r="M47" s="277"/>
      <c r="N47" s="278"/>
      <c r="O47" s="278"/>
      <c r="P47" s="349"/>
      <c r="Q47" s="336">
        <v>628</v>
      </c>
      <c r="R47" s="428">
        <v>873</v>
      </c>
      <c r="S47" s="346">
        <v>1501</v>
      </c>
      <c r="T47" s="97"/>
      <c r="U47" s="97"/>
      <c r="V47" s="97"/>
      <c r="W47" s="97"/>
      <c r="X47" s="97"/>
      <c r="Y47" s="97"/>
      <c r="Z47" s="97"/>
      <c r="AA47" s="97"/>
      <c r="AB47" s="97"/>
    </row>
    <row r="48" spans="1:28" ht="12.75" customHeight="1" x14ac:dyDescent="0.3">
      <c r="A48" s="713"/>
      <c r="B48" s="779"/>
      <c r="C48" s="739"/>
      <c r="D48" s="241" t="s">
        <v>283</v>
      </c>
      <c r="E48" s="737"/>
      <c r="F48" s="275">
        <v>2010</v>
      </c>
      <c r="G48" s="287" t="s">
        <v>91</v>
      </c>
      <c r="H48" s="287"/>
      <c r="I48" s="287" t="s">
        <v>251</v>
      </c>
      <c r="J48" s="275">
        <v>11605</v>
      </c>
      <c r="K48" s="275">
        <v>34925</v>
      </c>
      <c r="L48" s="277">
        <v>908</v>
      </c>
      <c r="M48" s="277" t="s">
        <v>262</v>
      </c>
      <c r="N48" s="288">
        <v>3687</v>
      </c>
      <c r="O48" s="278">
        <v>733</v>
      </c>
      <c r="P48" s="349">
        <v>1522</v>
      </c>
      <c r="Q48" s="336">
        <v>336</v>
      </c>
      <c r="R48" s="428"/>
      <c r="S48" s="346">
        <v>53716</v>
      </c>
      <c r="T48" s="97"/>
      <c r="U48" s="97"/>
      <c r="V48" s="97"/>
      <c r="W48" s="97"/>
      <c r="X48" s="97"/>
      <c r="Y48" s="97"/>
      <c r="Z48" s="97"/>
      <c r="AA48" s="97"/>
      <c r="AB48" s="97"/>
    </row>
    <row r="49" spans="1:28" ht="12.75" customHeight="1" x14ac:dyDescent="0.3">
      <c r="A49" s="713"/>
      <c r="B49" s="779"/>
      <c r="C49" s="718"/>
      <c r="D49" s="241" t="s">
        <v>284</v>
      </c>
      <c r="E49" s="737"/>
      <c r="F49" s="275">
        <v>2010</v>
      </c>
      <c r="G49" s="287" t="s">
        <v>91</v>
      </c>
      <c r="H49" s="287" t="s">
        <v>674</v>
      </c>
      <c r="I49" s="287" t="s">
        <v>251</v>
      </c>
      <c r="J49" s="275">
        <v>67792</v>
      </c>
      <c r="K49" s="275">
        <v>170299</v>
      </c>
      <c r="L49" s="275">
        <v>6809</v>
      </c>
      <c r="M49" s="277">
        <v>5</v>
      </c>
      <c r="N49" s="275">
        <v>93203</v>
      </c>
      <c r="O49" s="292">
        <v>2320</v>
      </c>
      <c r="P49" s="349">
        <v>1908</v>
      </c>
      <c r="Q49" s="337">
        <v>3035</v>
      </c>
      <c r="R49" s="429">
        <v>2545</v>
      </c>
      <c r="S49" s="346">
        <v>347916</v>
      </c>
      <c r="T49" s="97"/>
      <c r="U49" s="97"/>
      <c r="V49" s="97"/>
      <c r="W49" s="97"/>
      <c r="X49" s="97"/>
      <c r="Y49" s="97"/>
      <c r="Z49" s="97"/>
      <c r="AA49" s="97"/>
      <c r="AB49" s="97"/>
    </row>
    <row r="50" spans="1:28" ht="12.75" customHeight="1" x14ac:dyDescent="0.3">
      <c r="A50" s="713"/>
      <c r="B50" s="779"/>
      <c r="C50" s="717" t="s">
        <v>285</v>
      </c>
      <c r="D50" s="241" t="s">
        <v>286</v>
      </c>
      <c r="E50" s="737"/>
      <c r="F50" s="275">
        <v>2022</v>
      </c>
      <c r="G50" s="287" t="s">
        <v>91</v>
      </c>
      <c r="H50" s="287" t="s">
        <v>674</v>
      </c>
      <c r="I50" s="287" t="s">
        <v>251</v>
      </c>
      <c r="J50" s="277"/>
      <c r="K50" s="277"/>
      <c r="L50" s="277"/>
      <c r="M50" s="277"/>
      <c r="N50" s="277"/>
      <c r="O50" s="278">
        <v>244</v>
      </c>
      <c r="P50" s="349">
        <v>504</v>
      </c>
      <c r="Q50" s="336">
        <v>869</v>
      </c>
      <c r="R50" s="428">
        <v>8</v>
      </c>
      <c r="S50" s="346">
        <v>1625</v>
      </c>
      <c r="T50" s="97"/>
      <c r="U50" s="97"/>
      <c r="V50" s="97"/>
      <c r="W50" s="97"/>
      <c r="X50" s="97"/>
      <c r="Y50" s="97"/>
      <c r="Z50" s="97"/>
      <c r="AA50" s="97"/>
      <c r="AB50" s="97"/>
    </row>
    <row r="51" spans="1:28" ht="12.75" customHeight="1" x14ac:dyDescent="0.3">
      <c r="A51" s="713"/>
      <c r="B51" s="779"/>
      <c r="C51" s="739"/>
      <c r="D51" s="241" t="s">
        <v>287</v>
      </c>
      <c r="E51" s="737"/>
      <c r="F51" s="275">
        <v>2022</v>
      </c>
      <c r="G51" s="287" t="s">
        <v>91</v>
      </c>
      <c r="H51" s="287" t="s">
        <v>674</v>
      </c>
      <c r="I51" s="287" t="s">
        <v>251</v>
      </c>
      <c r="J51" s="277"/>
      <c r="K51" s="277"/>
      <c r="L51" s="277"/>
      <c r="M51" s="277"/>
      <c r="N51" s="277"/>
      <c r="O51" s="278">
        <v>552</v>
      </c>
      <c r="P51" s="349">
        <v>465</v>
      </c>
      <c r="Q51" s="336">
        <v>465</v>
      </c>
      <c r="R51" s="428"/>
      <c r="S51" s="346">
        <v>1482</v>
      </c>
      <c r="T51" s="97"/>
      <c r="U51" s="97"/>
      <c r="V51" s="97"/>
      <c r="W51" s="97"/>
      <c r="X51" s="97"/>
      <c r="Y51" s="97"/>
      <c r="Z51" s="97"/>
      <c r="AA51" s="97"/>
      <c r="AB51" s="97"/>
    </row>
    <row r="52" spans="1:28" ht="12.75" customHeight="1" x14ac:dyDescent="0.3">
      <c r="A52" s="713"/>
      <c r="B52" s="779"/>
      <c r="C52" s="739"/>
      <c r="D52" s="241" t="s">
        <v>288</v>
      </c>
      <c r="E52" s="737"/>
      <c r="F52" s="275">
        <v>2022</v>
      </c>
      <c r="G52" s="287" t="s">
        <v>91</v>
      </c>
      <c r="H52" s="287" t="s">
        <v>674</v>
      </c>
      <c r="I52" s="287" t="s">
        <v>251</v>
      </c>
      <c r="J52" s="277"/>
      <c r="K52" s="277"/>
      <c r="L52" s="277"/>
      <c r="M52" s="277"/>
      <c r="N52" s="277"/>
      <c r="O52" s="278">
        <v>144</v>
      </c>
      <c r="P52" s="349">
        <v>13</v>
      </c>
      <c r="Q52" s="336"/>
      <c r="R52" s="428"/>
      <c r="S52" s="350">
        <v>157</v>
      </c>
      <c r="T52" s="97"/>
      <c r="U52" s="97"/>
      <c r="V52" s="97"/>
      <c r="W52" s="97"/>
      <c r="X52" s="97"/>
      <c r="Y52" s="97"/>
      <c r="Z52" s="97"/>
      <c r="AA52" s="97"/>
      <c r="AB52" s="97"/>
    </row>
    <row r="53" spans="1:28" ht="12.75" customHeight="1" x14ac:dyDescent="0.3">
      <c r="A53" s="754"/>
      <c r="B53" s="780"/>
      <c r="C53" s="718"/>
      <c r="D53" s="241" t="s">
        <v>289</v>
      </c>
      <c r="E53" s="738"/>
      <c r="F53" s="275">
        <v>2022</v>
      </c>
      <c r="G53" s="287"/>
      <c r="H53" s="287" t="s">
        <v>674</v>
      </c>
      <c r="I53" s="287" t="s">
        <v>251</v>
      </c>
      <c r="J53" s="277"/>
      <c r="K53" s="277"/>
      <c r="L53" s="277"/>
      <c r="M53" s="277"/>
      <c r="N53" s="277"/>
      <c r="O53" s="278">
        <v>88</v>
      </c>
      <c r="P53" s="349">
        <v>57</v>
      </c>
      <c r="Q53" s="336"/>
      <c r="R53" s="428"/>
      <c r="S53" s="350">
        <v>145</v>
      </c>
      <c r="T53" s="97"/>
      <c r="U53" s="97"/>
      <c r="V53" s="97"/>
      <c r="W53" s="97"/>
      <c r="X53" s="97"/>
      <c r="Y53" s="97"/>
      <c r="Z53" s="97"/>
      <c r="AA53" s="97"/>
      <c r="AB53" s="97"/>
    </row>
    <row r="54" spans="1:28" ht="12.75" customHeight="1" x14ac:dyDescent="0.3">
      <c r="A54" s="712">
        <v>4</v>
      </c>
      <c r="B54" s="805" t="s">
        <v>290</v>
      </c>
      <c r="C54" s="717" t="s">
        <v>291</v>
      </c>
      <c r="D54" s="241" t="s">
        <v>680</v>
      </c>
      <c r="E54" s="736" t="s">
        <v>292</v>
      </c>
      <c r="F54" s="293">
        <v>2023</v>
      </c>
      <c r="G54" s="287" t="s">
        <v>91</v>
      </c>
      <c r="H54" s="287"/>
      <c r="I54" s="287" t="s">
        <v>267</v>
      </c>
      <c r="J54" s="277"/>
      <c r="K54" s="277"/>
      <c r="L54" s="277"/>
      <c r="M54" s="277"/>
      <c r="N54" s="277"/>
      <c r="O54" s="278">
        <v>73</v>
      </c>
      <c r="P54" s="349">
        <v>30</v>
      </c>
      <c r="Q54" s="337">
        <v>1697</v>
      </c>
      <c r="R54" s="428">
        <v>258</v>
      </c>
      <c r="S54" s="346">
        <v>2058</v>
      </c>
      <c r="T54" s="97"/>
      <c r="U54" s="97"/>
      <c r="V54" s="97"/>
      <c r="W54" s="97"/>
      <c r="X54" s="97"/>
      <c r="Y54" s="97"/>
      <c r="Z54" s="97"/>
      <c r="AA54" s="97"/>
      <c r="AB54" s="97"/>
    </row>
    <row r="55" spans="1:28" ht="12.75" customHeight="1" x14ac:dyDescent="0.3">
      <c r="A55" s="713"/>
      <c r="B55" s="797"/>
      <c r="C55" s="739"/>
      <c r="D55" s="241" t="s">
        <v>293</v>
      </c>
      <c r="E55" s="737"/>
      <c r="F55" s="293">
        <v>2023</v>
      </c>
      <c r="G55" s="287" t="s">
        <v>91</v>
      </c>
      <c r="H55" s="287"/>
      <c r="I55" s="287" t="s">
        <v>267</v>
      </c>
      <c r="J55" s="277"/>
      <c r="K55" s="277"/>
      <c r="L55" s="277"/>
      <c r="M55" s="277"/>
      <c r="N55" s="277"/>
      <c r="O55" s="278">
        <v>25</v>
      </c>
      <c r="P55" s="349"/>
      <c r="Q55" s="336"/>
      <c r="R55" s="428"/>
      <c r="S55" s="350">
        <v>25</v>
      </c>
      <c r="T55" s="97"/>
      <c r="U55" s="97"/>
      <c r="V55" s="97"/>
      <c r="W55" s="97"/>
      <c r="X55" s="97"/>
      <c r="Y55" s="97"/>
      <c r="Z55" s="97"/>
      <c r="AA55" s="97"/>
      <c r="AB55" s="97"/>
    </row>
    <row r="56" spans="1:28" ht="12.75" customHeight="1" x14ac:dyDescent="0.3">
      <c r="A56" s="713"/>
      <c r="B56" s="797"/>
      <c r="C56" s="739"/>
      <c r="D56" s="241" t="s">
        <v>551</v>
      </c>
      <c r="E56" s="737"/>
      <c r="F56" s="293">
        <v>2023</v>
      </c>
      <c r="G56" s="287" t="s">
        <v>91</v>
      </c>
      <c r="H56" s="287"/>
      <c r="I56" s="287" t="s">
        <v>251</v>
      </c>
      <c r="J56" s="277"/>
      <c r="K56" s="277"/>
      <c r="L56" s="277"/>
      <c r="M56" s="277"/>
      <c r="N56" s="277"/>
      <c r="O56" s="278">
        <v>46</v>
      </c>
      <c r="P56" s="349">
        <v>22</v>
      </c>
      <c r="Q56" s="336">
        <v>26</v>
      </c>
      <c r="R56" s="428">
        <v>9</v>
      </c>
      <c r="S56" s="350">
        <v>103</v>
      </c>
      <c r="T56" s="97"/>
      <c r="U56" s="97"/>
      <c r="V56" s="97"/>
      <c r="W56" s="97"/>
      <c r="X56" s="97"/>
      <c r="Y56" s="97"/>
      <c r="Z56" s="97"/>
      <c r="AA56" s="97"/>
      <c r="AB56" s="97"/>
    </row>
    <row r="57" spans="1:28" ht="12.75" customHeight="1" x14ac:dyDescent="0.3">
      <c r="A57" s="713"/>
      <c r="B57" s="797"/>
      <c r="C57" s="718"/>
      <c r="D57" s="241" t="s">
        <v>295</v>
      </c>
      <c r="E57" s="737"/>
      <c r="F57" s="293">
        <v>2024</v>
      </c>
      <c r="G57" s="287" t="s">
        <v>91</v>
      </c>
      <c r="H57" s="287"/>
      <c r="I57" s="287" t="s">
        <v>251</v>
      </c>
      <c r="J57" s="277"/>
      <c r="K57" s="277"/>
      <c r="L57" s="277"/>
      <c r="M57" s="277"/>
      <c r="N57" s="277"/>
      <c r="O57" s="278">
        <v>12</v>
      </c>
      <c r="P57" s="349"/>
      <c r="Q57" s="336"/>
      <c r="R57" s="428"/>
      <c r="S57" s="350">
        <v>12</v>
      </c>
      <c r="T57" s="97"/>
      <c r="U57" s="97"/>
      <c r="V57" s="97"/>
      <c r="W57" s="97"/>
      <c r="X57" s="97"/>
      <c r="Y57" s="97"/>
      <c r="Z57" s="97"/>
      <c r="AA57" s="97"/>
      <c r="AB57" s="97"/>
    </row>
    <row r="58" spans="1:28" ht="12.75" customHeight="1" x14ac:dyDescent="0.3">
      <c r="A58" s="754"/>
      <c r="B58" s="798"/>
      <c r="C58" s="294" t="s">
        <v>296</v>
      </c>
      <c r="D58" s="241" t="s">
        <v>297</v>
      </c>
      <c r="E58" s="738"/>
      <c r="F58" s="293">
        <v>2023</v>
      </c>
      <c r="G58" s="287" t="s">
        <v>91</v>
      </c>
      <c r="H58" s="287"/>
      <c r="I58" s="287" t="s">
        <v>251</v>
      </c>
      <c r="J58" s="277"/>
      <c r="K58" s="277"/>
      <c r="L58" s="277"/>
      <c r="M58" s="277"/>
      <c r="N58" s="277"/>
      <c r="O58" s="278"/>
      <c r="P58" s="349">
        <v>118</v>
      </c>
      <c r="Q58" s="336">
        <v>73</v>
      </c>
      <c r="R58" s="428">
        <v>64</v>
      </c>
      <c r="S58" s="350">
        <v>255</v>
      </c>
      <c r="T58" s="97"/>
      <c r="U58" s="97"/>
      <c r="V58" s="97"/>
      <c r="W58" s="97"/>
      <c r="X58" s="97"/>
      <c r="Y58" s="97"/>
      <c r="Z58" s="97"/>
      <c r="AA58" s="97"/>
      <c r="AB58" s="97"/>
    </row>
    <row r="59" spans="1:28" ht="43.8" customHeight="1" x14ac:dyDescent="0.3">
      <c r="A59" s="712">
        <v>5</v>
      </c>
      <c r="B59" s="773" t="s">
        <v>298</v>
      </c>
      <c r="C59" s="732" t="s">
        <v>299</v>
      </c>
      <c r="D59" s="295" t="s">
        <v>680</v>
      </c>
      <c r="E59" s="719" t="s">
        <v>300</v>
      </c>
      <c r="F59" s="293">
        <v>2023</v>
      </c>
      <c r="G59" s="287" t="s">
        <v>91</v>
      </c>
      <c r="H59" s="287" t="s">
        <v>91</v>
      </c>
      <c r="I59" s="287" t="s">
        <v>251</v>
      </c>
      <c r="J59" s="277"/>
      <c r="K59" s="277"/>
      <c r="L59" s="277"/>
      <c r="M59" s="277"/>
      <c r="N59" s="277"/>
      <c r="O59" s="278">
        <v>467</v>
      </c>
      <c r="P59" s="349">
        <v>277</v>
      </c>
      <c r="Q59" s="337">
        <v>2074</v>
      </c>
      <c r="R59" s="429">
        <v>1227</v>
      </c>
      <c r="S59" s="346">
        <v>4045</v>
      </c>
      <c r="T59" s="97"/>
      <c r="U59" s="97"/>
      <c r="V59" s="97"/>
      <c r="W59" s="97"/>
      <c r="X59" s="97"/>
      <c r="Y59" s="97"/>
      <c r="Z59" s="97"/>
      <c r="AA59" s="97"/>
      <c r="AB59" s="97"/>
    </row>
    <row r="60" spans="1:28" ht="12.75" customHeight="1" x14ac:dyDescent="0.3">
      <c r="A60" s="713"/>
      <c r="B60" s="774"/>
      <c r="C60" s="776"/>
      <c r="D60" s="296" t="s">
        <v>294</v>
      </c>
      <c r="E60" s="720"/>
      <c r="F60" s="293">
        <v>2023</v>
      </c>
      <c r="G60" s="287" t="s">
        <v>91</v>
      </c>
      <c r="H60" s="298" t="s">
        <v>91</v>
      </c>
      <c r="I60" s="298"/>
      <c r="J60" s="299"/>
      <c r="K60" s="299"/>
      <c r="L60" s="299"/>
      <c r="M60" s="299"/>
      <c r="N60" s="299"/>
      <c r="O60" s="300"/>
      <c r="P60" s="352"/>
      <c r="Q60" s="336">
        <v>13</v>
      </c>
      <c r="R60" s="428">
        <v>19</v>
      </c>
      <c r="S60" s="350">
        <v>32</v>
      </c>
      <c r="T60" s="97"/>
      <c r="U60" s="97"/>
      <c r="V60" s="97"/>
      <c r="W60" s="97"/>
      <c r="X60" s="97"/>
      <c r="Y60" s="97"/>
      <c r="Z60" s="97"/>
      <c r="AA60" s="97"/>
      <c r="AB60" s="97"/>
    </row>
    <row r="61" spans="1:28" ht="12.75" customHeight="1" x14ac:dyDescent="0.3">
      <c r="A61" s="754"/>
      <c r="B61" s="775"/>
      <c r="C61" s="733"/>
      <c r="D61" s="296" t="s">
        <v>681</v>
      </c>
      <c r="E61" s="777"/>
      <c r="F61" s="297">
        <v>2023</v>
      </c>
      <c r="G61" s="298" t="s">
        <v>91</v>
      </c>
      <c r="H61" s="298"/>
      <c r="I61" s="298" t="s">
        <v>251</v>
      </c>
      <c r="J61" s="299"/>
      <c r="K61" s="299"/>
      <c r="L61" s="299"/>
      <c r="M61" s="299"/>
      <c r="N61" s="299"/>
      <c r="O61" s="300">
        <v>2</v>
      </c>
      <c r="P61" s="352">
        <v>2</v>
      </c>
      <c r="Q61" s="336">
        <v>5</v>
      </c>
      <c r="R61" s="428">
        <v>2</v>
      </c>
      <c r="S61" s="350">
        <v>11</v>
      </c>
      <c r="T61" s="97"/>
      <c r="U61" s="97"/>
      <c r="V61" s="97"/>
      <c r="W61" s="97"/>
      <c r="X61" s="97"/>
      <c r="Y61" s="97"/>
      <c r="Z61" s="97"/>
      <c r="AA61" s="97"/>
      <c r="AB61" s="97"/>
    </row>
    <row r="62" spans="1:28" ht="12.75" customHeight="1" x14ac:dyDescent="0.3">
      <c r="A62" s="712">
        <v>6</v>
      </c>
      <c r="B62" s="788" t="s">
        <v>301</v>
      </c>
      <c r="C62" s="712" t="s">
        <v>552</v>
      </c>
      <c r="D62" s="757" t="s">
        <v>682</v>
      </c>
      <c r="E62" s="329" t="s">
        <v>683</v>
      </c>
      <c r="F62" s="761">
        <v>2004</v>
      </c>
      <c r="G62" s="759"/>
      <c r="H62" s="759" t="s">
        <v>91</v>
      </c>
      <c r="I62" s="759" t="s">
        <v>251</v>
      </c>
      <c r="J62" s="763">
        <v>1063790</v>
      </c>
      <c r="K62" s="763">
        <v>785338</v>
      </c>
      <c r="L62" s="763">
        <v>341610</v>
      </c>
      <c r="M62" s="763">
        <v>157409</v>
      </c>
      <c r="N62" s="761">
        <v>481226</v>
      </c>
      <c r="O62" s="744">
        <v>496576</v>
      </c>
      <c r="P62" s="744">
        <v>3183742</v>
      </c>
      <c r="Q62" s="750">
        <v>5954782</v>
      </c>
      <c r="R62" s="791">
        <v>2340707</v>
      </c>
      <c r="S62" s="752">
        <v>14805180</v>
      </c>
      <c r="T62" s="97"/>
      <c r="U62" s="97"/>
      <c r="V62" s="97"/>
      <c r="W62" s="97"/>
      <c r="X62" s="97"/>
      <c r="Y62" s="97"/>
      <c r="Z62" s="97"/>
      <c r="AA62" s="97"/>
      <c r="AB62" s="97"/>
    </row>
    <row r="63" spans="1:28" ht="12.75" customHeight="1" x14ac:dyDescent="0.3">
      <c r="A63" s="713"/>
      <c r="B63" s="789"/>
      <c r="C63" s="713"/>
      <c r="D63" s="758"/>
      <c r="E63" s="330" t="s">
        <v>684</v>
      </c>
      <c r="F63" s="762"/>
      <c r="G63" s="760"/>
      <c r="H63" s="760"/>
      <c r="I63" s="760"/>
      <c r="J63" s="764"/>
      <c r="K63" s="764"/>
      <c r="L63" s="764"/>
      <c r="M63" s="764"/>
      <c r="N63" s="762"/>
      <c r="O63" s="745"/>
      <c r="P63" s="745"/>
      <c r="Q63" s="751"/>
      <c r="R63" s="792"/>
      <c r="S63" s="753"/>
      <c r="T63" s="97"/>
      <c r="U63" s="97"/>
      <c r="V63" s="97"/>
      <c r="W63" s="97"/>
      <c r="X63" s="97"/>
      <c r="Y63" s="97"/>
      <c r="Z63" s="97"/>
      <c r="AA63" s="97"/>
      <c r="AB63" s="97"/>
    </row>
    <row r="64" spans="1:28" ht="12.75" customHeight="1" x14ac:dyDescent="0.3">
      <c r="A64" s="713"/>
      <c r="B64" s="789"/>
      <c r="C64" s="713"/>
      <c r="D64" s="301" t="s">
        <v>1254</v>
      </c>
      <c r="E64" s="302" t="s">
        <v>303</v>
      </c>
      <c r="F64" s="303">
        <v>2004</v>
      </c>
      <c r="G64" s="304"/>
      <c r="H64" s="304" t="s">
        <v>91</v>
      </c>
      <c r="I64" s="304" t="s">
        <v>251</v>
      </c>
      <c r="J64" s="303">
        <v>486067</v>
      </c>
      <c r="K64" s="305">
        <v>613212</v>
      </c>
      <c r="L64" s="303">
        <v>386456</v>
      </c>
      <c r="M64" s="303">
        <v>784376</v>
      </c>
      <c r="N64" s="303">
        <v>415530</v>
      </c>
      <c r="O64" s="306">
        <v>30711</v>
      </c>
      <c r="P64" s="355">
        <v>180444</v>
      </c>
      <c r="Q64" s="337">
        <v>68532</v>
      </c>
      <c r="R64" s="430">
        <v>28557</v>
      </c>
      <c r="S64" s="346">
        <v>2993885</v>
      </c>
      <c r="T64" s="97"/>
      <c r="U64" s="97"/>
      <c r="V64" s="97"/>
      <c r="W64" s="97"/>
      <c r="X64" s="97"/>
      <c r="Y64" s="97"/>
      <c r="Z64" s="97"/>
      <c r="AA64" s="97"/>
      <c r="AB64" s="97"/>
    </row>
    <row r="65" spans="1:28" ht="12.75" customHeight="1" x14ac:dyDescent="0.3">
      <c r="A65" s="713"/>
      <c r="B65" s="789"/>
      <c r="C65" s="713"/>
      <c r="D65" s="301" t="s">
        <v>685</v>
      </c>
      <c r="E65" s="301" t="s">
        <v>686</v>
      </c>
      <c r="F65" s="303">
        <v>2024</v>
      </c>
      <c r="G65" s="304"/>
      <c r="H65" s="304" t="s">
        <v>91</v>
      </c>
      <c r="I65" s="304" t="s">
        <v>251</v>
      </c>
      <c r="J65" s="307"/>
      <c r="K65" s="308"/>
      <c r="L65" s="307"/>
      <c r="M65" s="307"/>
      <c r="N65" s="307"/>
      <c r="O65" s="309"/>
      <c r="P65" s="355">
        <v>6679</v>
      </c>
      <c r="Q65" s="337">
        <v>54091</v>
      </c>
      <c r="R65" s="428"/>
      <c r="S65" s="346">
        <v>60770</v>
      </c>
      <c r="T65" s="97"/>
      <c r="U65" s="97"/>
      <c r="V65" s="97"/>
      <c r="W65" s="97"/>
      <c r="X65" s="97"/>
      <c r="Y65" s="97"/>
      <c r="Z65" s="97"/>
      <c r="AA65" s="97"/>
      <c r="AB65" s="97"/>
    </row>
    <row r="66" spans="1:28" ht="15" customHeight="1" x14ac:dyDescent="0.3">
      <c r="A66" s="713"/>
      <c r="B66" s="789"/>
      <c r="C66" s="713"/>
      <c r="D66" s="757" t="s">
        <v>304</v>
      </c>
      <c r="E66" s="329" t="s">
        <v>687</v>
      </c>
      <c r="F66" s="761">
        <v>2015</v>
      </c>
      <c r="G66" s="759"/>
      <c r="H66" s="759" t="s">
        <v>91</v>
      </c>
      <c r="I66" s="759" t="s">
        <v>251</v>
      </c>
      <c r="J66" s="761">
        <v>8723</v>
      </c>
      <c r="K66" s="763">
        <v>1785</v>
      </c>
      <c r="L66" s="761">
        <v>14785</v>
      </c>
      <c r="M66" s="769" t="s">
        <v>262</v>
      </c>
      <c r="N66" s="761">
        <v>2303</v>
      </c>
      <c r="O66" s="744">
        <v>60662</v>
      </c>
      <c r="P66" s="744">
        <v>56195</v>
      </c>
      <c r="Q66" s="771"/>
      <c r="R66" s="786"/>
      <c r="S66" s="752">
        <v>144453</v>
      </c>
      <c r="T66" s="97"/>
      <c r="U66" s="97"/>
      <c r="V66" s="97"/>
      <c r="W66" s="97"/>
      <c r="X66" s="97"/>
      <c r="Y66" s="97"/>
      <c r="Z66" s="97"/>
      <c r="AA66" s="97"/>
      <c r="AB66" s="97"/>
    </row>
    <row r="67" spans="1:28" ht="12.75" customHeight="1" x14ac:dyDescent="0.3">
      <c r="A67" s="713"/>
      <c r="B67" s="789"/>
      <c r="C67" s="754"/>
      <c r="D67" s="758"/>
      <c r="E67" s="330" t="s">
        <v>688</v>
      </c>
      <c r="F67" s="762"/>
      <c r="G67" s="760"/>
      <c r="H67" s="760"/>
      <c r="I67" s="760"/>
      <c r="J67" s="762"/>
      <c r="K67" s="764"/>
      <c r="L67" s="762"/>
      <c r="M67" s="770"/>
      <c r="N67" s="762"/>
      <c r="O67" s="745"/>
      <c r="P67" s="745"/>
      <c r="Q67" s="772"/>
      <c r="R67" s="787"/>
      <c r="S67" s="753"/>
      <c r="T67" s="97"/>
      <c r="U67" s="97"/>
      <c r="V67" s="97"/>
      <c r="W67" s="97"/>
      <c r="X67" s="97"/>
      <c r="Y67" s="97"/>
      <c r="Z67" s="97"/>
      <c r="AA67" s="97"/>
      <c r="AB67" s="97"/>
    </row>
    <row r="68" spans="1:28" ht="12.75" customHeight="1" x14ac:dyDescent="0.3">
      <c r="A68" s="713"/>
      <c r="B68" s="789"/>
      <c r="C68" s="722" t="s">
        <v>302</v>
      </c>
      <c r="D68" s="757" t="s">
        <v>305</v>
      </c>
      <c r="E68" s="329" t="s">
        <v>689</v>
      </c>
      <c r="F68" s="356">
        <v>2015</v>
      </c>
      <c r="G68" s="759" t="s">
        <v>91</v>
      </c>
      <c r="H68" s="759" t="s">
        <v>91</v>
      </c>
      <c r="I68" s="759" t="s">
        <v>251</v>
      </c>
      <c r="J68" s="761">
        <v>230551</v>
      </c>
      <c r="K68" s="763">
        <v>258209</v>
      </c>
      <c r="L68" s="761">
        <v>362508</v>
      </c>
      <c r="M68" s="761">
        <v>434188</v>
      </c>
      <c r="N68" s="761">
        <v>244651</v>
      </c>
      <c r="O68" s="744">
        <v>439893</v>
      </c>
      <c r="P68" s="744">
        <v>551352</v>
      </c>
      <c r="Q68" s="750">
        <v>272537</v>
      </c>
      <c r="R68" s="793">
        <v>97700</v>
      </c>
      <c r="S68" s="752">
        <v>2891589</v>
      </c>
      <c r="T68" s="97"/>
      <c r="U68" s="97"/>
      <c r="V68" s="97"/>
      <c r="W68" s="97"/>
      <c r="X68" s="97"/>
      <c r="Y68" s="97"/>
      <c r="Z68" s="97"/>
      <c r="AA68" s="97"/>
      <c r="AB68" s="97"/>
    </row>
    <row r="69" spans="1:28" ht="12.75" customHeight="1" x14ac:dyDescent="0.3">
      <c r="A69" s="713"/>
      <c r="B69" s="789"/>
      <c r="C69" s="723"/>
      <c r="D69" s="758"/>
      <c r="E69" s="330" t="s">
        <v>690</v>
      </c>
      <c r="F69" s="357" t="s">
        <v>691</v>
      </c>
      <c r="G69" s="760"/>
      <c r="H69" s="760"/>
      <c r="I69" s="760"/>
      <c r="J69" s="762"/>
      <c r="K69" s="764"/>
      <c r="L69" s="762"/>
      <c r="M69" s="762"/>
      <c r="N69" s="762"/>
      <c r="O69" s="745"/>
      <c r="P69" s="745"/>
      <c r="Q69" s="751"/>
      <c r="R69" s="794"/>
      <c r="S69" s="753"/>
      <c r="T69" s="97"/>
      <c r="U69" s="97"/>
      <c r="V69" s="97"/>
      <c r="W69" s="97"/>
      <c r="X69" s="97"/>
      <c r="Y69" s="97"/>
      <c r="Z69" s="97"/>
      <c r="AA69" s="97"/>
      <c r="AB69" s="97"/>
    </row>
    <row r="70" spans="1:28" ht="12.75" customHeight="1" x14ac:dyDescent="0.3">
      <c r="A70" s="713"/>
      <c r="B70" s="789"/>
      <c r="C70" s="723"/>
      <c r="D70" s="301" t="s">
        <v>1255</v>
      </c>
      <c r="E70" s="302"/>
      <c r="F70" s="307"/>
      <c r="G70" s="304"/>
      <c r="H70" s="304"/>
      <c r="I70" s="304"/>
      <c r="J70" s="307"/>
      <c r="K70" s="308"/>
      <c r="L70" s="307"/>
      <c r="M70" s="307"/>
      <c r="N70" s="307"/>
      <c r="O70" s="309"/>
      <c r="P70" s="358"/>
      <c r="Q70" s="336"/>
      <c r="R70" s="428">
        <v>707</v>
      </c>
      <c r="S70" s="350">
        <v>707</v>
      </c>
      <c r="T70" s="97"/>
      <c r="U70" s="97"/>
      <c r="V70" s="97"/>
      <c r="W70" s="97"/>
      <c r="X70" s="97"/>
      <c r="Y70" s="97"/>
      <c r="Z70" s="97"/>
      <c r="AA70" s="97"/>
      <c r="AB70" s="97"/>
    </row>
    <row r="71" spans="1:28" ht="25.5" customHeight="1" x14ac:dyDescent="0.3">
      <c r="A71" s="754"/>
      <c r="B71" s="790"/>
      <c r="C71" s="724"/>
      <c r="D71" s="301" t="s">
        <v>306</v>
      </c>
      <c r="E71" s="302" t="s">
        <v>307</v>
      </c>
      <c r="F71" s="303">
        <v>2022</v>
      </c>
      <c r="G71" s="304"/>
      <c r="H71" s="304" t="s">
        <v>91</v>
      </c>
      <c r="I71" s="304" t="s">
        <v>251</v>
      </c>
      <c r="J71" s="307"/>
      <c r="K71" s="308"/>
      <c r="L71" s="307"/>
      <c r="M71" s="307"/>
      <c r="N71" s="307"/>
      <c r="O71" s="306">
        <v>1885</v>
      </c>
      <c r="P71" s="358">
        <v>2124</v>
      </c>
      <c r="Q71" s="336">
        <v>943</v>
      </c>
      <c r="R71" s="428"/>
      <c r="S71" s="346">
        <v>4952</v>
      </c>
      <c r="T71" s="97"/>
      <c r="U71" s="97"/>
      <c r="V71" s="97"/>
      <c r="W71" s="97"/>
      <c r="X71" s="97"/>
      <c r="Y71" s="97"/>
      <c r="Z71" s="97"/>
      <c r="AA71" s="97"/>
      <c r="AB71" s="97"/>
    </row>
    <row r="72" spans="1:28" ht="12.75" customHeight="1" x14ac:dyDescent="0.3">
      <c r="A72" s="712">
        <v>7</v>
      </c>
      <c r="B72" s="714" t="s">
        <v>308</v>
      </c>
      <c r="C72" s="717" t="s">
        <v>309</v>
      </c>
      <c r="D72" s="262" t="s">
        <v>310</v>
      </c>
      <c r="E72" s="765" t="s">
        <v>311</v>
      </c>
      <c r="F72" s="310">
        <v>2023</v>
      </c>
      <c r="G72" s="311" t="s">
        <v>91</v>
      </c>
      <c r="H72" s="311"/>
      <c r="I72" s="311" t="s">
        <v>251</v>
      </c>
      <c r="J72" s="312"/>
      <c r="K72" s="313"/>
      <c r="L72" s="312"/>
      <c r="M72" s="312"/>
      <c r="N72" s="312"/>
      <c r="O72" s="314">
        <v>26</v>
      </c>
      <c r="P72" s="359">
        <v>12</v>
      </c>
      <c r="Q72" s="336">
        <v>840</v>
      </c>
      <c r="R72" s="428">
        <v>989</v>
      </c>
      <c r="S72" s="346">
        <v>1867</v>
      </c>
      <c r="T72" s="97"/>
      <c r="U72" s="97"/>
      <c r="V72" s="97"/>
      <c r="W72" s="97"/>
      <c r="X72" s="97"/>
      <c r="Y72" s="97"/>
      <c r="Z72" s="97"/>
      <c r="AA72" s="97"/>
      <c r="AB72" s="97"/>
    </row>
    <row r="73" spans="1:28" ht="63.75" customHeight="1" x14ac:dyDescent="0.3">
      <c r="A73" s="754"/>
      <c r="B73" s="716"/>
      <c r="C73" s="718"/>
      <c r="D73" s="241" t="s">
        <v>312</v>
      </c>
      <c r="E73" s="727"/>
      <c r="F73" s="293">
        <v>2025</v>
      </c>
      <c r="G73" s="287" t="s">
        <v>91</v>
      </c>
      <c r="H73" s="287"/>
      <c r="I73" s="287" t="s">
        <v>251</v>
      </c>
      <c r="J73" s="277"/>
      <c r="K73" s="289"/>
      <c r="L73" s="277"/>
      <c r="M73" s="277"/>
      <c r="N73" s="277"/>
      <c r="O73" s="290"/>
      <c r="P73" s="353">
        <v>46</v>
      </c>
      <c r="Q73" s="336">
        <v>158</v>
      </c>
      <c r="R73" s="428">
        <v>49</v>
      </c>
      <c r="S73" s="350">
        <v>253</v>
      </c>
      <c r="T73" s="97"/>
      <c r="U73" s="97"/>
      <c r="V73" s="97"/>
      <c r="W73" s="97"/>
      <c r="X73" s="97"/>
      <c r="Y73" s="97"/>
      <c r="Z73" s="97"/>
      <c r="AA73" s="97"/>
      <c r="AB73" s="97"/>
    </row>
    <row r="74" spans="1:28" ht="86.4" customHeight="1" x14ac:dyDescent="0.3">
      <c r="A74" s="712">
        <v>8</v>
      </c>
      <c r="B74" s="714" t="s">
        <v>313</v>
      </c>
      <c r="C74" s="332"/>
      <c r="D74" s="241" t="s">
        <v>1256</v>
      </c>
      <c r="E74" s="736" t="s">
        <v>314</v>
      </c>
      <c r="F74" s="275">
        <v>2023</v>
      </c>
      <c r="G74" s="287" t="s">
        <v>91</v>
      </c>
      <c r="H74" s="287" t="s">
        <v>91</v>
      </c>
      <c r="I74" s="287" t="s">
        <v>251</v>
      </c>
      <c r="J74" s="277"/>
      <c r="K74" s="277"/>
      <c r="L74" s="315"/>
      <c r="M74" s="315"/>
      <c r="N74" s="315"/>
      <c r="O74" s="290">
        <v>9</v>
      </c>
      <c r="P74" s="353">
        <v>355</v>
      </c>
      <c r="Q74" s="336">
        <v>295</v>
      </c>
      <c r="R74" s="428">
        <v>106</v>
      </c>
      <c r="S74" s="350">
        <v>765</v>
      </c>
      <c r="T74" s="97"/>
      <c r="U74" s="97"/>
      <c r="V74" s="97"/>
      <c r="W74" s="97"/>
      <c r="X74" s="97"/>
      <c r="Y74" s="97"/>
      <c r="Z74" s="97"/>
      <c r="AA74" s="97"/>
      <c r="AB74" s="97"/>
    </row>
    <row r="75" spans="1:28" ht="12.75" customHeight="1" x14ac:dyDescent="0.3">
      <c r="A75" s="713"/>
      <c r="B75" s="715"/>
      <c r="C75" s="333"/>
      <c r="D75" s="241" t="s">
        <v>553</v>
      </c>
      <c r="E75" s="737"/>
      <c r="F75" s="275">
        <v>2020</v>
      </c>
      <c r="G75" s="287" t="s">
        <v>91</v>
      </c>
      <c r="H75" s="287" t="s">
        <v>91</v>
      </c>
      <c r="I75" s="287" t="s">
        <v>315</v>
      </c>
      <c r="J75" s="277"/>
      <c r="K75" s="289"/>
      <c r="L75" s="275">
        <v>1504</v>
      </c>
      <c r="M75" s="277">
        <v>12</v>
      </c>
      <c r="N75" s="277">
        <v>76</v>
      </c>
      <c r="O75" s="290">
        <v>144</v>
      </c>
      <c r="P75" s="353"/>
      <c r="Q75" s="336"/>
      <c r="R75" s="428"/>
      <c r="S75" s="346">
        <v>1736</v>
      </c>
      <c r="T75" s="97"/>
      <c r="U75" s="97"/>
      <c r="V75" s="97"/>
      <c r="W75" s="97"/>
      <c r="X75" s="97"/>
      <c r="Y75" s="97"/>
      <c r="Z75" s="97"/>
      <c r="AA75" s="97"/>
      <c r="AB75" s="97"/>
    </row>
    <row r="76" spans="1:28" ht="12.75" customHeight="1" x14ac:dyDescent="0.3">
      <c r="A76" s="713"/>
      <c r="B76" s="715"/>
      <c r="C76" s="333"/>
      <c r="D76" s="241" t="s">
        <v>316</v>
      </c>
      <c r="E76" s="737"/>
      <c r="F76" s="275">
        <v>2023</v>
      </c>
      <c r="G76" s="287" t="s">
        <v>91</v>
      </c>
      <c r="H76" s="287" t="s">
        <v>91</v>
      </c>
      <c r="I76" s="287" t="s">
        <v>251</v>
      </c>
      <c r="J76" s="277"/>
      <c r="K76" s="289"/>
      <c r="L76" s="277"/>
      <c r="M76" s="277"/>
      <c r="N76" s="277"/>
      <c r="O76" s="290">
        <v>8</v>
      </c>
      <c r="P76" s="360">
        <v>127</v>
      </c>
      <c r="Q76" s="39">
        <v>21</v>
      </c>
      <c r="R76" s="427">
        <v>5</v>
      </c>
      <c r="S76" s="350">
        <v>161</v>
      </c>
      <c r="T76" s="97"/>
      <c r="U76" s="97"/>
      <c r="V76" s="97"/>
      <c r="W76" s="97"/>
      <c r="X76" s="97"/>
      <c r="Y76" s="97"/>
      <c r="Z76" s="97"/>
      <c r="AA76" s="97"/>
      <c r="AB76" s="97"/>
    </row>
    <row r="77" spans="1:28" ht="12.75" customHeight="1" x14ac:dyDescent="0.3">
      <c r="A77" s="754"/>
      <c r="B77" s="716"/>
      <c r="C77" s="331"/>
      <c r="D77" s="241" t="s">
        <v>317</v>
      </c>
      <c r="E77" s="738"/>
      <c r="F77" s="275">
        <v>2023</v>
      </c>
      <c r="G77" s="287"/>
      <c r="H77" s="287"/>
      <c r="I77" s="287" t="s">
        <v>251</v>
      </c>
      <c r="J77" s="277"/>
      <c r="K77" s="289"/>
      <c r="L77" s="277"/>
      <c r="M77" s="277"/>
      <c r="N77" s="277"/>
      <c r="O77" s="290">
        <v>321</v>
      </c>
      <c r="P77" s="353">
        <v>2634</v>
      </c>
      <c r="Q77" s="336"/>
      <c r="R77" s="428"/>
      <c r="S77" s="346">
        <v>2955</v>
      </c>
      <c r="T77" s="97"/>
      <c r="U77" s="97"/>
      <c r="V77" s="97"/>
      <c r="W77" s="97"/>
      <c r="X77" s="97"/>
      <c r="Y77" s="97"/>
      <c r="Z77" s="97"/>
      <c r="AA77" s="97"/>
      <c r="AB77" s="97"/>
    </row>
    <row r="78" spans="1:28" ht="12.75" customHeight="1" x14ac:dyDescent="0.3">
      <c r="A78" s="766">
        <v>9</v>
      </c>
      <c r="B78" s="714" t="s">
        <v>318</v>
      </c>
      <c r="C78" s="732" t="s">
        <v>1257</v>
      </c>
      <c r="D78" s="734" t="s">
        <v>319</v>
      </c>
      <c r="E78" s="736" t="s">
        <v>320</v>
      </c>
      <c r="F78" s="299">
        <v>2017</v>
      </c>
      <c r="G78" s="728" t="s">
        <v>91</v>
      </c>
      <c r="H78" s="728" t="s">
        <v>91</v>
      </c>
      <c r="I78" s="728" t="s">
        <v>251</v>
      </c>
      <c r="J78" s="740">
        <v>607</v>
      </c>
      <c r="K78" s="755">
        <v>1365</v>
      </c>
      <c r="L78" s="740">
        <v>92</v>
      </c>
      <c r="M78" s="740">
        <v>10</v>
      </c>
      <c r="N78" s="740">
        <v>150</v>
      </c>
      <c r="O78" s="746">
        <v>543</v>
      </c>
      <c r="P78" s="748">
        <v>355</v>
      </c>
      <c r="Q78" s="771">
        <v>568</v>
      </c>
      <c r="R78" s="786">
        <v>365</v>
      </c>
      <c r="S78" s="752">
        <v>4055</v>
      </c>
      <c r="T78" s="97"/>
      <c r="U78" s="97"/>
      <c r="V78" s="97"/>
      <c r="W78" s="97"/>
      <c r="X78" s="97"/>
      <c r="Y78" s="97"/>
      <c r="Z78" s="97"/>
      <c r="AA78" s="97"/>
      <c r="AB78" s="97"/>
    </row>
    <row r="79" spans="1:28" ht="12.75" customHeight="1" x14ac:dyDescent="0.3">
      <c r="A79" s="767"/>
      <c r="B79" s="715"/>
      <c r="C79" s="733"/>
      <c r="D79" s="735"/>
      <c r="E79" s="737"/>
      <c r="F79" s="312">
        <v>2020</v>
      </c>
      <c r="G79" s="729"/>
      <c r="H79" s="729"/>
      <c r="I79" s="729"/>
      <c r="J79" s="741"/>
      <c r="K79" s="756"/>
      <c r="L79" s="741"/>
      <c r="M79" s="741"/>
      <c r="N79" s="741"/>
      <c r="O79" s="747"/>
      <c r="P79" s="749"/>
      <c r="Q79" s="772"/>
      <c r="R79" s="787"/>
      <c r="S79" s="753"/>
      <c r="T79" s="97"/>
      <c r="U79" s="97"/>
      <c r="V79" s="97"/>
      <c r="W79" s="97"/>
      <c r="X79" s="97"/>
      <c r="Y79" s="97"/>
      <c r="Z79" s="97"/>
      <c r="AA79" s="97"/>
      <c r="AB79" s="97"/>
    </row>
    <row r="80" spans="1:28" ht="12.75" customHeight="1" x14ac:dyDescent="0.3">
      <c r="A80" s="767"/>
      <c r="B80" s="715"/>
      <c r="C80" s="732" t="s">
        <v>321</v>
      </c>
      <c r="D80" s="734" t="s">
        <v>322</v>
      </c>
      <c r="E80" s="737"/>
      <c r="F80" s="299">
        <v>2014</v>
      </c>
      <c r="G80" s="728" t="s">
        <v>91</v>
      </c>
      <c r="H80" s="728"/>
      <c r="I80" s="728" t="s">
        <v>251</v>
      </c>
      <c r="J80" s="730">
        <v>4574</v>
      </c>
      <c r="K80" s="755">
        <v>11374</v>
      </c>
      <c r="L80" s="740">
        <v>799</v>
      </c>
      <c r="M80" s="740">
        <v>14</v>
      </c>
      <c r="N80" s="730">
        <v>5057</v>
      </c>
      <c r="O80" s="806">
        <v>3810</v>
      </c>
      <c r="P80" s="748">
        <v>10870</v>
      </c>
      <c r="Q80" s="750">
        <v>12820</v>
      </c>
      <c r="R80" s="793">
        <v>5331</v>
      </c>
      <c r="S80" s="752">
        <v>54649</v>
      </c>
      <c r="T80" s="97"/>
      <c r="U80" s="97"/>
      <c r="V80" s="97"/>
      <c r="W80" s="97"/>
      <c r="X80" s="97"/>
      <c r="Y80" s="97"/>
      <c r="Z80" s="97"/>
      <c r="AA80" s="97"/>
      <c r="AB80" s="97"/>
    </row>
    <row r="81" spans="1:28" ht="12.75" customHeight="1" x14ac:dyDescent="0.3">
      <c r="A81" s="767"/>
      <c r="B81" s="715"/>
      <c r="C81" s="733"/>
      <c r="D81" s="735"/>
      <c r="E81" s="737"/>
      <c r="F81" s="312">
        <v>2020</v>
      </c>
      <c r="G81" s="729"/>
      <c r="H81" s="729"/>
      <c r="I81" s="729"/>
      <c r="J81" s="731"/>
      <c r="K81" s="756"/>
      <c r="L81" s="741"/>
      <c r="M81" s="741"/>
      <c r="N81" s="731"/>
      <c r="O81" s="807"/>
      <c r="P81" s="749"/>
      <c r="Q81" s="751"/>
      <c r="R81" s="794"/>
      <c r="S81" s="753"/>
      <c r="T81" s="97"/>
      <c r="U81" s="97"/>
      <c r="V81" s="97"/>
      <c r="W81" s="97"/>
      <c r="X81" s="97"/>
      <c r="Y81" s="97"/>
      <c r="Z81" s="97"/>
      <c r="AA81" s="97"/>
      <c r="AB81" s="97"/>
    </row>
    <row r="82" spans="1:28" ht="12.75" customHeight="1" x14ac:dyDescent="0.3">
      <c r="A82" s="767"/>
      <c r="B82" s="715"/>
      <c r="C82" s="717" t="s">
        <v>323</v>
      </c>
      <c r="D82" s="734" t="s">
        <v>324</v>
      </c>
      <c r="E82" s="737"/>
      <c r="F82" s="299">
        <v>2014</v>
      </c>
      <c r="G82" s="728" t="s">
        <v>91</v>
      </c>
      <c r="H82" s="728"/>
      <c r="I82" s="728" t="s">
        <v>251</v>
      </c>
      <c r="J82" s="730">
        <v>1657</v>
      </c>
      <c r="K82" s="755">
        <v>2564</v>
      </c>
      <c r="L82" s="740">
        <v>269</v>
      </c>
      <c r="M82" s="740">
        <v>154</v>
      </c>
      <c r="N82" s="730">
        <v>2479</v>
      </c>
      <c r="O82" s="746">
        <v>920</v>
      </c>
      <c r="P82" s="748">
        <v>432</v>
      </c>
      <c r="Q82" s="750">
        <v>1293</v>
      </c>
      <c r="R82" s="793">
        <v>1468</v>
      </c>
      <c r="S82" s="752">
        <v>11236</v>
      </c>
      <c r="T82" s="97"/>
      <c r="U82" s="97"/>
      <c r="V82" s="97"/>
      <c r="W82" s="97"/>
      <c r="X82" s="97"/>
      <c r="Y82" s="97"/>
      <c r="Z82" s="97"/>
      <c r="AA82" s="97"/>
      <c r="AB82" s="97"/>
    </row>
    <row r="83" spans="1:28" ht="12.75" customHeight="1" x14ac:dyDescent="0.3">
      <c r="A83" s="767"/>
      <c r="B83" s="715"/>
      <c r="C83" s="739"/>
      <c r="D83" s="735"/>
      <c r="E83" s="737"/>
      <c r="F83" s="312">
        <v>2020</v>
      </c>
      <c r="G83" s="729"/>
      <c r="H83" s="729"/>
      <c r="I83" s="729"/>
      <c r="J83" s="731"/>
      <c r="K83" s="756"/>
      <c r="L83" s="741"/>
      <c r="M83" s="741"/>
      <c r="N83" s="731"/>
      <c r="O83" s="747"/>
      <c r="P83" s="749"/>
      <c r="Q83" s="751"/>
      <c r="R83" s="794"/>
      <c r="S83" s="753"/>
      <c r="T83" s="97"/>
      <c r="U83" s="97"/>
      <c r="V83" s="97"/>
      <c r="W83" s="97"/>
      <c r="X83" s="97"/>
      <c r="Y83" s="97"/>
      <c r="Z83" s="97"/>
      <c r="AA83" s="97"/>
      <c r="AB83" s="97"/>
    </row>
    <row r="84" spans="1:28" ht="12.75" customHeight="1" x14ac:dyDescent="0.3">
      <c r="A84" s="767"/>
      <c r="B84" s="715"/>
      <c r="C84" s="739"/>
      <c r="D84" s="734" t="s">
        <v>325</v>
      </c>
      <c r="E84" s="737"/>
      <c r="F84" s="299">
        <v>2015</v>
      </c>
      <c r="G84" s="728" t="s">
        <v>91</v>
      </c>
      <c r="H84" s="728"/>
      <c r="I84" s="728" t="s">
        <v>251</v>
      </c>
      <c r="J84" s="740">
        <v>595</v>
      </c>
      <c r="K84" s="742">
        <v>581</v>
      </c>
      <c r="L84" s="740">
        <v>137</v>
      </c>
      <c r="M84" s="740">
        <v>60</v>
      </c>
      <c r="N84" s="730">
        <v>1153</v>
      </c>
      <c r="O84" s="746">
        <v>408</v>
      </c>
      <c r="P84" s="748">
        <v>358</v>
      </c>
      <c r="Q84" s="750">
        <v>2194</v>
      </c>
      <c r="R84" s="786">
        <v>566</v>
      </c>
      <c r="S84" s="752">
        <v>6052</v>
      </c>
      <c r="T84" s="97"/>
      <c r="U84" s="97"/>
      <c r="V84" s="97"/>
      <c r="W84" s="97"/>
      <c r="X84" s="97"/>
      <c r="Y84" s="97"/>
      <c r="Z84" s="97"/>
      <c r="AA84" s="97"/>
      <c r="AB84" s="97"/>
    </row>
    <row r="85" spans="1:28" ht="12.75" customHeight="1" x14ac:dyDescent="0.3">
      <c r="A85" s="767"/>
      <c r="B85" s="715"/>
      <c r="C85" s="739"/>
      <c r="D85" s="735"/>
      <c r="E85" s="737"/>
      <c r="F85" s="312">
        <v>2020</v>
      </c>
      <c r="G85" s="729"/>
      <c r="H85" s="729"/>
      <c r="I85" s="729"/>
      <c r="J85" s="741"/>
      <c r="K85" s="743"/>
      <c r="L85" s="741"/>
      <c r="M85" s="741"/>
      <c r="N85" s="731"/>
      <c r="O85" s="747"/>
      <c r="P85" s="749"/>
      <c r="Q85" s="751"/>
      <c r="R85" s="787"/>
      <c r="S85" s="753"/>
      <c r="T85" s="97"/>
      <c r="U85" s="97"/>
      <c r="V85" s="97"/>
      <c r="W85" s="97"/>
      <c r="X85" s="97"/>
      <c r="Y85" s="97"/>
      <c r="Z85" s="97"/>
      <c r="AA85" s="97"/>
      <c r="AB85" s="97"/>
    </row>
    <row r="86" spans="1:28" ht="12.75" customHeight="1" x14ac:dyDescent="0.3">
      <c r="A86" s="767"/>
      <c r="B86" s="715"/>
      <c r="C86" s="739"/>
      <c r="D86" s="734" t="s">
        <v>326</v>
      </c>
      <c r="E86" s="737"/>
      <c r="F86" s="299">
        <v>2014</v>
      </c>
      <c r="G86" s="728" t="s">
        <v>91</v>
      </c>
      <c r="H86" s="728"/>
      <c r="I86" s="728" t="s">
        <v>251</v>
      </c>
      <c r="J86" s="740">
        <v>660</v>
      </c>
      <c r="K86" s="742">
        <v>402</v>
      </c>
      <c r="L86" s="740">
        <v>915</v>
      </c>
      <c r="M86" s="730">
        <v>1399</v>
      </c>
      <c r="N86" s="740">
        <v>83</v>
      </c>
      <c r="O86" s="746">
        <v>275</v>
      </c>
      <c r="P86" s="748">
        <v>232</v>
      </c>
      <c r="Q86" s="771">
        <v>352</v>
      </c>
      <c r="R86" s="786">
        <v>580</v>
      </c>
      <c r="S86" s="752">
        <v>4898</v>
      </c>
      <c r="T86" s="97"/>
      <c r="U86" s="97"/>
      <c r="V86" s="97"/>
      <c r="W86" s="97"/>
      <c r="X86" s="97"/>
      <c r="Y86" s="97"/>
      <c r="Z86" s="97"/>
      <c r="AA86" s="97"/>
      <c r="AB86" s="97"/>
    </row>
    <row r="87" spans="1:28" ht="12.75" customHeight="1" x14ac:dyDescent="0.3">
      <c r="A87" s="767"/>
      <c r="B87" s="715"/>
      <c r="C87" s="739"/>
      <c r="D87" s="735"/>
      <c r="E87" s="737"/>
      <c r="F87" s="312">
        <v>2020</v>
      </c>
      <c r="G87" s="729"/>
      <c r="H87" s="729"/>
      <c r="I87" s="729"/>
      <c r="J87" s="741"/>
      <c r="K87" s="743"/>
      <c r="L87" s="741"/>
      <c r="M87" s="731"/>
      <c r="N87" s="741"/>
      <c r="O87" s="747"/>
      <c r="P87" s="749"/>
      <c r="Q87" s="772"/>
      <c r="R87" s="787"/>
      <c r="S87" s="753"/>
      <c r="T87" s="97"/>
      <c r="U87" s="97"/>
      <c r="V87" s="97"/>
      <c r="W87" s="97"/>
      <c r="X87" s="97"/>
      <c r="Y87" s="97"/>
      <c r="Z87" s="97"/>
      <c r="AA87" s="97"/>
      <c r="AB87" s="97"/>
    </row>
    <row r="88" spans="1:28" ht="12.75" customHeight="1" x14ac:dyDescent="0.3">
      <c r="A88" s="767"/>
      <c r="B88" s="715"/>
      <c r="C88" s="739"/>
      <c r="D88" s="241" t="s">
        <v>327</v>
      </c>
      <c r="E88" s="737"/>
      <c r="F88" s="275">
        <v>2017</v>
      </c>
      <c r="G88" s="287" t="s">
        <v>674</v>
      </c>
      <c r="H88" s="287"/>
      <c r="I88" s="287" t="s">
        <v>251</v>
      </c>
      <c r="J88" s="275">
        <v>1842</v>
      </c>
      <c r="K88" s="289">
        <v>401</v>
      </c>
      <c r="L88" s="277"/>
      <c r="M88" s="277">
        <v>78</v>
      </c>
      <c r="N88" s="277">
        <v>215</v>
      </c>
      <c r="O88" s="290">
        <v>453</v>
      </c>
      <c r="P88" s="353">
        <v>33</v>
      </c>
      <c r="Q88" s="336">
        <v>121</v>
      </c>
      <c r="R88" s="428">
        <v>198</v>
      </c>
      <c r="S88" s="346">
        <v>3341</v>
      </c>
      <c r="T88" s="97"/>
      <c r="U88" s="97"/>
      <c r="V88" s="97"/>
      <c r="W88" s="97"/>
      <c r="X88" s="97"/>
      <c r="Y88" s="97"/>
      <c r="Z88" s="97"/>
      <c r="AA88" s="97"/>
      <c r="AB88" s="97"/>
    </row>
    <row r="89" spans="1:28" ht="12.75" customHeight="1" x14ac:dyDescent="0.3">
      <c r="A89" s="767"/>
      <c r="B89" s="715"/>
      <c r="C89" s="739"/>
      <c r="D89" s="734" t="s">
        <v>328</v>
      </c>
      <c r="E89" s="737"/>
      <c r="F89" s="299">
        <v>2017</v>
      </c>
      <c r="G89" s="728" t="s">
        <v>265</v>
      </c>
      <c r="H89" s="728"/>
      <c r="I89" s="728" t="s">
        <v>251</v>
      </c>
      <c r="J89" s="740"/>
      <c r="K89" s="742"/>
      <c r="L89" s="740"/>
      <c r="M89" s="740"/>
      <c r="N89" s="740">
        <v>32</v>
      </c>
      <c r="O89" s="746">
        <v>370</v>
      </c>
      <c r="P89" s="748">
        <v>780</v>
      </c>
      <c r="Q89" s="771">
        <v>329</v>
      </c>
      <c r="R89" s="786">
        <v>620</v>
      </c>
      <c r="S89" s="752">
        <v>2131</v>
      </c>
      <c r="T89" s="97"/>
      <c r="U89" s="97"/>
      <c r="V89" s="97"/>
      <c r="W89" s="97"/>
      <c r="X89" s="97"/>
      <c r="Y89" s="97"/>
      <c r="Z89" s="97"/>
      <c r="AA89" s="97"/>
      <c r="AB89" s="97"/>
    </row>
    <row r="90" spans="1:28" ht="12.75" customHeight="1" x14ac:dyDescent="0.3">
      <c r="A90" s="767"/>
      <c r="B90" s="715"/>
      <c r="C90" s="739"/>
      <c r="D90" s="735"/>
      <c r="E90" s="737"/>
      <c r="F90" s="312">
        <v>2020</v>
      </c>
      <c r="G90" s="729"/>
      <c r="H90" s="729"/>
      <c r="I90" s="729"/>
      <c r="J90" s="741"/>
      <c r="K90" s="743"/>
      <c r="L90" s="741"/>
      <c r="M90" s="741"/>
      <c r="N90" s="741"/>
      <c r="O90" s="747"/>
      <c r="P90" s="749"/>
      <c r="Q90" s="772"/>
      <c r="R90" s="787"/>
      <c r="S90" s="753"/>
      <c r="T90" s="97"/>
      <c r="U90" s="97"/>
      <c r="V90" s="97"/>
      <c r="W90" s="97"/>
      <c r="X90" s="97"/>
      <c r="Y90" s="97"/>
      <c r="Z90" s="97"/>
      <c r="AA90" s="97"/>
      <c r="AB90" s="97"/>
    </row>
    <row r="91" spans="1:28" ht="12.75" customHeight="1" x14ac:dyDescent="0.3">
      <c r="A91" s="768"/>
      <c r="B91" s="716"/>
      <c r="C91" s="718"/>
      <c r="D91" s="241" t="s">
        <v>329</v>
      </c>
      <c r="E91" s="738"/>
      <c r="F91" s="275">
        <v>2023</v>
      </c>
      <c r="G91" s="287" t="s">
        <v>674</v>
      </c>
      <c r="H91" s="287"/>
      <c r="I91" s="287" t="s">
        <v>251</v>
      </c>
      <c r="J91" s="277"/>
      <c r="K91" s="289"/>
      <c r="L91" s="277"/>
      <c r="M91" s="277"/>
      <c r="N91" s="277"/>
      <c r="O91" s="288">
        <v>1080</v>
      </c>
      <c r="P91" s="353">
        <v>376</v>
      </c>
      <c r="Q91" s="337">
        <v>1106</v>
      </c>
      <c r="R91" s="428"/>
      <c r="S91" s="346">
        <v>2562</v>
      </c>
      <c r="T91" s="97"/>
      <c r="U91" s="97"/>
      <c r="V91" s="97"/>
      <c r="W91" s="97"/>
      <c r="X91" s="97"/>
      <c r="Y91" s="97"/>
      <c r="Z91" s="97"/>
      <c r="AA91" s="97"/>
      <c r="AB91" s="97"/>
    </row>
    <row r="92" spans="1:28" ht="15" customHeight="1" x14ac:dyDescent="0.3">
      <c r="A92" s="712">
        <v>11</v>
      </c>
      <c r="B92" s="714" t="s">
        <v>330</v>
      </c>
      <c r="C92" s="717" t="s">
        <v>331</v>
      </c>
      <c r="D92" s="241" t="s">
        <v>554</v>
      </c>
      <c r="E92" s="719" t="s">
        <v>332</v>
      </c>
      <c r="F92" s="275">
        <v>2020</v>
      </c>
      <c r="G92" s="287" t="s">
        <v>91</v>
      </c>
      <c r="H92" s="287" t="s">
        <v>91</v>
      </c>
      <c r="I92" s="287" t="s">
        <v>251</v>
      </c>
      <c r="J92" s="277">
        <v>3</v>
      </c>
      <c r="K92" s="289">
        <v>8</v>
      </c>
      <c r="L92" s="277">
        <v>11</v>
      </c>
      <c r="M92" s="277">
        <v>14</v>
      </c>
      <c r="N92" s="277">
        <v>15</v>
      </c>
      <c r="O92" s="290">
        <v>74</v>
      </c>
      <c r="P92" s="353"/>
      <c r="Q92" s="336">
        <v>626</v>
      </c>
      <c r="R92" s="429">
        <v>2249</v>
      </c>
      <c r="S92" s="346">
        <v>3000</v>
      </c>
      <c r="T92" s="97"/>
      <c r="U92" s="97"/>
      <c r="V92" s="97"/>
      <c r="W92" s="97"/>
      <c r="X92" s="97"/>
      <c r="Y92" s="97"/>
      <c r="Z92" s="97"/>
      <c r="AA92" s="97"/>
      <c r="AB92" s="97"/>
    </row>
    <row r="93" spans="1:28" ht="12.75" customHeight="1" x14ac:dyDescent="0.3">
      <c r="A93" s="713"/>
      <c r="B93" s="715"/>
      <c r="C93" s="718"/>
      <c r="D93" s="241" t="s">
        <v>310</v>
      </c>
      <c r="E93" s="720"/>
      <c r="F93" s="275">
        <v>2014</v>
      </c>
      <c r="G93" s="287" t="s">
        <v>91</v>
      </c>
      <c r="H93" s="287" t="s">
        <v>91</v>
      </c>
      <c r="I93" s="287" t="s">
        <v>251</v>
      </c>
      <c r="J93" s="275">
        <v>3001</v>
      </c>
      <c r="K93" s="277">
        <v>460</v>
      </c>
      <c r="L93" s="275">
        <v>5902</v>
      </c>
      <c r="M93" s="275">
        <v>4844</v>
      </c>
      <c r="N93" s="275">
        <v>13978</v>
      </c>
      <c r="O93" s="288">
        <v>5062</v>
      </c>
      <c r="P93" s="362">
        <v>9376</v>
      </c>
      <c r="Q93" s="337">
        <v>6324</v>
      </c>
      <c r="R93" s="431">
        <v>4045</v>
      </c>
      <c r="S93" s="346">
        <v>52992</v>
      </c>
      <c r="T93" s="97"/>
      <c r="U93" s="97"/>
      <c r="V93" s="97"/>
      <c r="W93" s="97"/>
      <c r="X93" s="97"/>
      <c r="Y93" s="97"/>
      <c r="Z93" s="97"/>
      <c r="AA93" s="97"/>
      <c r="AB93" s="97"/>
    </row>
    <row r="94" spans="1:28" ht="12.75" customHeight="1" x14ac:dyDescent="0.3">
      <c r="A94" s="713"/>
      <c r="B94" s="715"/>
      <c r="C94" s="722" t="s">
        <v>692</v>
      </c>
      <c r="D94" s="241" t="s">
        <v>693</v>
      </c>
      <c r="E94" s="720"/>
      <c r="F94" s="275">
        <v>2025</v>
      </c>
      <c r="G94" s="287"/>
      <c r="H94" s="287" t="s">
        <v>91</v>
      </c>
      <c r="I94" s="287" t="s">
        <v>251</v>
      </c>
      <c r="J94" s="277"/>
      <c r="K94" s="277"/>
      <c r="L94" s="277"/>
      <c r="M94" s="277"/>
      <c r="N94" s="277"/>
      <c r="O94" s="290"/>
      <c r="P94" s="353"/>
      <c r="Q94" s="337">
        <v>9168</v>
      </c>
      <c r="R94" s="432">
        <v>3784</v>
      </c>
      <c r="S94" s="346">
        <v>12952</v>
      </c>
      <c r="T94" s="97"/>
      <c r="U94" s="97"/>
      <c r="V94" s="97"/>
      <c r="W94" s="97"/>
      <c r="X94" s="97"/>
      <c r="Y94" s="97"/>
      <c r="Z94" s="97"/>
      <c r="AA94" s="97"/>
      <c r="AB94" s="97"/>
    </row>
    <row r="95" spans="1:28" ht="12.75" customHeight="1" x14ac:dyDescent="0.3">
      <c r="A95" s="713"/>
      <c r="B95" s="715"/>
      <c r="C95" s="723"/>
      <c r="D95" s="241" t="s">
        <v>694</v>
      </c>
      <c r="E95" s="720"/>
      <c r="F95" s="277"/>
      <c r="G95" s="287"/>
      <c r="H95" s="287"/>
      <c r="I95" s="287"/>
      <c r="J95" s="277"/>
      <c r="K95" s="277"/>
      <c r="L95" s="277"/>
      <c r="M95" s="277"/>
      <c r="N95" s="277"/>
      <c r="O95" s="290"/>
      <c r="P95" s="353"/>
      <c r="Q95" s="337">
        <v>5818</v>
      </c>
      <c r="R95" s="433">
        <v>4547</v>
      </c>
      <c r="S95" s="346">
        <v>10365</v>
      </c>
      <c r="T95" s="97"/>
      <c r="U95" s="97"/>
      <c r="V95" s="97"/>
      <c r="W95" s="97"/>
      <c r="X95" s="97"/>
      <c r="Y95" s="97"/>
      <c r="Z95" s="97"/>
      <c r="AA95" s="97"/>
      <c r="AB95" s="97"/>
    </row>
    <row r="96" spans="1:28" ht="12.75" customHeight="1" x14ac:dyDescent="0.3">
      <c r="A96" s="713"/>
      <c r="B96" s="715"/>
      <c r="C96" s="724"/>
      <c r="D96" s="241"/>
      <c r="E96" s="720"/>
      <c r="F96" s="275">
        <v>2025</v>
      </c>
      <c r="G96" s="287"/>
      <c r="H96" s="287" t="s">
        <v>91</v>
      </c>
      <c r="I96" s="287" t="s">
        <v>251</v>
      </c>
      <c r="J96" s="277"/>
      <c r="K96" s="277"/>
      <c r="L96" s="277"/>
      <c r="M96" s="277"/>
      <c r="N96" s="277"/>
      <c r="O96" s="290"/>
      <c r="P96" s="353"/>
      <c r="Q96" s="336"/>
      <c r="R96" s="432"/>
      <c r="S96" s="350">
        <v>0</v>
      </c>
      <c r="T96" s="97"/>
      <c r="U96" s="97"/>
      <c r="V96" s="97"/>
      <c r="W96" s="97"/>
      <c r="X96" s="97"/>
      <c r="Y96" s="97"/>
      <c r="Z96" s="97"/>
      <c r="AA96" s="97"/>
      <c r="AB96" s="97"/>
    </row>
    <row r="97" spans="1:28" ht="12.75" customHeight="1" x14ac:dyDescent="0.3">
      <c r="A97" s="713"/>
      <c r="B97" s="716"/>
      <c r="C97" s="242" t="s">
        <v>333</v>
      </c>
      <c r="D97" s="241" t="s">
        <v>671</v>
      </c>
      <c r="E97" s="721"/>
      <c r="F97" s="275">
        <v>2023</v>
      </c>
      <c r="G97" s="287"/>
      <c r="H97" s="287"/>
      <c r="I97" s="287" t="s">
        <v>267</v>
      </c>
      <c r="J97" s="277"/>
      <c r="K97" s="289"/>
      <c r="L97" s="277"/>
      <c r="M97" s="277"/>
      <c r="N97" s="277"/>
      <c r="O97" s="290"/>
      <c r="P97" s="353"/>
      <c r="Q97" s="39"/>
      <c r="R97" s="434"/>
      <c r="S97" s="350">
        <v>0</v>
      </c>
      <c r="T97" s="97"/>
      <c r="U97" s="97"/>
      <c r="V97" s="97"/>
      <c r="W97" s="97"/>
      <c r="X97" s="97"/>
      <c r="Y97" s="97"/>
      <c r="Z97" s="97"/>
      <c r="AA97" s="97"/>
      <c r="AB97" s="97"/>
    </row>
    <row r="98" spans="1:28" ht="12.75" customHeight="1" x14ac:dyDescent="0.3">
      <c r="A98" s="328"/>
      <c r="B98" s="714" t="s">
        <v>334</v>
      </c>
      <c r="C98" s="332" t="s">
        <v>695</v>
      </c>
      <c r="D98" s="363" t="s">
        <v>555</v>
      </c>
      <c r="E98" s="725" t="s">
        <v>335</v>
      </c>
      <c r="F98" s="293">
        <v>2023</v>
      </c>
      <c r="G98" s="287" t="s">
        <v>91</v>
      </c>
      <c r="H98" s="287" t="s">
        <v>91</v>
      </c>
      <c r="I98" s="287" t="s">
        <v>251</v>
      </c>
      <c r="J98" s="277"/>
      <c r="K98" s="277"/>
      <c r="L98" s="277"/>
      <c r="M98" s="277"/>
      <c r="N98" s="277"/>
      <c r="O98" s="290">
        <v>5</v>
      </c>
      <c r="P98" s="353">
        <v>1576</v>
      </c>
      <c r="Q98" s="336">
        <v>611</v>
      </c>
      <c r="R98" s="428"/>
      <c r="S98" s="346">
        <v>2192</v>
      </c>
      <c r="T98" s="97"/>
      <c r="U98" s="97"/>
      <c r="V98" s="97"/>
      <c r="W98" s="97"/>
      <c r="X98" s="97"/>
      <c r="Y98" s="97"/>
      <c r="Z98" s="97"/>
      <c r="AA98" s="97"/>
      <c r="AB98" s="97"/>
    </row>
    <row r="99" spans="1:28" ht="12.75" customHeight="1" x14ac:dyDescent="0.3">
      <c r="A99" s="328"/>
      <c r="B99" s="715"/>
      <c r="C99" s="332" t="s">
        <v>696</v>
      </c>
      <c r="D99" s="241" t="s">
        <v>697</v>
      </c>
      <c r="E99" s="726"/>
      <c r="F99" s="275">
        <v>2009</v>
      </c>
      <c r="G99" s="287" t="s">
        <v>91</v>
      </c>
      <c r="H99" s="287" t="s">
        <v>674</v>
      </c>
      <c r="I99" s="274" t="s">
        <v>266</v>
      </c>
      <c r="J99" s="277">
        <v>339</v>
      </c>
      <c r="K99" s="289">
        <v>79</v>
      </c>
      <c r="L99" s="277">
        <v>11</v>
      </c>
      <c r="M99" s="277">
        <v>21</v>
      </c>
      <c r="N99" s="277">
        <v>425</v>
      </c>
      <c r="O99" s="278">
        <v>111</v>
      </c>
      <c r="P99" s="349">
        <v>2</v>
      </c>
      <c r="Q99" s="336">
        <v>22</v>
      </c>
      <c r="R99" s="428">
        <v>2</v>
      </c>
      <c r="S99" s="346">
        <v>1012</v>
      </c>
      <c r="T99" s="97"/>
      <c r="U99" s="97"/>
      <c r="V99" s="97"/>
      <c r="W99" s="97"/>
      <c r="X99" s="97"/>
      <c r="Y99" s="97"/>
      <c r="Z99" s="97"/>
      <c r="AA99" s="97"/>
      <c r="AB99" s="97"/>
    </row>
    <row r="100" spans="1:28" ht="12.75" customHeight="1" x14ac:dyDescent="0.3">
      <c r="A100" s="328"/>
      <c r="B100" s="715"/>
      <c r="C100" s="717" t="s">
        <v>698</v>
      </c>
      <c r="D100" s="241" t="s">
        <v>699</v>
      </c>
      <c r="E100" s="726"/>
      <c r="F100" s="293">
        <v>2020</v>
      </c>
      <c r="G100" s="287" t="s">
        <v>91</v>
      </c>
      <c r="H100" s="287" t="s">
        <v>91</v>
      </c>
      <c r="I100" s="287" t="s">
        <v>251</v>
      </c>
      <c r="J100" s="277"/>
      <c r="K100" s="277"/>
      <c r="L100" s="277"/>
      <c r="M100" s="277">
        <v>26</v>
      </c>
      <c r="N100" s="277">
        <v>299</v>
      </c>
      <c r="O100" s="290">
        <v>106</v>
      </c>
      <c r="P100" s="353">
        <v>68</v>
      </c>
      <c r="Q100" s="336">
        <v>8</v>
      </c>
      <c r="R100" s="428" t="s">
        <v>673</v>
      </c>
      <c r="S100" s="350">
        <v>507</v>
      </c>
      <c r="T100" s="97"/>
      <c r="U100" s="97"/>
      <c r="V100" s="97"/>
      <c r="W100" s="97"/>
      <c r="X100" s="97"/>
      <c r="Y100" s="97"/>
      <c r="Z100" s="97"/>
      <c r="AA100" s="97"/>
      <c r="AB100" s="97"/>
    </row>
    <row r="101" spans="1:28" ht="12.75" customHeight="1" x14ac:dyDescent="0.3">
      <c r="A101" s="328"/>
      <c r="B101" s="715"/>
      <c r="C101" s="739"/>
      <c r="D101" s="241" t="s">
        <v>700</v>
      </c>
      <c r="E101" s="726"/>
      <c r="F101" s="293">
        <v>2024</v>
      </c>
      <c r="G101" s="298" t="s">
        <v>91</v>
      </c>
      <c r="H101" s="298" t="s">
        <v>91</v>
      </c>
      <c r="I101" s="287" t="s">
        <v>251</v>
      </c>
      <c r="J101" s="299"/>
      <c r="K101" s="299"/>
      <c r="L101" s="299"/>
      <c r="M101" s="299"/>
      <c r="N101" s="299"/>
      <c r="O101" s="316"/>
      <c r="P101" s="361"/>
      <c r="Q101" s="336">
        <v>9</v>
      </c>
      <c r="R101" s="428"/>
      <c r="S101" s="350">
        <v>9</v>
      </c>
      <c r="T101" s="97"/>
      <c r="U101" s="97"/>
      <c r="V101" s="97"/>
      <c r="W101" s="97"/>
      <c r="X101" s="97"/>
      <c r="Y101" s="97"/>
      <c r="Z101" s="97"/>
      <c r="AA101" s="97"/>
      <c r="AB101" s="97"/>
    </row>
    <row r="102" spans="1:28" ht="12.75" customHeight="1" x14ac:dyDescent="0.3">
      <c r="A102" s="328"/>
      <c r="B102" s="715"/>
      <c r="C102" s="739"/>
      <c r="D102" s="363" t="s">
        <v>558</v>
      </c>
      <c r="E102" s="726"/>
      <c r="F102" s="275">
        <v>2025</v>
      </c>
      <c r="G102" s="298"/>
      <c r="H102" s="298" t="s">
        <v>91</v>
      </c>
      <c r="I102" s="287" t="s">
        <v>251</v>
      </c>
      <c r="J102" s="299"/>
      <c r="K102" s="351"/>
      <c r="L102" s="299"/>
      <c r="M102" s="299"/>
      <c r="N102" s="299"/>
      <c r="O102" s="300"/>
      <c r="P102" s="352"/>
      <c r="Q102" s="336">
        <v>11</v>
      </c>
      <c r="R102" s="428">
        <v>840</v>
      </c>
      <c r="S102" s="350">
        <v>851</v>
      </c>
      <c r="T102" s="97"/>
      <c r="U102" s="97"/>
      <c r="V102" s="97"/>
      <c r="W102" s="97"/>
      <c r="X102" s="97"/>
      <c r="Y102" s="97"/>
      <c r="Z102" s="97"/>
      <c r="AA102" s="97"/>
      <c r="AB102" s="97"/>
    </row>
    <row r="103" spans="1:28" ht="12.75" customHeight="1" x14ac:dyDescent="0.3">
      <c r="A103" s="328"/>
      <c r="B103" s="715"/>
      <c r="C103" s="739"/>
      <c r="D103" s="363" t="s">
        <v>557</v>
      </c>
      <c r="E103" s="726"/>
      <c r="F103" s="293">
        <v>2025</v>
      </c>
      <c r="G103" s="298"/>
      <c r="H103" s="298" t="s">
        <v>91</v>
      </c>
      <c r="I103" s="287" t="s">
        <v>251</v>
      </c>
      <c r="J103" s="299"/>
      <c r="K103" s="299"/>
      <c r="L103" s="299"/>
      <c r="M103" s="299"/>
      <c r="N103" s="299"/>
      <c r="O103" s="316"/>
      <c r="P103" s="361"/>
      <c r="Q103" s="336">
        <v>67</v>
      </c>
      <c r="R103" s="428">
        <v>619</v>
      </c>
      <c r="S103" s="350">
        <v>686</v>
      </c>
      <c r="T103" s="97"/>
      <c r="U103" s="97"/>
      <c r="V103" s="97"/>
      <c r="W103" s="97"/>
      <c r="X103" s="97"/>
      <c r="Y103" s="97"/>
      <c r="Z103" s="97"/>
      <c r="AA103" s="97"/>
      <c r="AB103" s="97"/>
    </row>
    <row r="104" spans="1:28" ht="12.75" customHeight="1" x14ac:dyDescent="0.3">
      <c r="A104" s="328"/>
      <c r="B104" s="715"/>
      <c r="C104" s="739"/>
      <c r="D104" s="363" t="s">
        <v>556</v>
      </c>
      <c r="E104" s="726"/>
      <c r="F104" s="275">
        <v>2025</v>
      </c>
      <c r="G104" s="298"/>
      <c r="H104" s="298" t="s">
        <v>91</v>
      </c>
      <c r="I104" s="287" t="s">
        <v>251</v>
      </c>
      <c r="J104" s="299"/>
      <c r="K104" s="351"/>
      <c r="L104" s="299"/>
      <c r="M104" s="299"/>
      <c r="N104" s="299"/>
      <c r="O104" s="300"/>
      <c r="P104" s="352"/>
      <c r="Q104" s="336">
        <v>400</v>
      </c>
      <c r="R104" s="428">
        <v>105</v>
      </c>
      <c r="S104" s="350">
        <v>505</v>
      </c>
      <c r="T104" s="97"/>
      <c r="U104" s="97"/>
      <c r="V104" s="97"/>
      <c r="W104" s="97"/>
      <c r="X104" s="97"/>
      <c r="Y104" s="97"/>
      <c r="Z104" s="97"/>
      <c r="AA104" s="97"/>
      <c r="AB104" s="97"/>
    </row>
    <row r="105" spans="1:28" ht="12.75" customHeight="1" x14ac:dyDescent="0.3">
      <c r="A105" s="328"/>
      <c r="B105" s="716"/>
      <c r="C105" s="718"/>
      <c r="D105" s="241" t="s">
        <v>701</v>
      </c>
      <c r="E105" s="727"/>
      <c r="F105" s="293">
        <v>2024</v>
      </c>
      <c r="G105" s="298" t="s">
        <v>91</v>
      </c>
      <c r="H105" s="298" t="s">
        <v>91</v>
      </c>
      <c r="I105" s="287" t="s">
        <v>251</v>
      </c>
      <c r="J105" s="299"/>
      <c r="K105" s="299"/>
      <c r="L105" s="299"/>
      <c r="M105" s="299"/>
      <c r="N105" s="299"/>
      <c r="O105" s="316"/>
      <c r="P105" s="361"/>
      <c r="Q105" s="336">
        <v>58</v>
      </c>
      <c r="R105" s="428">
        <v>48</v>
      </c>
      <c r="S105" s="350">
        <v>106</v>
      </c>
      <c r="T105" s="97"/>
      <c r="U105" s="97"/>
      <c r="V105" s="97"/>
      <c r="W105" s="97"/>
      <c r="X105" s="97"/>
      <c r="Y105" s="97"/>
      <c r="Z105" s="97"/>
      <c r="AA105" s="97"/>
      <c r="AB105" s="97"/>
    </row>
    <row r="106" spans="1:28" ht="12.75" customHeight="1" x14ac:dyDescent="0.3">
      <c r="A106" s="243" t="s">
        <v>46</v>
      </c>
      <c r="B106" s="244"/>
      <c r="C106" s="243"/>
      <c r="D106" s="244"/>
      <c r="E106" s="317"/>
      <c r="F106" s="318" t="s">
        <v>702</v>
      </c>
      <c r="G106" s="319"/>
      <c r="H106" s="319"/>
      <c r="I106" s="319"/>
      <c r="J106" s="320">
        <v>2019591</v>
      </c>
      <c r="K106" s="320">
        <v>2036094</v>
      </c>
      <c r="L106" s="320">
        <v>1147493</v>
      </c>
      <c r="M106" s="320">
        <v>1388043</v>
      </c>
      <c r="N106" s="320">
        <v>1380851</v>
      </c>
      <c r="O106" s="320">
        <v>1176798</v>
      </c>
      <c r="P106" s="320">
        <v>4098236</v>
      </c>
      <c r="Q106" s="364">
        <v>6609202</v>
      </c>
      <c r="R106" s="320">
        <v>2610022</v>
      </c>
      <c r="S106" s="320">
        <v>22466330</v>
      </c>
      <c r="T106" s="97"/>
      <c r="U106" s="97"/>
      <c r="V106" s="97"/>
      <c r="W106" s="97"/>
      <c r="X106" s="97"/>
      <c r="Y106" s="97"/>
      <c r="Z106" s="97"/>
      <c r="AA106" s="97"/>
      <c r="AB106" s="97"/>
    </row>
    <row r="107" spans="1:28" ht="12.75" customHeight="1" x14ac:dyDescent="0.3">
      <c r="A107" s="243"/>
      <c r="B107" s="244"/>
      <c r="C107" s="243"/>
      <c r="D107" s="244"/>
      <c r="E107" s="317"/>
      <c r="F107" s="365">
        <v>70</v>
      </c>
      <c r="G107" s="365">
        <v>45</v>
      </c>
      <c r="H107" s="365">
        <v>31</v>
      </c>
      <c r="I107" s="366">
        <v>0</v>
      </c>
      <c r="J107" s="366">
        <v>26</v>
      </c>
      <c r="K107" s="366">
        <v>26</v>
      </c>
      <c r="L107" s="366">
        <v>22</v>
      </c>
      <c r="M107" s="366">
        <v>23</v>
      </c>
      <c r="N107" s="366">
        <v>30</v>
      </c>
      <c r="O107" s="366">
        <v>54</v>
      </c>
      <c r="P107" s="366">
        <v>55</v>
      </c>
      <c r="Q107" s="367">
        <v>61</v>
      </c>
      <c r="R107" s="367"/>
      <c r="S107" s="366">
        <v>70</v>
      </c>
      <c r="T107" s="97"/>
      <c r="U107" s="97"/>
      <c r="V107" s="97"/>
      <c r="W107" s="97"/>
      <c r="X107" s="97"/>
      <c r="Y107" s="97"/>
      <c r="Z107" s="97"/>
      <c r="AA107" s="97"/>
      <c r="AB107" s="97"/>
    </row>
    <row r="108" spans="1:28" ht="12.75" customHeight="1" x14ac:dyDescent="0.3">
      <c r="A108" s="97"/>
      <c r="B108" s="97"/>
      <c r="D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row>
    <row r="109" spans="1:28" ht="12.75" customHeight="1" x14ac:dyDescent="0.3">
      <c r="A109" s="97"/>
      <c r="B109" s="97"/>
      <c r="D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row>
    <row r="110" spans="1:28" ht="12.75" customHeight="1" x14ac:dyDescent="0.3">
      <c r="A110" s="97"/>
      <c r="B110" s="97"/>
      <c r="D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row>
    <row r="111" spans="1:28" ht="12.75" customHeight="1" x14ac:dyDescent="0.3">
      <c r="A111" s="97"/>
      <c r="B111" s="97"/>
      <c r="D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row>
    <row r="112" spans="1:28" ht="12.75" customHeight="1" x14ac:dyDescent="0.3">
      <c r="A112" s="97"/>
      <c r="B112" s="97"/>
      <c r="D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row>
    <row r="113" spans="1:28" ht="12.75" customHeight="1" x14ac:dyDescent="0.3">
      <c r="A113" s="97"/>
      <c r="B113" s="97"/>
      <c r="D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row>
    <row r="114" spans="1:28" ht="12.75" customHeight="1" x14ac:dyDescent="0.3">
      <c r="A114" s="97"/>
      <c r="B114" s="97"/>
      <c r="D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row>
    <row r="115" spans="1:28" ht="12.75" customHeight="1" x14ac:dyDescent="0.3">
      <c r="A115" s="97"/>
      <c r="B115" s="97"/>
      <c r="D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row>
    <row r="116" spans="1:28" ht="12.75" customHeight="1" x14ac:dyDescent="0.3">
      <c r="A116" s="97"/>
      <c r="B116" s="97"/>
      <c r="D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row>
    <row r="117" spans="1:28" ht="12.75" customHeight="1" x14ac:dyDescent="0.3">
      <c r="A117" s="97"/>
      <c r="B117" s="97"/>
      <c r="D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row>
    <row r="118" spans="1:28" ht="12.75" customHeight="1" x14ac:dyDescent="0.3">
      <c r="A118" s="97"/>
      <c r="B118" s="97"/>
      <c r="D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row>
    <row r="119" spans="1:28" ht="12.75" customHeight="1" x14ac:dyDescent="0.3">
      <c r="A119" s="97"/>
      <c r="B119" s="97"/>
      <c r="D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row>
    <row r="120" spans="1:28" ht="12.75" customHeight="1" x14ac:dyDescent="0.3">
      <c r="A120" s="97"/>
      <c r="B120" s="97"/>
      <c r="D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row>
    <row r="121" spans="1:28" ht="12.75" customHeight="1" x14ac:dyDescent="0.3">
      <c r="A121" s="97"/>
      <c r="B121" s="97"/>
      <c r="D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row>
    <row r="122" spans="1:28" ht="12.75" customHeight="1" x14ac:dyDescent="0.3">
      <c r="A122" s="97"/>
      <c r="B122" s="97"/>
      <c r="D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row>
    <row r="123" spans="1:28" ht="12.75" customHeight="1" x14ac:dyDescent="0.3">
      <c r="A123" s="97"/>
      <c r="B123" s="97"/>
      <c r="D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row>
    <row r="124" spans="1:28" ht="12.75" customHeight="1" x14ac:dyDescent="0.3">
      <c r="A124" s="97"/>
      <c r="B124" s="97"/>
      <c r="D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row>
    <row r="125" spans="1:28" ht="12.75" customHeight="1" x14ac:dyDescent="0.3">
      <c r="A125" s="97"/>
      <c r="B125" s="97"/>
      <c r="D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row>
    <row r="126" spans="1:28" ht="12.75" customHeight="1" x14ac:dyDescent="0.3">
      <c r="A126" s="97"/>
      <c r="B126" s="97"/>
      <c r="D126" s="97"/>
      <c r="F126" s="97"/>
      <c r="G126" s="97"/>
      <c r="H126" s="97"/>
      <c r="I126" s="97"/>
      <c r="J126" s="97"/>
      <c r="K126" s="97"/>
      <c r="L126" s="97"/>
      <c r="M126" s="97"/>
      <c r="N126" s="97"/>
      <c r="O126" s="97"/>
      <c r="P126" s="97"/>
      <c r="Q126" s="97"/>
      <c r="R126" s="97"/>
      <c r="S126" s="97"/>
      <c r="T126" s="97"/>
      <c r="U126" s="97"/>
      <c r="V126" s="97"/>
      <c r="W126" s="97"/>
      <c r="X126" s="97"/>
      <c r="Y126" s="97"/>
      <c r="Z126" s="97"/>
      <c r="AA126" s="97"/>
      <c r="AB126" s="97"/>
    </row>
    <row r="127" spans="1:28" ht="12.75" customHeight="1" x14ac:dyDescent="0.3">
      <c r="A127" s="97"/>
      <c r="B127" s="97"/>
      <c r="D127" s="97"/>
      <c r="F127" s="97"/>
      <c r="G127" s="97"/>
      <c r="H127" s="97"/>
      <c r="I127" s="97"/>
      <c r="J127" s="97"/>
      <c r="K127" s="97"/>
      <c r="L127" s="97"/>
      <c r="M127" s="97"/>
      <c r="N127" s="97"/>
      <c r="O127" s="97"/>
      <c r="P127" s="97"/>
      <c r="Q127" s="97"/>
      <c r="R127" s="97"/>
      <c r="S127" s="97"/>
      <c r="T127" s="97"/>
      <c r="U127" s="97"/>
      <c r="V127" s="97"/>
      <c r="W127" s="97"/>
      <c r="X127" s="97"/>
      <c r="Y127" s="97"/>
      <c r="Z127" s="97"/>
      <c r="AA127" s="97"/>
      <c r="AB127" s="97"/>
    </row>
    <row r="128" spans="1:28" ht="12.75" customHeight="1" x14ac:dyDescent="0.3">
      <c r="A128" s="97"/>
      <c r="B128" s="97"/>
      <c r="D128" s="97"/>
      <c r="F128" s="97"/>
      <c r="G128" s="97"/>
      <c r="H128" s="97"/>
      <c r="I128" s="97"/>
      <c r="J128" s="97"/>
      <c r="K128" s="97"/>
      <c r="L128" s="97"/>
      <c r="M128" s="97"/>
      <c r="N128" s="97"/>
      <c r="O128" s="97"/>
      <c r="P128" s="97"/>
      <c r="Q128" s="97"/>
      <c r="R128" s="97"/>
      <c r="S128" s="97"/>
      <c r="T128" s="97"/>
      <c r="U128" s="97"/>
      <c r="V128" s="97"/>
      <c r="W128" s="97"/>
      <c r="X128" s="97"/>
      <c r="Y128" s="97"/>
      <c r="Z128" s="97"/>
      <c r="AA128" s="97"/>
      <c r="AB128" s="97"/>
    </row>
    <row r="129" spans="1:28" ht="12.75" customHeight="1" x14ac:dyDescent="0.3">
      <c r="A129" s="97"/>
      <c r="B129" s="97"/>
      <c r="D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row>
    <row r="130" spans="1:28" ht="12.75" customHeight="1" x14ac:dyDescent="0.3">
      <c r="A130" s="97"/>
      <c r="B130" s="97"/>
      <c r="D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row>
    <row r="131" spans="1:28" ht="12.75" customHeight="1" x14ac:dyDescent="0.3">
      <c r="A131" s="97"/>
      <c r="B131" s="97"/>
      <c r="D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row>
    <row r="132" spans="1:28" ht="12.75" customHeight="1" x14ac:dyDescent="0.3">
      <c r="A132" s="97"/>
      <c r="B132" s="97"/>
      <c r="D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row>
    <row r="133" spans="1:28" ht="12.75" customHeight="1" x14ac:dyDescent="0.3">
      <c r="A133" s="97"/>
      <c r="B133" s="97"/>
      <c r="D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row>
    <row r="134" spans="1:28" ht="12.75" customHeight="1" x14ac:dyDescent="0.3">
      <c r="A134" s="97"/>
      <c r="B134" s="97"/>
      <c r="D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row>
    <row r="135" spans="1:28" ht="12.75" customHeight="1" x14ac:dyDescent="0.3">
      <c r="A135" s="97"/>
      <c r="B135" s="97"/>
      <c r="D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row>
    <row r="136" spans="1:28" ht="12.75" customHeight="1" x14ac:dyDescent="0.3">
      <c r="A136" s="97"/>
      <c r="B136" s="97"/>
      <c r="D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row>
    <row r="137" spans="1:28" ht="12.75" customHeight="1" x14ac:dyDescent="0.3">
      <c r="A137" s="97"/>
      <c r="B137" s="97"/>
      <c r="D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row>
    <row r="138" spans="1:28" ht="12.75" customHeight="1" x14ac:dyDescent="0.3">
      <c r="A138" s="97"/>
      <c r="B138" s="97"/>
      <c r="D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row>
    <row r="139" spans="1:28" ht="12.75" customHeight="1" x14ac:dyDescent="0.3">
      <c r="A139" s="97"/>
      <c r="B139" s="97"/>
      <c r="D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row>
    <row r="140" spans="1:28" ht="12.75" customHeight="1" x14ac:dyDescent="0.3">
      <c r="A140" s="97"/>
      <c r="B140" s="97"/>
      <c r="D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row>
    <row r="141" spans="1:28" ht="12.75" customHeight="1" x14ac:dyDescent="0.3">
      <c r="A141" s="97"/>
      <c r="B141" s="97"/>
      <c r="D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row>
    <row r="142" spans="1:28" ht="12.75" customHeight="1" x14ac:dyDescent="0.3">
      <c r="A142" s="97"/>
      <c r="B142" s="97"/>
      <c r="D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row>
    <row r="143" spans="1:28" ht="12.75" customHeight="1" x14ac:dyDescent="0.3">
      <c r="A143" s="97"/>
      <c r="B143" s="97"/>
      <c r="D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row>
    <row r="144" spans="1:28" ht="12.75" customHeight="1" x14ac:dyDescent="0.3">
      <c r="A144" s="97"/>
      <c r="B144" s="97"/>
      <c r="D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row>
    <row r="145" spans="1:28" ht="12.75" customHeight="1" x14ac:dyDescent="0.3">
      <c r="A145" s="97"/>
      <c r="B145" s="97"/>
      <c r="D145" s="97"/>
      <c r="F145" s="97"/>
      <c r="G145" s="97"/>
      <c r="H145" s="97"/>
      <c r="I145" s="97"/>
      <c r="J145" s="97"/>
      <c r="K145" s="97"/>
      <c r="L145" s="97"/>
      <c r="M145" s="97"/>
      <c r="N145" s="97"/>
      <c r="O145" s="97"/>
      <c r="P145" s="97"/>
      <c r="Q145" s="97"/>
      <c r="R145" s="97"/>
      <c r="S145" s="97"/>
      <c r="T145" s="97"/>
      <c r="U145" s="97"/>
      <c r="V145" s="97"/>
      <c r="W145" s="97"/>
      <c r="X145" s="97"/>
      <c r="Y145" s="97"/>
      <c r="Z145" s="97"/>
      <c r="AA145" s="97"/>
      <c r="AB145" s="97"/>
    </row>
    <row r="146" spans="1:28" ht="12.75" customHeight="1" x14ac:dyDescent="0.3">
      <c r="A146" s="97"/>
      <c r="B146" s="97"/>
      <c r="D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row>
    <row r="147" spans="1:28" ht="12.75" customHeight="1" x14ac:dyDescent="0.3">
      <c r="A147" s="97"/>
      <c r="B147" s="97"/>
      <c r="D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row>
    <row r="148" spans="1:28" ht="12.75" customHeight="1" x14ac:dyDescent="0.3">
      <c r="A148" s="97"/>
      <c r="B148" s="97"/>
      <c r="D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row>
    <row r="149" spans="1:28" ht="12.75" customHeight="1" x14ac:dyDescent="0.3">
      <c r="A149" s="97"/>
      <c r="B149" s="97"/>
      <c r="D149" s="97"/>
      <c r="F149" s="97"/>
      <c r="G149" s="97"/>
      <c r="H149" s="97"/>
      <c r="I149" s="97"/>
      <c r="J149" s="97"/>
      <c r="K149" s="97"/>
      <c r="L149" s="97"/>
      <c r="M149" s="97"/>
      <c r="N149" s="97"/>
      <c r="O149" s="97"/>
      <c r="P149" s="97"/>
      <c r="Q149" s="97"/>
      <c r="R149" s="97"/>
      <c r="S149" s="97"/>
      <c r="T149" s="97"/>
      <c r="U149" s="97"/>
      <c r="V149" s="97"/>
      <c r="W149" s="97"/>
      <c r="X149" s="97"/>
      <c r="Y149" s="97"/>
      <c r="Z149" s="97"/>
      <c r="AA149" s="97"/>
      <c r="AB149" s="97"/>
    </row>
    <row r="150" spans="1:28" ht="12.75" customHeight="1" x14ac:dyDescent="0.3">
      <c r="A150" s="97"/>
      <c r="B150" s="97"/>
      <c r="D150" s="97"/>
      <c r="F150" s="97"/>
      <c r="G150" s="97"/>
      <c r="H150" s="97"/>
      <c r="I150" s="97"/>
      <c r="J150" s="97"/>
      <c r="K150" s="97"/>
      <c r="L150" s="97"/>
      <c r="M150" s="97"/>
      <c r="N150" s="97"/>
      <c r="O150" s="97"/>
      <c r="P150" s="97"/>
      <c r="Q150" s="97"/>
      <c r="R150" s="97"/>
      <c r="S150" s="97"/>
      <c r="T150" s="97"/>
      <c r="U150" s="97"/>
      <c r="V150" s="97"/>
      <c r="W150" s="97"/>
      <c r="X150" s="97"/>
      <c r="Y150" s="97"/>
      <c r="Z150" s="97"/>
      <c r="AA150" s="97"/>
      <c r="AB150" s="97"/>
    </row>
    <row r="151" spans="1:28" ht="12.75" customHeight="1" x14ac:dyDescent="0.3">
      <c r="A151" s="97"/>
      <c r="B151" s="97"/>
      <c r="D151" s="97"/>
      <c r="F151" s="97"/>
      <c r="G151" s="97"/>
      <c r="H151" s="97"/>
      <c r="I151" s="97"/>
      <c r="J151" s="97"/>
      <c r="K151" s="97"/>
      <c r="L151" s="97"/>
      <c r="M151" s="97"/>
      <c r="N151" s="97"/>
      <c r="O151" s="97"/>
      <c r="P151" s="97"/>
      <c r="Q151" s="97"/>
      <c r="R151" s="97"/>
      <c r="S151" s="97"/>
      <c r="T151" s="97"/>
      <c r="U151" s="97"/>
      <c r="V151" s="97"/>
      <c r="W151" s="97"/>
      <c r="X151" s="97"/>
      <c r="Y151" s="97"/>
      <c r="Z151" s="97"/>
      <c r="AA151" s="97"/>
      <c r="AB151" s="97"/>
    </row>
    <row r="152" spans="1:28" ht="12.75" customHeight="1" x14ac:dyDescent="0.3">
      <c r="A152" s="97"/>
      <c r="B152" s="97"/>
      <c r="D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row>
    <row r="153" spans="1:28" ht="12.75" customHeight="1" x14ac:dyDescent="0.3">
      <c r="A153" s="97"/>
      <c r="B153" s="97"/>
      <c r="D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row>
    <row r="154" spans="1:28" ht="12.75" customHeight="1" x14ac:dyDescent="0.3">
      <c r="A154" s="97"/>
      <c r="B154" s="97"/>
      <c r="D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row>
    <row r="155" spans="1:28" ht="12.75" customHeight="1" x14ac:dyDescent="0.3">
      <c r="A155" s="97"/>
      <c r="B155" s="97"/>
      <c r="D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row>
    <row r="156" spans="1:28" ht="12.75" customHeight="1" x14ac:dyDescent="0.3">
      <c r="A156" s="97"/>
      <c r="B156" s="97"/>
      <c r="D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row>
    <row r="157" spans="1:28" ht="12.75" customHeight="1" x14ac:dyDescent="0.3">
      <c r="A157" s="97"/>
      <c r="B157" s="97"/>
      <c r="D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row>
    <row r="158" spans="1:28" ht="12.75" customHeight="1" x14ac:dyDescent="0.3">
      <c r="A158" s="97"/>
      <c r="B158" s="97"/>
      <c r="D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row>
    <row r="159" spans="1:28" ht="12.75" customHeight="1" x14ac:dyDescent="0.3">
      <c r="A159" s="97"/>
      <c r="B159" s="97"/>
      <c r="D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row>
    <row r="160" spans="1:28" ht="12.75" customHeight="1" x14ac:dyDescent="0.3">
      <c r="A160" s="97"/>
      <c r="B160" s="97"/>
      <c r="D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row>
    <row r="161" spans="1:28" ht="12.75" customHeight="1" x14ac:dyDescent="0.3">
      <c r="A161" s="97"/>
      <c r="B161" s="97"/>
      <c r="D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row>
    <row r="162" spans="1:28" ht="12.75" customHeight="1" x14ac:dyDescent="0.3">
      <c r="A162" s="97"/>
      <c r="B162" s="97"/>
      <c r="D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row>
    <row r="163" spans="1:28" ht="12.75" customHeight="1" x14ac:dyDescent="0.3">
      <c r="A163" s="97"/>
      <c r="B163" s="97"/>
      <c r="D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row>
    <row r="164" spans="1:28" ht="12.75" customHeight="1" x14ac:dyDescent="0.3">
      <c r="A164" s="97"/>
      <c r="B164" s="97"/>
      <c r="D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row>
    <row r="165" spans="1:28" ht="12.75" customHeight="1" x14ac:dyDescent="0.3">
      <c r="A165" s="97"/>
      <c r="B165" s="97"/>
      <c r="D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row>
    <row r="166" spans="1:28" ht="12.75" customHeight="1" x14ac:dyDescent="0.3">
      <c r="A166" s="97"/>
      <c r="B166" s="97"/>
      <c r="D166" s="97"/>
      <c r="F166" s="97"/>
      <c r="G166" s="97"/>
      <c r="H166" s="97"/>
      <c r="I166" s="97"/>
      <c r="J166" s="97"/>
      <c r="K166" s="97"/>
      <c r="L166" s="97"/>
      <c r="M166" s="97"/>
      <c r="N166" s="97"/>
      <c r="O166" s="97"/>
      <c r="P166" s="97"/>
      <c r="Q166" s="97"/>
      <c r="R166" s="97"/>
      <c r="S166" s="97"/>
      <c r="T166" s="97"/>
      <c r="U166" s="97"/>
      <c r="V166" s="97"/>
      <c r="W166" s="97"/>
      <c r="X166" s="97"/>
      <c r="Y166" s="97"/>
      <c r="Z166" s="97"/>
      <c r="AA166" s="97"/>
      <c r="AB166" s="97"/>
    </row>
    <row r="167" spans="1:28" ht="12.75" customHeight="1" x14ac:dyDescent="0.3">
      <c r="A167" s="97"/>
      <c r="B167" s="97"/>
      <c r="D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row>
    <row r="168" spans="1:28" ht="12.75" customHeight="1" x14ac:dyDescent="0.3">
      <c r="A168" s="97"/>
      <c r="B168" s="97"/>
      <c r="D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row>
    <row r="169" spans="1:28" ht="12.75" customHeight="1" x14ac:dyDescent="0.3">
      <c r="A169" s="97"/>
      <c r="B169" s="97"/>
      <c r="D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row>
    <row r="170" spans="1:28" ht="12.75" customHeight="1" x14ac:dyDescent="0.3">
      <c r="A170" s="97"/>
      <c r="B170" s="97"/>
      <c r="D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row>
    <row r="171" spans="1:28" ht="12.75" customHeight="1" x14ac:dyDescent="0.3">
      <c r="A171" s="97"/>
      <c r="B171" s="97"/>
      <c r="D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row>
    <row r="172" spans="1:28" ht="12.75" customHeight="1" x14ac:dyDescent="0.3">
      <c r="A172" s="97"/>
      <c r="B172" s="97"/>
      <c r="D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row>
    <row r="173" spans="1:28" ht="12.75" customHeight="1" x14ac:dyDescent="0.3">
      <c r="A173" s="97"/>
      <c r="B173" s="97"/>
      <c r="D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row>
    <row r="174" spans="1:28" ht="12.75" customHeight="1" x14ac:dyDescent="0.3">
      <c r="A174" s="97"/>
      <c r="B174" s="97"/>
      <c r="D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row>
    <row r="175" spans="1:28" ht="12.75" customHeight="1" x14ac:dyDescent="0.3">
      <c r="A175" s="97"/>
      <c r="B175" s="97"/>
      <c r="D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row>
    <row r="176" spans="1:28" ht="12.75" customHeight="1" x14ac:dyDescent="0.3">
      <c r="A176" s="97"/>
      <c r="B176" s="97"/>
      <c r="D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row>
    <row r="177" spans="1:28" ht="12.75" customHeight="1" x14ac:dyDescent="0.3">
      <c r="A177" s="97"/>
      <c r="B177" s="97"/>
      <c r="D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row>
    <row r="178" spans="1:28" ht="12.75" customHeight="1" x14ac:dyDescent="0.3">
      <c r="A178" s="97"/>
      <c r="B178" s="97"/>
      <c r="D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row>
    <row r="179" spans="1:28" ht="12.75" customHeight="1" x14ac:dyDescent="0.3">
      <c r="A179" s="97"/>
      <c r="B179" s="97"/>
      <c r="D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row>
    <row r="180" spans="1:28" ht="12.75" customHeight="1" x14ac:dyDescent="0.3">
      <c r="A180" s="97"/>
      <c r="B180" s="97"/>
      <c r="D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row>
    <row r="181" spans="1:28" ht="12.75" customHeight="1" x14ac:dyDescent="0.3">
      <c r="A181" s="97"/>
      <c r="B181" s="97"/>
      <c r="D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row>
    <row r="182" spans="1:28" ht="12.75" customHeight="1" x14ac:dyDescent="0.3">
      <c r="A182" s="97"/>
      <c r="B182" s="97"/>
      <c r="D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row>
    <row r="183" spans="1:28" ht="12.75" customHeight="1" x14ac:dyDescent="0.3">
      <c r="A183" s="97"/>
      <c r="B183" s="97"/>
      <c r="D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row>
    <row r="184" spans="1:28" ht="12.75" customHeight="1" x14ac:dyDescent="0.3">
      <c r="A184" s="97"/>
      <c r="B184" s="97"/>
      <c r="D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row>
    <row r="185" spans="1:28" ht="12.75" customHeight="1" x14ac:dyDescent="0.3">
      <c r="A185" s="97"/>
      <c r="B185" s="97"/>
      <c r="D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row>
    <row r="186" spans="1:28" ht="12.75" customHeight="1" x14ac:dyDescent="0.3">
      <c r="A186" s="97"/>
      <c r="B186" s="97"/>
      <c r="D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row>
    <row r="187" spans="1:28" ht="12.75" customHeight="1" x14ac:dyDescent="0.3">
      <c r="A187" s="97"/>
      <c r="B187" s="97"/>
      <c r="D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row>
    <row r="188" spans="1:28" ht="12.75" customHeight="1" x14ac:dyDescent="0.3">
      <c r="A188" s="97"/>
      <c r="B188" s="97"/>
      <c r="D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row>
    <row r="189" spans="1:28" ht="12.75" customHeight="1" x14ac:dyDescent="0.3">
      <c r="A189" s="97"/>
      <c r="B189" s="97"/>
      <c r="D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row>
    <row r="190" spans="1:28" ht="12.75" customHeight="1" x14ac:dyDescent="0.3">
      <c r="A190" s="97"/>
      <c r="B190" s="97"/>
      <c r="D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row>
    <row r="191" spans="1:28" ht="12.75" customHeight="1" x14ac:dyDescent="0.3">
      <c r="A191" s="97"/>
      <c r="B191" s="97"/>
      <c r="D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row>
    <row r="192" spans="1:28" ht="12.75" customHeight="1" x14ac:dyDescent="0.3">
      <c r="A192" s="97"/>
      <c r="B192" s="97"/>
      <c r="D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row>
    <row r="193" spans="1:28" ht="12.75" customHeight="1" x14ac:dyDescent="0.3">
      <c r="A193" s="97"/>
      <c r="B193" s="97"/>
      <c r="D193" s="97"/>
      <c r="F193" s="97"/>
      <c r="G193" s="97"/>
      <c r="H193" s="97"/>
      <c r="I193" s="97"/>
      <c r="J193" s="97"/>
      <c r="K193" s="97"/>
      <c r="L193" s="97"/>
      <c r="M193" s="97"/>
      <c r="N193" s="97"/>
      <c r="O193" s="97"/>
      <c r="P193" s="97"/>
      <c r="Q193" s="97"/>
      <c r="R193" s="97"/>
      <c r="S193" s="97"/>
      <c r="T193" s="97"/>
      <c r="U193" s="97"/>
      <c r="V193" s="97"/>
      <c r="W193" s="97"/>
      <c r="X193" s="97"/>
      <c r="Y193" s="97"/>
      <c r="Z193" s="97"/>
      <c r="AA193" s="97"/>
      <c r="AB193" s="97"/>
    </row>
    <row r="194" spans="1:28" ht="12.75" customHeight="1" x14ac:dyDescent="0.3">
      <c r="A194" s="97"/>
      <c r="B194" s="97"/>
      <c r="D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row>
    <row r="195" spans="1:28" ht="12.75" customHeight="1" x14ac:dyDescent="0.3">
      <c r="A195" s="97"/>
      <c r="B195" s="97"/>
      <c r="D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row>
    <row r="196" spans="1:28" ht="12.75" customHeight="1" x14ac:dyDescent="0.3">
      <c r="A196" s="97"/>
      <c r="B196" s="97"/>
      <c r="D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row>
    <row r="197" spans="1:28" ht="12.75" customHeight="1" x14ac:dyDescent="0.3">
      <c r="A197" s="97"/>
      <c r="B197" s="97"/>
      <c r="D197" s="97"/>
      <c r="F197" s="97"/>
      <c r="G197" s="97"/>
      <c r="H197" s="97"/>
      <c r="I197" s="97"/>
      <c r="J197" s="97"/>
      <c r="K197" s="97"/>
      <c r="L197" s="97"/>
      <c r="M197" s="97"/>
      <c r="N197" s="97"/>
      <c r="O197" s="97"/>
      <c r="P197" s="97"/>
      <c r="Q197" s="97"/>
      <c r="R197" s="97"/>
      <c r="S197" s="97"/>
      <c r="T197" s="97"/>
      <c r="U197" s="97"/>
      <c r="V197" s="97"/>
      <c r="W197" s="97"/>
      <c r="X197" s="97"/>
      <c r="Y197" s="97"/>
      <c r="Z197" s="97"/>
      <c r="AA197" s="97"/>
      <c r="AB197" s="97"/>
    </row>
    <row r="198" spans="1:28" ht="12.75" customHeight="1" x14ac:dyDescent="0.3">
      <c r="A198" s="97"/>
      <c r="B198" s="97"/>
      <c r="D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row>
    <row r="199" spans="1:28" ht="12.75" customHeight="1" x14ac:dyDescent="0.3">
      <c r="A199" s="97"/>
      <c r="B199" s="97"/>
      <c r="D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row>
    <row r="200" spans="1:28" ht="12.75" customHeight="1" x14ac:dyDescent="0.3">
      <c r="A200" s="97"/>
      <c r="B200" s="97"/>
      <c r="D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row>
    <row r="201" spans="1:28" ht="12.75" customHeight="1" x14ac:dyDescent="0.3">
      <c r="A201" s="97"/>
      <c r="B201" s="97"/>
      <c r="D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row>
    <row r="202" spans="1:28" ht="12.75" customHeight="1" x14ac:dyDescent="0.3">
      <c r="A202" s="97"/>
      <c r="B202" s="97"/>
      <c r="D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row>
    <row r="203" spans="1:28" ht="12.75" customHeight="1" x14ac:dyDescent="0.3">
      <c r="A203" s="97"/>
      <c r="B203" s="97"/>
      <c r="D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row>
    <row r="204" spans="1:28" ht="12.75" customHeight="1" x14ac:dyDescent="0.3">
      <c r="A204" s="97"/>
      <c r="B204" s="97"/>
      <c r="D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row>
    <row r="205" spans="1:28" ht="12.75" customHeight="1" x14ac:dyDescent="0.3">
      <c r="A205" s="97"/>
      <c r="B205" s="97"/>
      <c r="D205" s="97"/>
      <c r="F205" s="97"/>
      <c r="G205" s="97"/>
      <c r="H205" s="97"/>
      <c r="I205" s="97"/>
      <c r="J205" s="97"/>
      <c r="K205" s="97"/>
      <c r="L205" s="97"/>
      <c r="M205" s="97"/>
      <c r="N205" s="97"/>
      <c r="O205" s="97"/>
      <c r="P205" s="97"/>
      <c r="Q205" s="97"/>
      <c r="R205" s="97"/>
      <c r="S205" s="97"/>
      <c r="T205" s="97"/>
      <c r="U205" s="97"/>
      <c r="V205" s="97"/>
      <c r="W205" s="97"/>
      <c r="X205" s="97"/>
      <c r="Y205" s="97"/>
      <c r="Z205" s="97"/>
      <c r="AA205" s="97"/>
      <c r="AB205" s="97"/>
    </row>
    <row r="206" spans="1:28" ht="12.75" customHeight="1" x14ac:dyDescent="0.3">
      <c r="A206" s="97"/>
      <c r="B206" s="97"/>
      <c r="D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row>
    <row r="207" spans="1:28" ht="12.75" customHeight="1" x14ac:dyDescent="0.3">
      <c r="A207" s="97"/>
      <c r="B207" s="97"/>
      <c r="D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row>
    <row r="208" spans="1:28" ht="12.75" customHeight="1" x14ac:dyDescent="0.3">
      <c r="A208" s="97"/>
      <c r="B208" s="97"/>
      <c r="D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row>
    <row r="209" spans="1:28" ht="12.75" customHeight="1" x14ac:dyDescent="0.3">
      <c r="A209" s="97"/>
      <c r="B209" s="97"/>
      <c r="D209" s="97"/>
      <c r="F209" s="97"/>
      <c r="G209" s="97"/>
      <c r="H209" s="97"/>
      <c r="I209" s="97"/>
      <c r="J209" s="97"/>
      <c r="K209" s="97"/>
      <c r="L209" s="97"/>
      <c r="M209" s="97"/>
      <c r="N209" s="97"/>
      <c r="O209" s="97"/>
      <c r="P209" s="97"/>
      <c r="Q209" s="97"/>
      <c r="R209" s="97"/>
      <c r="S209" s="97"/>
      <c r="T209" s="97"/>
      <c r="U209" s="97"/>
      <c r="V209" s="97"/>
      <c r="W209" s="97"/>
      <c r="X209" s="97"/>
      <c r="Y209" s="97"/>
      <c r="Z209" s="97"/>
      <c r="AA209" s="97"/>
      <c r="AB209" s="97"/>
    </row>
    <row r="210" spans="1:28" ht="12.75" customHeight="1" x14ac:dyDescent="0.3">
      <c r="A210" s="97"/>
      <c r="B210" s="97"/>
      <c r="D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row>
    <row r="211" spans="1:28" ht="12.75" customHeight="1" x14ac:dyDescent="0.3">
      <c r="A211" s="97"/>
      <c r="B211" s="97"/>
      <c r="D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row>
    <row r="212" spans="1:28" ht="12.75" customHeight="1" x14ac:dyDescent="0.3">
      <c r="A212" s="97"/>
      <c r="B212" s="97"/>
      <c r="D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row>
    <row r="213" spans="1:28" ht="12.75" customHeight="1" x14ac:dyDescent="0.3">
      <c r="A213" s="97"/>
      <c r="B213" s="97"/>
      <c r="D213" s="97"/>
      <c r="F213" s="97"/>
      <c r="G213" s="97"/>
      <c r="H213" s="97"/>
      <c r="I213" s="97"/>
      <c r="J213" s="97"/>
      <c r="K213" s="97"/>
      <c r="L213" s="97"/>
      <c r="M213" s="97"/>
      <c r="N213" s="97"/>
      <c r="O213" s="97"/>
      <c r="P213" s="97"/>
      <c r="Q213" s="97"/>
      <c r="R213" s="97"/>
      <c r="S213" s="97"/>
      <c r="T213" s="97"/>
      <c r="U213" s="97"/>
      <c r="V213" s="97"/>
      <c r="W213" s="97"/>
      <c r="X213" s="97"/>
      <c r="Y213" s="97"/>
      <c r="Z213" s="97"/>
      <c r="AA213" s="97"/>
      <c r="AB213" s="97"/>
    </row>
    <row r="214" spans="1:28" ht="12.75" customHeight="1" x14ac:dyDescent="0.3">
      <c r="A214" s="97"/>
      <c r="B214" s="97"/>
      <c r="D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row>
    <row r="215" spans="1:28" ht="12.75" customHeight="1" x14ac:dyDescent="0.3">
      <c r="A215" s="97"/>
      <c r="B215" s="97"/>
      <c r="D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row>
    <row r="216" spans="1:28" ht="12.75" customHeight="1" x14ac:dyDescent="0.3">
      <c r="A216" s="97"/>
      <c r="B216" s="97"/>
      <c r="D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row>
    <row r="217" spans="1:28" ht="12.75" customHeight="1" x14ac:dyDescent="0.3">
      <c r="A217" s="97"/>
      <c r="B217" s="97"/>
      <c r="D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row>
    <row r="218" spans="1:28" ht="12.75" customHeight="1" x14ac:dyDescent="0.3">
      <c r="A218" s="97"/>
      <c r="B218" s="97"/>
      <c r="D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row>
    <row r="219" spans="1:28" ht="12.75" customHeight="1" x14ac:dyDescent="0.3">
      <c r="A219" s="97"/>
      <c r="B219" s="97"/>
      <c r="D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row>
    <row r="220" spans="1:28" ht="12.75" customHeight="1" x14ac:dyDescent="0.3">
      <c r="A220" s="97"/>
      <c r="B220" s="97"/>
      <c r="D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row>
    <row r="221" spans="1:28" ht="12.75" customHeight="1" x14ac:dyDescent="0.3">
      <c r="A221" s="97"/>
      <c r="B221" s="97"/>
      <c r="D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row>
    <row r="222" spans="1:28" ht="12.75" customHeight="1" x14ac:dyDescent="0.3">
      <c r="A222" s="97"/>
      <c r="B222" s="97"/>
      <c r="D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row>
    <row r="223" spans="1:28" ht="12.75" customHeight="1" x14ac:dyDescent="0.3">
      <c r="A223" s="97"/>
      <c r="B223" s="97"/>
      <c r="D223" s="97"/>
      <c r="F223" s="97"/>
      <c r="G223" s="97"/>
      <c r="H223" s="97"/>
      <c r="I223" s="97"/>
      <c r="J223" s="97"/>
      <c r="K223" s="97"/>
      <c r="L223" s="97"/>
      <c r="M223" s="97"/>
      <c r="N223" s="97"/>
      <c r="O223" s="97"/>
      <c r="P223" s="97"/>
      <c r="Q223" s="97"/>
      <c r="R223" s="97"/>
      <c r="S223" s="97"/>
      <c r="T223" s="97"/>
      <c r="U223" s="97"/>
      <c r="V223" s="97"/>
      <c r="W223" s="97"/>
      <c r="X223" s="97"/>
      <c r="Y223" s="97"/>
      <c r="Z223" s="97"/>
      <c r="AA223" s="97"/>
      <c r="AB223" s="97"/>
    </row>
    <row r="224" spans="1:28" ht="12.75" customHeight="1" x14ac:dyDescent="0.3">
      <c r="A224" s="97"/>
      <c r="B224" s="97"/>
      <c r="D224" s="97"/>
      <c r="F224" s="97"/>
      <c r="G224" s="97"/>
      <c r="H224" s="97"/>
      <c r="I224" s="97"/>
      <c r="J224" s="97"/>
      <c r="K224" s="97"/>
      <c r="L224" s="97"/>
      <c r="M224" s="97"/>
      <c r="N224" s="97"/>
      <c r="O224" s="97"/>
      <c r="P224" s="97"/>
      <c r="Q224" s="97"/>
      <c r="R224" s="97"/>
      <c r="S224" s="97"/>
      <c r="T224" s="97"/>
      <c r="U224" s="97"/>
      <c r="V224" s="97"/>
      <c r="W224" s="97"/>
      <c r="X224" s="97"/>
      <c r="Y224" s="97"/>
      <c r="Z224" s="97"/>
      <c r="AA224" s="97"/>
      <c r="AB224" s="97"/>
    </row>
    <row r="225" spans="1:28" ht="12.75" customHeight="1" x14ac:dyDescent="0.3">
      <c r="A225" s="97"/>
      <c r="B225" s="97"/>
      <c r="D225" s="97"/>
      <c r="F225" s="97"/>
      <c r="G225" s="97"/>
      <c r="H225" s="97"/>
      <c r="I225" s="97"/>
      <c r="J225" s="97"/>
      <c r="K225" s="97"/>
      <c r="L225" s="97"/>
      <c r="M225" s="97"/>
      <c r="N225" s="97"/>
      <c r="O225" s="97"/>
      <c r="P225" s="97"/>
      <c r="Q225" s="97"/>
      <c r="R225" s="97"/>
      <c r="S225" s="97"/>
      <c r="T225" s="97"/>
      <c r="U225" s="97"/>
      <c r="V225" s="97"/>
      <c r="W225" s="97"/>
      <c r="X225" s="97"/>
      <c r="Y225" s="97"/>
      <c r="Z225" s="97"/>
      <c r="AA225" s="97"/>
      <c r="AB225" s="97"/>
    </row>
    <row r="226" spans="1:28" ht="12.75" customHeight="1" x14ac:dyDescent="0.3">
      <c r="A226" s="97"/>
      <c r="B226" s="97"/>
      <c r="D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row>
    <row r="227" spans="1:28" ht="12.75" customHeight="1" x14ac:dyDescent="0.3">
      <c r="A227" s="97"/>
      <c r="B227" s="97"/>
      <c r="D227" s="97"/>
      <c r="F227" s="97"/>
      <c r="G227" s="97"/>
      <c r="H227" s="97"/>
      <c r="I227" s="97"/>
      <c r="J227" s="97"/>
      <c r="K227" s="97"/>
      <c r="L227" s="97"/>
      <c r="M227" s="97"/>
      <c r="N227" s="97"/>
      <c r="O227" s="97"/>
      <c r="P227" s="97"/>
      <c r="Q227" s="97"/>
      <c r="R227" s="97"/>
      <c r="S227" s="97"/>
      <c r="T227" s="97"/>
      <c r="U227" s="97"/>
      <c r="V227" s="97"/>
      <c r="W227" s="97"/>
      <c r="X227" s="97"/>
      <c r="Y227" s="97"/>
      <c r="Z227" s="97"/>
      <c r="AA227" s="97"/>
      <c r="AB227" s="97"/>
    </row>
    <row r="228" spans="1:28" ht="12.75" customHeight="1" x14ac:dyDescent="0.3">
      <c r="A228" s="97"/>
      <c r="B228" s="97"/>
      <c r="D228" s="97"/>
      <c r="F228" s="97"/>
      <c r="G228" s="97"/>
      <c r="H228" s="97"/>
      <c r="I228" s="97"/>
      <c r="J228" s="97"/>
      <c r="K228" s="97"/>
      <c r="L228" s="97"/>
      <c r="M228" s="97"/>
      <c r="N228" s="97"/>
      <c r="O228" s="97"/>
      <c r="P228" s="97"/>
      <c r="Q228" s="97"/>
      <c r="R228" s="97"/>
      <c r="S228" s="97"/>
      <c r="T228" s="97"/>
      <c r="U228" s="97"/>
      <c r="V228" s="97"/>
      <c r="W228" s="97"/>
      <c r="X228" s="97"/>
      <c r="Y228" s="97"/>
      <c r="Z228" s="97"/>
      <c r="AA228" s="97"/>
      <c r="AB228" s="97"/>
    </row>
    <row r="229" spans="1:28" ht="12.75" customHeight="1" x14ac:dyDescent="0.3">
      <c r="A229" s="97"/>
      <c r="B229" s="97"/>
      <c r="D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row>
    <row r="230" spans="1:28" ht="12.75" customHeight="1" x14ac:dyDescent="0.3">
      <c r="A230" s="97"/>
      <c r="B230" s="97"/>
      <c r="D230" s="97"/>
      <c r="F230" s="97"/>
      <c r="G230" s="97"/>
      <c r="H230" s="97"/>
      <c r="I230" s="97"/>
      <c r="J230" s="97"/>
      <c r="K230" s="97"/>
      <c r="L230" s="97"/>
      <c r="M230" s="97"/>
      <c r="N230" s="97"/>
      <c r="O230" s="97"/>
      <c r="P230" s="97"/>
      <c r="Q230" s="97"/>
      <c r="R230" s="97"/>
      <c r="S230" s="97"/>
      <c r="T230" s="97"/>
      <c r="U230" s="97"/>
      <c r="V230" s="97"/>
      <c r="W230" s="97"/>
      <c r="X230" s="97"/>
      <c r="Y230" s="97"/>
      <c r="Z230" s="97"/>
      <c r="AA230" s="97"/>
      <c r="AB230" s="97"/>
    </row>
    <row r="231" spans="1:28" ht="12.75" customHeight="1" x14ac:dyDescent="0.3">
      <c r="A231" s="97"/>
      <c r="B231" s="97"/>
      <c r="D231" s="97"/>
      <c r="F231" s="97"/>
      <c r="G231" s="97"/>
      <c r="H231" s="97"/>
      <c r="I231" s="97"/>
      <c r="J231" s="97"/>
      <c r="K231" s="97"/>
      <c r="L231" s="97"/>
      <c r="M231" s="97"/>
      <c r="N231" s="97"/>
      <c r="O231" s="97"/>
      <c r="P231" s="97"/>
      <c r="Q231" s="97"/>
      <c r="R231" s="97"/>
      <c r="S231" s="97"/>
      <c r="T231" s="97"/>
      <c r="U231" s="97"/>
      <c r="V231" s="97"/>
      <c r="W231" s="97"/>
      <c r="X231" s="97"/>
      <c r="Y231" s="97"/>
      <c r="Z231" s="97"/>
      <c r="AA231" s="97"/>
      <c r="AB231" s="97"/>
    </row>
    <row r="232" spans="1:28" ht="12.75" customHeight="1" x14ac:dyDescent="0.3">
      <c r="A232" s="97"/>
      <c r="B232" s="97"/>
      <c r="D232" s="97"/>
      <c r="F232" s="97"/>
      <c r="G232" s="97"/>
      <c r="H232" s="97"/>
      <c r="I232" s="97"/>
      <c r="J232" s="97"/>
      <c r="K232" s="97"/>
      <c r="L232" s="97"/>
      <c r="M232" s="97"/>
      <c r="N232" s="97"/>
      <c r="O232" s="97"/>
      <c r="P232" s="97"/>
      <c r="Q232" s="97"/>
      <c r="R232" s="97"/>
      <c r="S232" s="97"/>
      <c r="T232" s="97"/>
      <c r="U232" s="97"/>
      <c r="V232" s="97"/>
      <c r="W232" s="97"/>
      <c r="X232" s="97"/>
      <c r="Y232" s="97"/>
      <c r="Z232" s="97"/>
      <c r="AA232" s="97"/>
      <c r="AB232" s="97"/>
    </row>
    <row r="233" spans="1:28" ht="12.75" customHeight="1" x14ac:dyDescent="0.3">
      <c r="A233" s="97"/>
      <c r="B233" s="97"/>
      <c r="D233" s="97"/>
      <c r="F233" s="97"/>
      <c r="G233" s="97"/>
      <c r="H233" s="97"/>
      <c r="I233" s="97"/>
      <c r="J233" s="97"/>
      <c r="K233" s="97"/>
      <c r="L233" s="97"/>
      <c r="M233" s="97"/>
      <c r="N233" s="97"/>
      <c r="O233" s="97"/>
      <c r="P233" s="97"/>
      <c r="Q233" s="97"/>
      <c r="R233" s="97"/>
      <c r="S233" s="97"/>
      <c r="T233" s="97"/>
      <c r="U233" s="97"/>
      <c r="V233" s="97"/>
      <c r="W233" s="97"/>
      <c r="X233" s="97"/>
      <c r="Y233" s="97"/>
      <c r="Z233" s="97"/>
      <c r="AA233" s="97"/>
      <c r="AB233" s="97"/>
    </row>
    <row r="234" spans="1:28" ht="12.75" customHeight="1" x14ac:dyDescent="0.3">
      <c r="A234" s="97"/>
      <c r="B234" s="97"/>
      <c r="D234" s="97"/>
      <c r="F234" s="97"/>
      <c r="G234" s="97"/>
      <c r="H234" s="97"/>
      <c r="I234" s="97"/>
      <c r="J234" s="97"/>
      <c r="K234" s="97"/>
      <c r="L234" s="97"/>
      <c r="M234" s="97"/>
      <c r="N234" s="97"/>
      <c r="O234" s="97"/>
      <c r="P234" s="97"/>
      <c r="Q234" s="97"/>
      <c r="R234" s="97"/>
      <c r="S234" s="97"/>
      <c r="T234" s="97"/>
      <c r="U234" s="97"/>
      <c r="V234" s="97"/>
      <c r="W234" s="97"/>
      <c r="X234" s="97"/>
      <c r="Y234" s="97"/>
      <c r="Z234" s="97"/>
      <c r="AA234" s="97"/>
      <c r="AB234" s="97"/>
    </row>
    <row r="235" spans="1:28" ht="12.75" customHeight="1" x14ac:dyDescent="0.3">
      <c r="A235" s="97"/>
      <c r="B235" s="97"/>
      <c r="D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row>
    <row r="236" spans="1:28" ht="12.75" customHeight="1" x14ac:dyDescent="0.3">
      <c r="A236" s="97"/>
      <c r="B236" s="97"/>
      <c r="D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row>
    <row r="237" spans="1:28" ht="12.75" customHeight="1" x14ac:dyDescent="0.3">
      <c r="A237" s="97"/>
      <c r="B237" s="97"/>
      <c r="D237" s="97"/>
      <c r="F237" s="97"/>
      <c r="G237" s="97"/>
      <c r="H237" s="97"/>
      <c r="I237" s="97"/>
      <c r="J237" s="97"/>
      <c r="K237" s="97"/>
      <c r="L237" s="97"/>
      <c r="M237" s="97"/>
      <c r="N237" s="97"/>
      <c r="O237" s="97"/>
      <c r="P237" s="97"/>
      <c r="Q237" s="97"/>
      <c r="R237" s="97"/>
      <c r="S237" s="97"/>
      <c r="T237" s="97"/>
      <c r="U237" s="97"/>
      <c r="V237" s="97"/>
      <c r="W237" s="97"/>
      <c r="X237" s="97"/>
      <c r="Y237" s="97"/>
      <c r="Z237" s="97"/>
      <c r="AA237" s="97"/>
      <c r="AB237" s="97"/>
    </row>
    <row r="238" spans="1:28" ht="12.75" customHeight="1" x14ac:dyDescent="0.3">
      <c r="A238" s="97"/>
      <c r="B238" s="97"/>
      <c r="D238" s="97"/>
      <c r="F238" s="97"/>
      <c r="G238" s="97"/>
      <c r="H238" s="97"/>
      <c r="I238" s="97"/>
      <c r="J238" s="97"/>
      <c r="K238" s="97"/>
      <c r="L238" s="97"/>
      <c r="M238" s="97"/>
      <c r="N238" s="97"/>
      <c r="O238" s="97"/>
      <c r="P238" s="97"/>
      <c r="Q238" s="97"/>
      <c r="R238" s="97"/>
      <c r="S238" s="97"/>
      <c r="T238" s="97"/>
      <c r="U238" s="97"/>
      <c r="V238" s="97"/>
      <c r="W238" s="97"/>
      <c r="X238" s="97"/>
      <c r="Y238" s="97"/>
      <c r="Z238" s="97"/>
      <c r="AA238" s="97"/>
      <c r="AB238" s="97"/>
    </row>
    <row r="239" spans="1:28" ht="12.75" customHeight="1" x14ac:dyDescent="0.3">
      <c r="A239" s="97"/>
      <c r="B239" s="97"/>
      <c r="D239" s="97"/>
      <c r="F239" s="97"/>
      <c r="G239" s="97"/>
      <c r="H239" s="97"/>
      <c r="I239" s="97"/>
      <c r="J239" s="97"/>
      <c r="K239" s="97"/>
      <c r="L239" s="97"/>
      <c r="M239" s="97"/>
      <c r="N239" s="97"/>
      <c r="O239" s="97"/>
      <c r="P239" s="97"/>
      <c r="Q239" s="97"/>
      <c r="R239" s="97"/>
      <c r="S239" s="97"/>
      <c r="T239" s="97"/>
      <c r="U239" s="97"/>
      <c r="V239" s="97"/>
      <c r="W239" s="97"/>
      <c r="X239" s="97"/>
      <c r="Y239" s="97"/>
      <c r="Z239" s="97"/>
      <c r="AA239" s="97"/>
      <c r="AB239" s="97"/>
    </row>
    <row r="240" spans="1:28" ht="12.75" customHeight="1" x14ac:dyDescent="0.3">
      <c r="A240" s="97"/>
      <c r="B240" s="97"/>
      <c r="D240" s="97"/>
      <c r="F240" s="97"/>
      <c r="G240" s="97"/>
      <c r="H240" s="97"/>
      <c r="I240" s="97"/>
      <c r="J240" s="97"/>
      <c r="K240" s="97"/>
      <c r="L240" s="97"/>
      <c r="M240" s="97"/>
      <c r="N240" s="97"/>
      <c r="O240" s="97"/>
      <c r="P240" s="97"/>
      <c r="Q240" s="97"/>
      <c r="R240" s="97"/>
      <c r="S240" s="97"/>
      <c r="T240" s="97"/>
      <c r="U240" s="97"/>
      <c r="V240" s="97"/>
      <c r="W240" s="97"/>
      <c r="X240" s="97"/>
      <c r="Y240" s="97"/>
      <c r="Z240" s="97"/>
      <c r="AA240" s="97"/>
      <c r="AB240" s="97"/>
    </row>
    <row r="241" spans="1:28" ht="12.75" customHeight="1" x14ac:dyDescent="0.3">
      <c r="A241" s="97"/>
      <c r="B241" s="97"/>
      <c r="D241" s="97"/>
      <c r="F241" s="97"/>
      <c r="G241" s="97"/>
      <c r="H241" s="97"/>
      <c r="I241" s="97"/>
      <c r="J241" s="97"/>
      <c r="K241" s="97"/>
      <c r="L241" s="97"/>
      <c r="M241" s="97"/>
      <c r="N241" s="97"/>
      <c r="O241" s="97"/>
      <c r="P241" s="97"/>
      <c r="Q241" s="97"/>
      <c r="R241" s="97"/>
      <c r="S241" s="97"/>
      <c r="T241" s="97"/>
      <c r="U241" s="97"/>
      <c r="V241" s="97"/>
      <c r="W241" s="97"/>
      <c r="X241" s="97"/>
      <c r="Y241" s="97"/>
      <c r="Z241" s="97"/>
      <c r="AA241" s="97"/>
      <c r="AB241" s="97"/>
    </row>
    <row r="242" spans="1:28" ht="12.75" customHeight="1" x14ac:dyDescent="0.3">
      <c r="A242" s="97"/>
      <c r="B242" s="97"/>
      <c r="D242" s="97"/>
      <c r="F242" s="97"/>
      <c r="G242" s="97"/>
      <c r="H242" s="97"/>
      <c r="I242" s="97"/>
      <c r="J242" s="97"/>
      <c r="K242" s="97"/>
      <c r="L242" s="97"/>
      <c r="M242" s="97"/>
      <c r="N242" s="97"/>
      <c r="O242" s="97"/>
      <c r="P242" s="97"/>
      <c r="Q242" s="97"/>
      <c r="R242" s="97"/>
      <c r="S242" s="97"/>
      <c r="T242" s="97"/>
      <c r="U242" s="97"/>
      <c r="V242" s="97"/>
      <c r="W242" s="97"/>
      <c r="X242" s="97"/>
      <c r="Y242" s="97"/>
      <c r="Z242" s="97"/>
      <c r="AA242" s="97"/>
      <c r="AB242" s="97"/>
    </row>
    <row r="243" spans="1:28" ht="12.75" customHeight="1" x14ac:dyDescent="0.3">
      <c r="A243" s="97"/>
      <c r="B243" s="97"/>
      <c r="D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row>
    <row r="244" spans="1:28" ht="12.75" customHeight="1" x14ac:dyDescent="0.3">
      <c r="A244" s="97"/>
      <c r="B244" s="97"/>
      <c r="D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row>
    <row r="245" spans="1:28" ht="12.75" customHeight="1" x14ac:dyDescent="0.3">
      <c r="A245" s="97"/>
      <c r="B245" s="97"/>
      <c r="D245" s="97"/>
      <c r="F245" s="97"/>
      <c r="G245" s="97"/>
      <c r="H245" s="97"/>
      <c r="I245" s="97"/>
      <c r="J245" s="97"/>
      <c r="K245" s="97"/>
      <c r="L245" s="97"/>
      <c r="M245" s="97"/>
      <c r="N245" s="97"/>
      <c r="O245" s="97"/>
      <c r="P245" s="97"/>
      <c r="Q245" s="97"/>
      <c r="R245" s="97"/>
      <c r="S245" s="97"/>
      <c r="T245" s="97"/>
      <c r="U245" s="97"/>
      <c r="V245" s="97"/>
      <c r="W245" s="97"/>
      <c r="X245" s="97"/>
      <c r="Y245" s="97"/>
      <c r="Z245" s="97"/>
      <c r="AA245" s="97"/>
      <c r="AB245" s="97"/>
    </row>
    <row r="246" spans="1:28" ht="12.75" customHeight="1" x14ac:dyDescent="0.3">
      <c r="A246" s="97"/>
      <c r="B246" s="97"/>
      <c r="D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row>
    <row r="247" spans="1:28" ht="12.75" customHeight="1" x14ac:dyDescent="0.3">
      <c r="A247" s="97"/>
      <c r="B247" s="97"/>
      <c r="D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row>
    <row r="248" spans="1:28" ht="12.75" customHeight="1" x14ac:dyDescent="0.3">
      <c r="A248" s="97"/>
      <c r="B248" s="97"/>
      <c r="D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row>
    <row r="249" spans="1:28" ht="12.75" customHeight="1" x14ac:dyDescent="0.3">
      <c r="A249" s="97"/>
      <c r="B249" s="97"/>
      <c r="D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row>
    <row r="250" spans="1:28" ht="12.75" customHeight="1" x14ac:dyDescent="0.3">
      <c r="A250" s="97"/>
      <c r="B250" s="97"/>
      <c r="D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row>
    <row r="251" spans="1:28" ht="12.75" customHeight="1" x14ac:dyDescent="0.3">
      <c r="A251" s="97"/>
      <c r="B251" s="97"/>
      <c r="D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row>
    <row r="252" spans="1:28" ht="12.75" customHeight="1" x14ac:dyDescent="0.3">
      <c r="A252" s="97"/>
      <c r="B252" s="97"/>
      <c r="D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row>
    <row r="253" spans="1:28" ht="12.75" customHeight="1" x14ac:dyDescent="0.3">
      <c r="A253" s="97"/>
      <c r="B253" s="97"/>
      <c r="D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row>
    <row r="254" spans="1:28" ht="12.75" customHeight="1" x14ac:dyDescent="0.3">
      <c r="A254" s="97"/>
      <c r="B254" s="97"/>
      <c r="D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row>
    <row r="255" spans="1:28" ht="12.75" customHeight="1" x14ac:dyDescent="0.3">
      <c r="A255" s="97"/>
      <c r="B255" s="97"/>
      <c r="D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row>
    <row r="256" spans="1:28" ht="12.75" customHeight="1" x14ac:dyDescent="0.3">
      <c r="A256" s="97"/>
      <c r="B256" s="97"/>
      <c r="D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row>
    <row r="257" spans="1:28" ht="12.75" customHeight="1" x14ac:dyDescent="0.3">
      <c r="A257" s="97"/>
      <c r="B257" s="97"/>
      <c r="D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row>
    <row r="258" spans="1:28" ht="12.75" customHeight="1" x14ac:dyDescent="0.3">
      <c r="A258" s="97"/>
      <c r="B258" s="97"/>
      <c r="D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row>
    <row r="259" spans="1:28" ht="12.75" customHeight="1" x14ac:dyDescent="0.3">
      <c r="A259" s="97"/>
      <c r="B259" s="97"/>
      <c r="D259" s="97"/>
      <c r="F259" s="97"/>
      <c r="G259" s="97"/>
      <c r="H259" s="97"/>
      <c r="I259" s="97"/>
      <c r="J259" s="97"/>
      <c r="K259" s="97"/>
      <c r="L259" s="97"/>
      <c r="M259" s="97"/>
      <c r="N259" s="97"/>
      <c r="O259" s="97"/>
      <c r="P259" s="97"/>
      <c r="Q259" s="97"/>
      <c r="R259" s="97"/>
      <c r="S259" s="97"/>
      <c r="T259" s="97"/>
      <c r="U259" s="97"/>
      <c r="V259" s="97"/>
      <c r="W259" s="97"/>
      <c r="X259" s="97"/>
      <c r="Y259" s="97"/>
      <c r="Z259" s="97"/>
      <c r="AA259" s="97"/>
      <c r="AB259" s="97"/>
    </row>
    <row r="260" spans="1:28" ht="12.75" customHeight="1" x14ac:dyDescent="0.3">
      <c r="A260" s="97"/>
      <c r="B260" s="97"/>
      <c r="D260" s="97"/>
      <c r="F260" s="97"/>
      <c r="G260" s="97"/>
      <c r="H260" s="97"/>
      <c r="I260" s="97"/>
      <c r="J260" s="97"/>
      <c r="K260" s="97"/>
      <c r="L260" s="97"/>
      <c r="M260" s="97"/>
      <c r="N260" s="97"/>
      <c r="O260" s="97"/>
      <c r="P260" s="97"/>
      <c r="Q260" s="97"/>
      <c r="R260" s="97"/>
      <c r="S260" s="97"/>
      <c r="T260" s="97"/>
      <c r="U260" s="97"/>
      <c r="V260" s="97"/>
      <c r="W260" s="97"/>
      <c r="X260" s="97"/>
      <c r="Y260" s="97"/>
      <c r="Z260" s="97"/>
      <c r="AA260" s="97"/>
      <c r="AB260" s="97"/>
    </row>
    <row r="261" spans="1:28" ht="12.75" customHeight="1" x14ac:dyDescent="0.3">
      <c r="A261" s="97"/>
      <c r="B261" s="97"/>
      <c r="D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row>
    <row r="262" spans="1:28" ht="12.75" customHeight="1" x14ac:dyDescent="0.3">
      <c r="A262" s="97"/>
      <c r="B262" s="97"/>
      <c r="D262" s="97"/>
      <c r="F262" s="97"/>
      <c r="G262" s="97"/>
      <c r="H262" s="97"/>
      <c r="I262" s="97"/>
      <c r="J262" s="97"/>
      <c r="K262" s="97"/>
      <c r="L262" s="97"/>
      <c r="M262" s="97"/>
      <c r="N262" s="97"/>
      <c r="O262" s="97"/>
      <c r="P262" s="97"/>
      <c r="Q262" s="97"/>
      <c r="R262" s="97"/>
      <c r="S262" s="97"/>
      <c r="T262" s="97"/>
      <c r="U262" s="97"/>
      <c r="V262" s="97"/>
      <c r="W262" s="97"/>
      <c r="X262" s="97"/>
      <c r="Y262" s="97"/>
      <c r="Z262" s="97"/>
      <c r="AA262" s="97"/>
      <c r="AB262" s="97"/>
    </row>
    <row r="263" spans="1:28" ht="12.75" customHeight="1" x14ac:dyDescent="0.3">
      <c r="A263" s="97"/>
      <c r="B263" s="97"/>
      <c r="D263" s="97"/>
      <c r="F263" s="97"/>
      <c r="G263" s="97"/>
      <c r="H263" s="97"/>
      <c r="I263" s="97"/>
      <c r="J263" s="97"/>
      <c r="K263" s="97"/>
      <c r="L263" s="97"/>
      <c r="M263" s="97"/>
      <c r="N263" s="97"/>
      <c r="O263" s="97"/>
      <c r="P263" s="97"/>
      <c r="Q263" s="97"/>
      <c r="R263" s="97"/>
      <c r="S263" s="97"/>
      <c r="T263" s="97"/>
      <c r="U263" s="97"/>
      <c r="V263" s="97"/>
      <c r="W263" s="97"/>
      <c r="X263" s="97"/>
      <c r="Y263" s="97"/>
      <c r="Z263" s="97"/>
      <c r="AA263" s="97"/>
      <c r="AB263" s="97"/>
    </row>
    <row r="264" spans="1:28" ht="12.75" customHeight="1" x14ac:dyDescent="0.3">
      <c r="A264" s="97"/>
      <c r="B264" s="97"/>
      <c r="D264" s="97"/>
      <c r="F264" s="97"/>
      <c r="G264" s="97"/>
      <c r="H264" s="97"/>
      <c r="I264" s="97"/>
      <c r="J264" s="97"/>
      <c r="K264" s="97"/>
      <c r="L264" s="97"/>
      <c r="M264" s="97"/>
      <c r="N264" s="97"/>
      <c r="O264" s="97"/>
      <c r="P264" s="97"/>
      <c r="Q264" s="97"/>
      <c r="R264" s="97"/>
      <c r="S264" s="97"/>
      <c r="T264" s="97"/>
      <c r="U264" s="97"/>
      <c r="V264" s="97"/>
      <c r="W264" s="97"/>
      <c r="X264" s="97"/>
      <c r="Y264" s="97"/>
      <c r="Z264" s="97"/>
      <c r="AA264" s="97"/>
      <c r="AB264" s="97"/>
    </row>
    <row r="265" spans="1:28" ht="12.75" customHeight="1" x14ac:dyDescent="0.3">
      <c r="A265" s="97"/>
      <c r="B265" s="97"/>
      <c r="D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row>
    <row r="266" spans="1:28" ht="12.75" customHeight="1" x14ac:dyDescent="0.3">
      <c r="A266" s="97"/>
      <c r="B266" s="97"/>
      <c r="D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row>
    <row r="267" spans="1:28" ht="12.75" customHeight="1" x14ac:dyDescent="0.3">
      <c r="A267" s="97"/>
      <c r="B267" s="97"/>
      <c r="D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row>
    <row r="268" spans="1:28" ht="12.75" customHeight="1" x14ac:dyDescent="0.3">
      <c r="A268" s="97"/>
      <c r="B268" s="97"/>
      <c r="D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row>
    <row r="269" spans="1:28" ht="12.75" customHeight="1" x14ac:dyDescent="0.3">
      <c r="A269" s="97"/>
      <c r="B269" s="97"/>
      <c r="D269" s="97"/>
      <c r="F269" s="97"/>
      <c r="G269" s="97"/>
      <c r="H269" s="97"/>
      <c r="I269" s="97"/>
      <c r="J269" s="97"/>
      <c r="K269" s="97"/>
      <c r="L269" s="97"/>
      <c r="M269" s="97"/>
      <c r="N269" s="97"/>
      <c r="O269" s="97"/>
      <c r="P269" s="97"/>
      <c r="Q269" s="97"/>
      <c r="R269" s="97"/>
      <c r="S269" s="97"/>
      <c r="T269" s="97"/>
      <c r="U269" s="97"/>
      <c r="V269" s="97"/>
      <c r="W269" s="97"/>
      <c r="X269" s="97"/>
      <c r="Y269" s="97"/>
      <c r="Z269" s="97"/>
      <c r="AA269" s="97"/>
      <c r="AB269" s="97"/>
    </row>
    <row r="270" spans="1:28" ht="12.75" customHeight="1" x14ac:dyDescent="0.3">
      <c r="A270" s="97"/>
      <c r="B270" s="97"/>
      <c r="D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row>
    <row r="271" spans="1:28" ht="12.75" customHeight="1" x14ac:dyDescent="0.3">
      <c r="A271" s="97"/>
      <c r="B271" s="97"/>
      <c r="D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row>
    <row r="272" spans="1:28" ht="12.75" customHeight="1" x14ac:dyDescent="0.3">
      <c r="A272" s="97"/>
      <c r="B272" s="97"/>
      <c r="D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row>
    <row r="273" spans="1:28" ht="12.75" customHeight="1" x14ac:dyDescent="0.3">
      <c r="A273" s="97"/>
      <c r="B273" s="97"/>
      <c r="D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row>
    <row r="274" spans="1:28" ht="12.75" customHeight="1" x14ac:dyDescent="0.3">
      <c r="A274" s="97"/>
      <c r="B274" s="97"/>
      <c r="D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row>
    <row r="275" spans="1:28" ht="12.75" customHeight="1" x14ac:dyDescent="0.3">
      <c r="A275" s="97"/>
      <c r="B275" s="97"/>
      <c r="D275" s="97"/>
      <c r="F275" s="97"/>
      <c r="G275" s="97"/>
      <c r="H275" s="97"/>
      <c r="I275" s="97"/>
      <c r="J275" s="97"/>
      <c r="K275" s="97"/>
      <c r="L275" s="97"/>
      <c r="M275" s="97"/>
      <c r="N275" s="97"/>
      <c r="O275" s="97"/>
      <c r="P275" s="97"/>
      <c r="Q275" s="97"/>
      <c r="R275" s="97"/>
      <c r="S275" s="97"/>
      <c r="T275" s="97"/>
      <c r="U275" s="97"/>
      <c r="V275" s="97"/>
      <c r="W275" s="97"/>
      <c r="X275" s="97"/>
      <c r="Y275" s="97"/>
      <c r="Z275" s="97"/>
      <c r="AA275" s="97"/>
      <c r="AB275" s="97"/>
    </row>
    <row r="276" spans="1:28" ht="12.75" customHeight="1" x14ac:dyDescent="0.3">
      <c r="A276" s="97"/>
      <c r="B276" s="97"/>
      <c r="D276" s="97"/>
      <c r="F276" s="97"/>
      <c r="G276" s="97"/>
      <c r="H276" s="97"/>
      <c r="I276" s="97"/>
      <c r="J276" s="97"/>
      <c r="K276" s="97"/>
      <c r="L276" s="97"/>
      <c r="M276" s="97"/>
      <c r="N276" s="97"/>
      <c r="O276" s="97"/>
      <c r="P276" s="97"/>
      <c r="Q276" s="97"/>
      <c r="R276" s="97"/>
      <c r="S276" s="97"/>
      <c r="T276" s="97"/>
      <c r="U276" s="97"/>
      <c r="V276" s="97"/>
      <c r="W276" s="97"/>
      <c r="X276" s="97"/>
      <c r="Y276" s="97"/>
      <c r="Z276" s="97"/>
      <c r="AA276" s="97"/>
      <c r="AB276" s="97"/>
    </row>
    <row r="277" spans="1:28" ht="12.75" customHeight="1" x14ac:dyDescent="0.3">
      <c r="A277" s="97"/>
      <c r="B277" s="97"/>
      <c r="D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row>
    <row r="278" spans="1:28" ht="12.75" customHeight="1" x14ac:dyDescent="0.3">
      <c r="A278" s="97"/>
      <c r="B278" s="97"/>
      <c r="D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row>
    <row r="279" spans="1:28" ht="12.75" customHeight="1" x14ac:dyDescent="0.3">
      <c r="A279" s="97"/>
      <c r="B279" s="97"/>
      <c r="D279" s="97"/>
      <c r="F279" s="97"/>
      <c r="G279" s="97"/>
      <c r="H279" s="97"/>
      <c r="I279" s="97"/>
      <c r="J279" s="97"/>
      <c r="K279" s="97"/>
      <c r="L279" s="97"/>
      <c r="M279" s="97"/>
      <c r="N279" s="97"/>
      <c r="O279" s="97"/>
      <c r="P279" s="97"/>
      <c r="Q279" s="97"/>
      <c r="R279" s="97"/>
      <c r="S279" s="97"/>
      <c r="T279" s="97"/>
      <c r="U279" s="97"/>
      <c r="V279" s="97"/>
      <c r="W279" s="97"/>
      <c r="X279" s="97"/>
      <c r="Y279" s="97"/>
      <c r="Z279" s="97"/>
      <c r="AA279" s="97"/>
      <c r="AB279" s="97"/>
    </row>
    <row r="280" spans="1:28" ht="12.75" customHeight="1" x14ac:dyDescent="0.3">
      <c r="A280" s="97"/>
      <c r="B280" s="97"/>
      <c r="D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row>
    <row r="281" spans="1:28" ht="12.75" customHeight="1" x14ac:dyDescent="0.3">
      <c r="A281" s="97"/>
      <c r="B281" s="97"/>
      <c r="D281" s="97"/>
      <c r="F281" s="97"/>
      <c r="G281" s="97"/>
      <c r="H281" s="97"/>
      <c r="I281" s="97"/>
      <c r="J281" s="97"/>
      <c r="K281" s="97"/>
      <c r="L281" s="97"/>
      <c r="M281" s="97"/>
      <c r="N281" s="97"/>
      <c r="O281" s="97"/>
      <c r="P281" s="97"/>
      <c r="Q281" s="97"/>
      <c r="R281" s="97"/>
      <c r="S281" s="97"/>
      <c r="T281" s="97"/>
      <c r="U281" s="97"/>
      <c r="V281" s="97"/>
      <c r="W281" s="97"/>
      <c r="X281" s="97"/>
      <c r="Y281" s="97"/>
      <c r="Z281" s="97"/>
      <c r="AA281" s="97"/>
      <c r="AB281" s="97"/>
    </row>
    <row r="282" spans="1:28" ht="12.75" customHeight="1" x14ac:dyDescent="0.3">
      <c r="A282" s="97"/>
      <c r="B282" s="97"/>
      <c r="D282" s="97"/>
      <c r="F282" s="97"/>
      <c r="G282" s="97"/>
      <c r="H282" s="97"/>
      <c r="I282" s="97"/>
      <c r="J282" s="97"/>
      <c r="K282" s="97"/>
      <c r="L282" s="97"/>
      <c r="M282" s="97"/>
      <c r="N282" s="97"/>
      <c r="O282" s="97"/>
      <c r="P282" s="97"/>
      <c r="Q282" s="97"/>
      <c r="R282" s="97"/>
      <c r="S282" s="97"/>
      <c r="T282" s="97"/>
      <c r="U282" s="97"/>
      <c r="V282" s="97"/>
      <c r="W282" s="97"/>
      <c r="X282" s="97"/>
      <c r="Y282" s="97"/>
      <c r="Z282" s="97"/>
      <c r="AA282" s="97"/>
      <c r="AB282" s="97"/>
    </row>
    <row r="283" spans="1:28" ht="12.75" customHeight="1" x14ac:dyDescent="0.3">
      <c r="A283" s="97"/>
      <c r="B283" s="97"/>
      <c r="D283" s="97"/>
      <c r="F283" s="97"/>
      <c r="G283" s="97"/>
      <c r="H283" s="97"/>
      <c r="I283" s="97"/>
      <c r="J283" s="97"/>
      <c r="K283" s="97"/>
      <c r="L283" s="97"/>
      <c r="M283" s="97"/>
      <c r="N283" s="97"/>
      <c r="O283" s="97"/>
      <c r="P283" s="97"/>
      <c r="Q283" s="97"/>
      <c r="R283" s="97"/>
      <c r="S283" s="97"/>
      <c r="T283" s="97"/>
      <c r="U283" s="97"/>
      <c r="V283" s="97"/>
      <c r="W283" s="97"/>
      <c r="X283" s="97"/>
      <c r="Y283" s="97"/>
      <c r="Z283" s="97"/>
      <c r="AA283" s="97"/>
      <c r="AB283" s="97"/>
    </row>
    <row r="284" spans="1:28" ht="12.75" customHeight="1" x14ac:dyDescent="0.3">
      <c r="A284" s="97"/>
      <c r="B284" s="97"/>
      <c r="D284" s="97"/>
      <c r="F284" s="97"/>
      <c r="G284" s="97"/>
      <c r="H284" s="97"/>
      <c r="I284" s="97"/>
      <c r="J284" s="97"/>
      <c r="K284" s="97"/>
      <c r="L284" s="97"/>
      <c r="M284" s="97"/>
      <c r="N284" s="97"/>
      <c r="O284" s="97"/>
      <c r="P284" s="97"/>
      <c r="Q284" s="97"/>
      <c r="R284" s="97"/>
      <c r="S284" s="97"/>
      <c r="T284" s="97"/>
      <c r="U284" s="97"/>
      <c r="V284" s="97"/>
      <c r="W284" s="97"/>
      <c r="X284" s="97"/>
      <c r="Y284" s="97"/>
      <c r="Z284" s="97"/>
      <c r="AA284" s="97"/>
      <c r="AB284" s="97"/>
    </row>
    <row r="285" spans="1:28" ht="12.75" customHeight="1" x14ac:dyDescent="0.3">
      <c r="A285" s="97"/>
      <c r="B285" s="97"/>
      <c r="D285" s="97"/>
      <c r="F285" s="97"/>
      <c r="G285" s="97"/>
      <c r="H285" s="97"/>
      <c r="I285" s="97"/>
      <c r="J285" s="97"/>
      <c r="K285" s="97"/>
      <c r="L285" s="97"/>
      <c r="M285" s="97"/>
      <c r="N285" s="97"/>
      <c r="O285" s="97"/>
      <c r="P285" s="97"/>
      <c r="Q285" s="97"/>
      <c r="R285" s="97"/>
      <c r="S285" s="97"/>
      <c r="T285" s="97"/>
      <c r="U285" s="97"/>
      <c r="V285" s="97"/>
      <c r="W285" s="97"/>
      <c r="X285" s="97"/>
      <c r="Y285" s="97"/>
      <c r="Z285" s="97"/>
      <c r="AA285" s="97"/>
      <c r="AB285" s="97"/>
    </row>
    <row r="286" spans="1:28" ht="12.75" customHeight="1" x14ac:dyDescent="0.3">
      <c r="A286" s="97"/>
      <c r="B286" s="97"/>
      <c r="D286" s="97"/>
      <c r="F286" s="97"/>
      <c r="G286" s="97"/>
      <c r="H286" s="97"/>
      <c r="I286" s="97"/>
      <c r="J286" s="97"/>
      <c r="K286" s="97"/>
      <c r="L286" s="97"/>
      <c r="M286" s="97"/>
      <c r="N286" s="97"/>
      <c r="O286" s="97"/>
      <c r="P286" s="97"/>
      <c r="Q286" s="97"/>
      <c r="R286" s="97"/>
      <c r="S286" s="97"/>
      <c r="T286" s="97"/>
      <c r="U286" s="97"/>
      <c r="V286" s="97"/>
      <c r="W286" s="97"/>
      <c r="X286" s="97"/>
      <c r="Y286" s="97"/>
      <c r="Z286" s="97"/>
      <c r="AA286" s="97"/>
      <c r="AB286" s="97"/>
    </row>
    <row r="287" spans="1:28" ht="12.75" customHeight="1" x14ac:dyDescent="0.3">
      <c r="A287" s="97"/>
      <c r="B287" s="97"/>
      <c r="D287" s="97"/>
      <c r="F287" s="97"/>
      <c r="G287" s="97"/>
      <c r="H287" s="97"/>
      <c r="I287" s="97"/>
      <c r="J287" s="97"/>
      <c r="K287" s="97"/>
      <c r="L287" s="97"/>
      <c r="M287" s="97"/>
      <c r="N287" s="97"/>
      <c r="O287" s="97"/>
      <c r="P287" s="97"/>
      <c r="Q287" s="97"/>
      <c r="R287" s="97"/>
      <c r="S287" s="97"/>
      <c r="T287" s="97"/>
      <c r="U287" s="97"/>
      <c r="V287" s="97"/>
      <c r="W287" s="97"/>
      <c r="X287" s="97"/>
      <c r="Y287" s="97"/>
      <c r="Z287" s="97"/>
      <c r="AA287" s="97"/>
      <c r="AB287" s="97"/>
    </row>
    <row r="288" spans="1:28" ht="12.75" customHeight="1" x14ac:dyDescent="0.3">
      <c r="A288" s="97"/>
      <c r="B288" s="97"/>
      <c r="D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row>
    <row r="289" spans="1:28" ht="12.75" customHeight="1" x14ac:dyDescent="0.3">
      <c r="A289" s="97"/>
      <c r="B289" s="97"/>
      <c r="D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row>
    <row r="290" spans="1:28" ht="12.75" customHeight="1" x14ac:dyDescent="0.3">
      <c r="A290" s="97"/>
      <c r="B290" s="97"/>
      <c r="D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row>
    <row r="291" spans="1:28" ht="12.75" customHeight="1" x14ac:dyDescent="0.3">
      <c r="A291" s="97"/>
      <c r="B291" s="97"/>
      <c r="D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row>
    <row r="292" spans="1:28" ht="12.75" customHeight="1" x14ac:dyDescent="0.3">
      <c r="A292" s="97"/>
      <c r="B292" s="97"/>
      <c r="D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row>
    <row r="293" spans="1:28" ht="12.75" customHeight="1" x14ac:dyDescent="0.3">
      <c r="A293" s="97"/>
      <c r="B293" s="97"/>
      <c r="D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row>
    <row r="294" spans="1:28" ht="12.75" customHeight="1" x14ac:dyDescent="0.3">
      <c r="A294" s="97"/>
      <c r="B294" s="97"/>
      <c r="D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row>
    <row r="295" spans="1:28" ht="12.75" customHeight="1" x14ac:dyDescent="0.3">
      <c r="A295" s="97"/>
      <c r="B295" s="97"/>
      <c r="D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row>
    <row r="296" spans="1:28" ht="12.75" customHeight="1" x14ac:dyDescent="0.3">
      <c r="A296" s="97"/>
      <c r="B296" s="97"/>
      <c r="D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row>
    <row r="297" spans="1:28" ht="12.75" customHeight="1" x14ac:dyDescent="0.3">
      <c r="A297" s="97"/>
      <c r="B297" s="97"/>
      <c r="D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row>
    <row r="298" spans="1:28" ht="12.75" customHeight="1" x14ac:dyDescent="0.3">
      <c r="A298" s="97"/>
      <c r="B298" s="97"/>
      <c r="D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row>
    <row r="299" spans="1:28" ht="12.75" customHeight="1" x14ac:dyDescent="0.3">
      <c r="A299" s="97"/>
      <c r="B299" s="97"/>
      <c r="D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row>
    <row r="300" spans="1:28" ht="12.75" customHeight="1" x14ac:dyDescent="0.3">
      <c r="A300" s="97"/>
      <c r="B300" s="97"/>
      <c r="D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row>
    <row r="301" spans="1:28" ht="12.75" customHeight="1" x14ac:dyDescent="0.3">
      <c r="A301" s="97"/>
      <c r="B301" s="97"/>
      <c r="D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7"/>
    </row>
    <row r="302" spans="1:28" ht="12.75" customHeight="1" x14ac:dyDescent="0.3">
      <c r="A302" s="97"/>
      <c r="B302" s="97"/>
      <c r="D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row>
    <row r="303" spans="1:28" ht="12.75" customHeight="1" x14ac:dyDescent="0.3">
      <c r="A303" s="97"/>
      <c r="B303" s="97"/>
      <c r="D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row>
    <row r="304" spans="1:28" ht="12.75" customHeight="1" x14ac:dyDescent="0.3">
      <c r="A304" s="97"/>
      <c r="B304" s="97"/>
      <c r="D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row>
    <row r="305" spans="1:28" ht="12.75" customHeight="1" x14ac:dyDescent="0.3">
      <c r="A305" s="97"/>
      <c r="B305" s="97"/>
      <c r="D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row>
    <row r="306" spans="1:28" ht="12.75" customHeight="1" x14ac:dyDescent="0.3">
      <c r="A306" s="97"/>
      <c r="B306" s="97"/>
      <c r="D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7"/>
    </row>
    <row r="307" spans="1:28" ht="12.75" customHeight="1" x14ac:dyDescent="0.3">
      <c r="A307" s="97"/>
      <c r="B307" s="97"/>
      <c r="D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row>
    <row r="308" spans="1:28" ht="12.75" customHeight="1" x14ac:dyDescent="0.3">
      <c r="A308" s="97"/>
      <c r="B308" s="97"/>
      <c r="D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row>
    <row r="309" spans="1:28" ht="12.75" customHeight="1" x14ac:dyDescent="0.3">
      <c r="A309" s="97"/>
      <c r="B309" s="97"/>
      <c r="D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7"/>
    </row>
    <row r="310" spans="1:28" ht="12.75" customHeight="1" x14ac:dyDescent="0.3">
      <c r="A310" s="97"/>
      <c r="B310" s="97"/>
      <c r="D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row>
    <row r="311" spans="1:28" ht="12.75" customHeight="1" x14ac:dyDescent="0.3">
      <c r="A311" s="97"/>
      <c r="B311" s="97"/>
      <c r="D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7"/>
    </row>
    <row r="312" spans="1:28" ht="12.75" customHeight="1" x14ac:dyDescent="0.3">
      <c r="A312" s="97"/>
      <c r="B312" s="97"/>
      <c r="D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row>
    <row r="313" spans="1:28" ht="12.75" customHeight="1" x14ac:dyDescent="0.3">
      <c r="A313" s="97"/>
      <c r="B313" s="97"/>
      <c r="D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row>
    <row r="314" spans="1:28" ht="12.75" customHeight="1" x14ac:dyDescent="0.3">
      <c r="A314" s="97"/>
      <c r="B314" s="97"/>
      <c r="D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row>
    <row r="315" spans="1:28" ht="12.75" customHeight="1" x14ac:dyDescent="0.3">
      <c r="A315" s="97"/>
      <c r="B315" s="97"/>
      <c r="D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row>
    <row r="316" spans="1:28" ht="12.75" customHeight="1" x14ac:dyDescent="0.3">
      <c r="A316" s="97"/>
      <c r="B316" s="97"/>
      <c r="D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row>
    <row r="317" spans="1:28" ht="12.75" customHeight="1" x14ac:dyDescent="0.3">
      <c r="A317" s="97"/>
      <c r="B317" s="97"/>
      <c r="D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row>
    <row r="318" spans="1:28" ht="12.75" customHeight="1" x14ac:dyDescent="0.3">
      <c r="A318" s="97"/>
      <c r="B318" s="97"/>
      <c r="D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row>
    <row r="319" spans="1:28" ht="12.75" customHeight="1" x14ac:dyDescent="0.3">
      <c r="A319" s="97"/>
      <c r="B319" s="97"/>
      <c r="D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7"/>
    </row>
    <row r="320" spans="1:28" ht="12.75" customHeight="1" x14ac:dyDescent="0.3">
      <c r="A320" s="97"/>
      <c r="B320" s="97"/>
      <c r="D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row>
    <row r="321" spans="1:28" ht="12.75" customHeight="1" x14ac:dyDescent="0.3">
      <c r="A321" s="97"/>
      <c r="B321" s="97"/>
      <c r="D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7"/>
    </row>
    <row r="322" spans="1:28" ht="12.75" customHeight="1" x14ac:dyDescent="0.3">
      <c r="A322" s="97"/>
      <c r="B322" s="97"/>
      <c r="D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row>
    <row r="323" spans="1:28" ht="12.75" customHeight="1" x14ac:dyDescent="0.3">
      <c r="A323" s="97"/>
      <c r="B323" s="97"/>
      <c r="D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row>
    <row r="324" spans="1:28" ht="12.75" customHeight="1" x14ac:dyDescent="0.3">
      <c r="A324" s="97"/>
      <c r="B324" s="97"/>
      <c r="D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7"/>
    </row>
    <row r="325" spans="1:28" ht="12.75" customHeight="1" x14ac:dyDescent="0.3">
      <c r="A325" s="97"/>
      <c r="B325" s="97"/>
      <c r="D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7"/>
    </row>
    <row r="326" spans="1:28" ht="12.75" customHeight="1" x14ac:dyDescent="0.3">
      <c r="A326" s="97"/>
      <c r="B326" s="97"/>
      <c r="D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row>
    <row r="327" spans="1:28" ht="12.75" customHeight="1" x14ac:dyDescent="0.3">
      <c r="A327" s="97"/>
      <c r="B327" s="97"/>
      <c r="D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row>
    <row r="328" spans="1:28" ht="12.75" customHeight="1" x14ac:dyDescent="0.3">
      <c r="A328" s="97"/>
      <c r="B328" s="97"/>
      <c r="D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7"/>
    </row>
    <row r="329" spans="1:28" ht="12.75" customHeight="1" x14ac:dyDescent="0.3">
      <c r="A329" s="97"/>
      <c r="B329" s="97"/>
      <c r="D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row>
    <row r="330" spans="1:28" ht="12.75" customHeight="1" x14ac:dyDescent="0.3">
      <c r="A330" s="97"/>
      <c r="B330" s="97"/>
      <c r="D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row>
    <row r="331" spans="1:28" ht="12.75" customHeight="1" x14ac:dyDescent="0.3">
      <c r="A331" s="97"/>
      <c r="B331" s="97"/>
      <c r="D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row>
    <row r="332" spans="1:28" ht="12.75" customHeight="1" x14ac:dyDescent="0.3">
      <c r="A332" s="97"/>
      <c r="B332" s="97"/>
      <c r="D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row>
    <row r="333" spans="1:28" ht="12.75" customHeight="1" x14ac:dyDescent="0.3">
      <c r="A333" s="97"/>
      <c r="B333" s="97"/>
      <c r="D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7"/>
    </row>
    <row r="334" spans="1:28" ht="12.75" customHeight="1" x14ac:dyDescent="0.3">
      <c r="A334" s="97"/>
      <c r="B334" s="97"/>
      <c r="D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7"/>
    </row>
    <row r="335" spans="1:28" ht="12.75" customHeight="1" x14ac:dyDescent="0.3">
      <c r="A335" s="97"/>
      <c r="B335" s="97"/>
      <c r="D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row>
    <row r="336" spans="1:28" ht="12.75" customHeight="1" x14ac:dyDescent="0.3">
      <c r="A336" s="97"/>
      <c r="B336" s="97"/>
      <c r="D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row>
    <row r="337" spans="1:28" ht="12.75" customHeight="1" x14ac:dyDescent="0.3">
      <c r="A337" s="97"/>
      <c r="B337" s="97"/>
      <c r="D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row>
    <row r="338" spans="1:28" ht="12.75" customHeight="1" x14ac:dyDescent="0.3">
      <c r="A338" s="97"/>
      <c r="B338" s="97"/>
      <c r="D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row>
    <row r="339" spans="1:28" ht="12.75" customHeight="1" x14ac:dyDescent="0.3">
      <c r="A339" s="97"/>
      <c r="B339" s="97"/>
      <c r="D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row>
    <row r="340" spans="1:28" ht="12.75" customHeight="1" x14ac:dyDescent="0.3">
      <c r="A340" s="97"/>
      <c r="B340" s="97"/>
      <c r="D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row>
    <row r="341" spans="1:28" ht="12.75" customHeight="1" x14ac:dyDescent="0.3">
      <c r="A341" s="97"/>
      <c r="B341" s="97"/>
      <c r="D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7"/>
    </row>
    <row r="342" spans="1:28" ht="12.75" customHeight="1" x14ac:dyDescent="0.3">
      <c r="A342" s="97"/>
      <c r="B342" s="97"/>
      <c r="D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7"/>
    </row>
    <row r="343" spans="1:28" ht="12.75" customHeight="1" x14ac:dyDescent="0.3">
      <c r="A343" s="97"/>
      <c r="B343" s="97"/>
      <c r="D343" s="97"/>
      <c r="F343" s="97"/>
      <c r="G343" s="97"/>
      <c r="H343" s="97"/>
      <c r="I343" s="97"/>
      <c r="J343" s="97"/>
      <c r="K343" s="97"/>
      <c r="L343" s="97"/>
      <c r="M343" s="97"/>
      <c r="N343" s="97"/>
      <c r="O343" s="97"/>
      <c r="P343" s="97"/>
      <c r="Q343" s="97"/>
      <c r="R343" s="97"/>
      <c r="S343" s="97"/>
      <c r="T343" s="97"/>
      <c r="U343" s="97"/>
      <c r="V343" s="97"/>
      <c r="W343" s="97"/>
      <c r="X343" s="97"/>
      <c r="Y343" s="97"/>
      <c r="Z343" s="97"/>
      <c r="AA343" s="97"/>
      <c r="AB343" s="97"/>
    </row>
    <row r="344" spans="1:28" ht="12.75" customHeight="1" x14ac:dyDescent="0.3">
      <c r="A344" s="97"/>
      <c r="B344" s="97"/>
      <c r="D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row>
    <row r="345" spans="1:28" ht="12.75" customHeight="1" x14ac:dyDescent="0.3">
      <c r="A345" s="97"/>
      <c r="B345" s="97"/>
      <c r="D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7"/>
    </row>
    <row r="346" spans="1:28" ht="12.75" customHeight="1" x14ac:dyDescent="0.3">
      <c r="A346" s="97"/>
      <c r="B346" s="97"/>
      <c r="D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row>
    <row r="347" spans="1:28" ht="12.75" customHeight="1" x14ac:dyDescent="0.3">
      <c r="A347" s="97"/>
      <c r="B347" s="97"/>
      <c r="D347" s="97"/>
      <c r="F347" s="97"/>
      <c r="G347" s="97"/>
      <c r="H347" s="97"/>
      <c r="I347" s="97"/>
      <c r="J347" s="97"/>
      <c r="K347" s="97"/>
      <c r="L347" s="97"/>
      <c r="M347" s="97"/>
      <c r="N347" s="97"/>
      <c r="O347" s="97"/>
      <c r="P347" s="97"/>
      <c r="Q347" s="97"/>
      <c r="R347" s="97"/>
      <c r="S347" s="97"/>
      <c r="T347" s="97"/>
      <c r="U347" s="97"/>
      <c r="V347" s="97"/>
      <c r="W347" s="97"/>
      <c r="X347" s="97"/>
      <c r="Y347" s="97"/>
      <c r="Z347" s="97"/>
      <c r="AA347" s="97"/>
      <c r="AB347" s="97"/>
    </row>
    <row r="348" spans="1:28" ht="12.75" customHeight="1" x14ac:dyDescent="0.3">
      <c r="A348" s="97"/>
      <c r="B348" s="97"/>
      <c r="D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7"/>
    </row>
    <row r="349" spans="1:28" ht="12.75" customHeight="1" x14ac:dyDescent="0.3">
      <c r="A349" s="97"/>
      <c r="B349" s="97"/>
      <c r="D349" s="97"/>
      <c r="F349" s="97"/>
      <c r="G349" s="97"/>
      <c r="H349" s="97"/>
      <c r="I349" s="97"/>
      <c r="J349" s="97"/>
      <c r="K349" s="97"/>
      <c r="L349" s="97"/>
      <c r="M349" s="97"/>
      <c r="N349" s="97"/>
      <c r="O349" s="97"/>
      <c r="P349" s="97"/>
      <c r="Q349" s="97"/>
      <c r="R349" s="97"/>
      <c r="S349" s="97"/>
      <c r="T349" s="97"/>
      <c r="U349" s="97"/>
      <c r="V349" s="97"/>
      <c r="W349" s="97"/>
      <c r="X349" s="97"/>
      <c r="Y349" s="97"/>
      <c r="Z349" s="97"/>
      <c r="AA349" s="97"/>
      <c r="AB349" s="97"/>
    </row>
    <row r="350" spans="1:28" ht="12.75" customHeight="1" x14ac:dyDescent="0.3">
      <c r="A350" s="97"/>
      <c r="B350" s="97"/>
      <c r="D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7"/>
    </row>
    <row r="351" spans="1:28" ht="12.75" customHeight="1" x14ac:dyDescent="0.3">
      <c r="A351" s="97"/>
      <c r="B351" s="97"/>
      <c r="D351" s="97"/>
      <c r="F351" s="97"/>
      <c r="G351" s="97"/>
      <c r="H351" s="97"/>
      <c r="I351" s="97"/>
      <c r="J351" s="97"/>
      <c r="K351" s="97"/>
      <c r="L351" s="97"/>
      <c r="M351" s="97"/>
      <c r="N351" s="97"/>
      <c r="O351" s="97"/>
      <c r="P351" s="97"/>
      <c r="Q351" s="97"/>
      <c r="R351" s="97"/>
      <c r="S351" s="97"/>
      <c r="T351" s="97"/>
      <c r="U351" s="97"/>
      <c r="V351" s="97"/>
      <c r="W351" s="97"/>
      <c r="X351" s="97"/>
      <c r="Y351" s="97"/>
      <c r="Z351" s="97"/>
      <c r="AA351" s="97"/>
      <c r="AB351" s="97"/>
    </row>
    <row r="352" spans="1:28" ht="12.75" customHeight="1" x14ac:dyDescent="0.3">
      <c r="A352" s="97"/>
      <c r="B352" s="97"/>
      <c r="D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7"/>
    </row>
    <row r="353" spans="1:28" ht="12.75" customHeight="1" x14ac:dyDescent="0.3">
      <c r="A353" s="97"/>
      <c r="B353" s="97"/>
      <c r="D353" s="97"/>
      <c r="F353" s="97"/>
      <c r="G353" s="97"/>
      <c r="H353" s="97"/>
      <c r="I353" s="97"/>
      <c r="J353" s="97"/>
      <c r="K353" s="97"/>
      <c r="L353" s="97"/>
      <c r="M353" s="97"/>
      <c r="N353" s="97"/>
      <c r="O353" s="97"/>
      <c r="P353" s="97"/>
      <c r="Q353" s="97"/>
      <c r="R353" s="97"/>
      <c r="S353" s="97"/>
      <c r="T353" s="97"/>
      <c r="U353" s="97"/>
      <c r="V353" s="97"/>
      <c r="W353" s="97"/>
      <c r="X353" s="97"/>
      <c r="Y353" s="97"/>
      <c r="Z353" s="97"/>
      <c r="AA353" s="97"/>
      <c r="AB353" s="97"/>
    </row>
    <row r="354" spans="1:28" ht="12.75" customHeight="1" x14ac:dyDescent="0.3">
      <c r="A354" s="97"/>
      <c r="B354" s="97"/>
      <c r="D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7"/>
    </row>
    <row r="355" spans="1:28" ht="12.75" customHeight="1" x14ac:dyDescent="0.3">
      <c r="A355" s="97"/>
      <c r="B355" s="97"/>
      <c r="D355" s="97"/>
      <c r="F355" s="97"/>
      <c r="G355" s="97"/>
      <c r="H355" s="97"/>
      <c r="I355" s="97"/>
      <c r="J355" s="97"/>
      <c r="K355" s="97"/>
      <c r="L355" s="97"/>
      <c r="M355" s="97"/>
      <c r="N355" s="97"/>
      <c r="O355" s="97"/>
      <c r="P355" s="97"/>
      <c r="Q355" s="97"/>
      <c r="R355" s="97"/>
      <c r="S355" s="97"/>
      <c r="T355" s="97"/>
      <c r="U355" s="97"/>
      <c r="V355" s="97"/>
      <c r="W355" s="97"/>
      <c r="X355" s="97"/>
      <c r="Y355" s="97"/>
      <c r="Z355" s="97"/>
      <c r="AA355" s="97"/>
      <c r="AB355" s="97"/>
    </row>
    <row r="356" spans="1:28" ht="12.75" customHeight="1" x14ac:dyDescent="0.3">
      <c r="A356" s="97"/>
      <c r="B356" s="97"/>
      <c r="D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7"/>
    </row>
    <row r="357" spans="1:28" ht="12.75" customHeight="1" x14ac:dyDescent="0.3">
      <c r="A357" s="97"/>
      <c r="B357" s="97"/>
      <c r="D357" s="97"/>
      <c r="F357" s="97"/>
      <c r="G357" s="97"/>
      <c r="H357" s="97"/>
      <c r="I357" s="97"/>
      <c r="J357" s="97"/>
      <c r="K357" s="97"/>
      <c r="L357" s="97"/>
      <c r="M357" s="97"/>
      <c r="N357" s="97"/>
      <c r="O357" s="97"/>
      <c r="P357" s="97"/>
      <c r="Q357" s="97"/>
      <c r="R357" s="97"/>
      <c r="S357" s="97"/>
      <c r="T357" s="97"/>
      <c r="U357" s="97"/>
      <c r="V357" s="97"/>
      <c r="W357" s="97"/>
      <c r="X357" s="97"/>
      <c r="Y357" s="97"/>
      <c r="Z357" s="97"/>
      <c r="AA357" s="97"/>
      <c r="AB357" s="97"/>
    </row>
    <row r="358" spans="1:28" ht="12.75" customHeight="1" x14ac:dyDescent="0.3">
      <c r="A358" s="97"/>
      <c r="B358" s="97"/>
      <c r="D358" s="97"/>
      <c r="F358" s="97"/>
      <c r="G358" s="97"/>
      <c r="H358" s="97"/>
      <c r="I358" s="97"/>
      <c r="J358" s="97"/>
      <c r="K358" s="97"/>
      <c r="L358" s="97"/>
      <c r="M358" s="97"/>
      <c r="N358" s="97"/>
      <c r="O358" s="97"/>
      <c r="P358" s="97"/>
      <c r="Q358" s="97"/>
      <c r="R358" s="97"/>
      <c r="S358" s="97"/>
      <c r="T358" s="97"/>
      <c r="U358" s="97"/>
      <c r="V358" s="97"/>
      <c r="W358" s="97"/>
      <c r="X358" s="97"/>
      <c r="Y358" s="97"/>
      <c r="Z358" s="97"/>
      <c r="AA358" s="97"/>
      <c r="AB358" s="97"/>
    </row>
    <row r="359" spans="1:28" ht="12.75" customHeight="1" x14ac:dyDescent="0.3">
      <c r="A359" s="97"/>
      <c r="B359" s="97"/>
      <c r="D359" s="97"/>
      <c r="F359" s="97"/>
      <c r="G359" s="97"/>
      <c r="H359" s="97"/>
      <c r="I359" s="97"/>
      <c r="J359" s="97"/>
      <c r="K359" s="97"/>
      <c r="L359" s="97"/>
      <c r="M359" s="97"/>
      <c r="N359" s="97"/>
      <c r="O359" s="97"/>
      <c r="P359" s="97"/>
      <c r="Q359" s="97"/>
      <c r="R359" s="97"/>
      <c r="S359" s="97"/>
      <c r="T359" s="97"/>
      <c r="U359" s="97"/>
      <c r="V359" s="97"/>
      <c r="W359" s="97"/>
      <c r="X359" s="97"/>
      <c r="Y359" s="97"/>
      <c r="Z359" s="97"/>
      <c r="AA359" s="97"/>
      <c r="AB359" s="97"/>
    </row>
    <row r="360" spans="1:28" ht="12.75" customHeight="1" x14ac:dyDescent="0.3">
      <c r="A360" s="97"/>
      <c r="B360" s="97"/>
      <c r="D360" s="97"/>
      <c r="F360" s="97"/>
      <c r="G360" s="97"/>
      <c r="H360" s="97"/>
      <c r="I360" s="97"/>
      <c r="J360" s="97"/>
      <c r="K360" s="97"/>
      <c r="L360" s="97"/>
      <c r="M360" s="97"/>
      <c r="N360" s="97"/>
      <c r="O360" s="97"/>
      <c r="P360" s="97"/>
      <c r="Q360" s="97"/>
      <c r="R360" s="97"/>
      <c r="S360" s="97"/>
      <c r="T360" s="97"/>
      <c r="U360" s="97"/>
      <c r="V360" s="97"/>
      <c r="W360" s="97"/>
      <c r="X360" s="97"/>
      <c r="Y360" s="97"/>
      <c r="Z360" s="97"/>
      <c r="AA360" s="97"/>
      <c r="AB360" s="97"/>
    </row>
    <row r="361" spans="1:28" ht="12.75" customHeight="1" x14ac:dyDescent="0.3">
      <c r="A361" s="97"/>
      <c r="B361" s="97"/>
      <c r="D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row>
    <row r="362" spans="1:28" ht="12.75" customHeight="1" x14ac:dyDescent="0.3">
      <c r="A362" s="97"/>
      <c r="B362" s="97"/>
      <c r="D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row>
    <row r="363" spans="1:28" ht="12.75" customHeight="1" x14ac:dyDescent="0.3">
      <c r="A363" s="97"/>
      <c r="B363" s="97"/>
      <c r="D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row>
    <row r="364" spans="1:28" ht="12.75" customHeight="1" x14ac:dyDescent="0.3">
      <c r="A364" s="97"/>
      <c r="B364" s="97"/>
      <c r="D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row>
    <row r="365" spans="1:28" ht="12.75" customHeight="1" x14ac:dyDescent="0.3">
      <c r="A365" s="97"/>
      <c r="B365" s="97"/>
      <c r="D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row>
    <row r="366" spans="1:28" ht="12.75" customHeight="1" x14ac:dyDescent="0.3">
      <c r="A366" s="97"/>
      <c r="B366" s="97"/>
      <c r="D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row>
    <row r="367" spans="1:28" ht="12.75" customHeight="1" x14ac:dyDescent="0.3">
      <c r="A367" s="97"/>
      <c r="B367" s="97"/>
      <c r="D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row>
    <row r="368" spans="1:28" ht="12.75" customHeight="1" x14ac:dyDescent="0.3">
      <c r="A368" s="97"/>
      <c r="B368" s="97"/>
      <c r="D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row>
    <row r="369" spans="1:28" ht="12.75" customHeight="1" x14ac:dyDescent="0.3">
      <c r="A369" s="97"/>
      <c r="B369" s="97"/>
      <c r="D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row>
    <row r="370" spans="1:28" ht="12.75" customHeight="1" x14ac:dyDescent="0.3">
      <c r="A370" s="97"/>
      <c r="B370" s="97"/>
      <c r="D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row>
    <row r="371" spans="1:28" ht="12.75" customHeight="1" x14ac:dyDescent="0.3">
      <c r="A371" s="97"/>
      <c r="B371" s="97"/>
      <c r="D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row>
    <row r="372" spans="1:28" ht="12.75" customHeight="1" x14ac:dyDescent="0.3">
      <c r="A372" s="97"/>
      <c r="B372" s="97"/>
      <c r="D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row>
    <row r="373" spans="1:28" ht="12.75" customHeight="1" x14ac:dyDescent="0.3">
      <c r="A373" s="97"/>
      <c r="B373" s="97"/>
      <c r="D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row>
    <row r="374" spans="1:28" ht="12.75" customHeight="1" x14ac:dyDescent="0.3">
      <c r="A374" s="97"/>
      <c r="B374" s="97"/>
      <c r="D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row>
    <row r="375" spans="1:28" ht="12.75" customHeight="1" x14ac:dyDescent="0.3">
      <c r="A375" s="97"/>
      <c r="B375" s="97"/>
      <c r="D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row>
    <row r="376" spans="1:28" ht="12.75" customHeight="1" x14ac:dyDescent="0.3">
      <c r="A376" s="97"/>
      <c r="B376" s="97"/>
      <c r="D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row>
    <row r="377" spans="1:28" ht="12.75" customHeight="1" x14ac:dyDescent="0.3">
      <c r="A377" s="97"/>
      <c r="B377" s="97"/>
      <c r="D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row>
    <row r="378" spans="1:28" ht="12.75" customHeight="1" x14ac:dyDescent="0.3">
      <c r="A378" s="97"/>
      <c r="B378" s="97"/>
      <c r="D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row>
    <row r="379" spans="1:28" ht="12.75" customHeight="1" x14ac:dyDescent="0.3">
      <c r="A379" s="97"/>
      <c r="B379" s="97"/>
      <c r="D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row>
    <row r="380" spans="1:28" ht="12.75" customHeight="1" x14ac:dyDescent="0.3">
      <c r="A380" s="97"/>
      <c r="B380" s="97"/>
      <c r="D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row>
    <row r="381" spans="1:28" ht="12.75" customHeight="1" x14ac:dyDescent="0.3">
      <c r="A381" s="97"/>
      <c r="B381" s="97"/>
      <c r="D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row>
    <row r="382" spans="1:28" ht="12.75" customHeight="1" x14ac:dyDescent="0.3">
      <c r="A382" s="97"/>
      <c r="B382" s="97"/>
      <c r="D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row>
    <row r="383" spans="1:28" ht="12.75" customHeight="1" x14ac:dyDescent="0.3">
      <c r="A383" s="97"/>
      <c r="B383" s="97"/>
      <c r="D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row>
    <row r="384" spans="1:28" ht="12.75" customHeight="1" x14ac:dyDescent="0.3">
      <c r="A384" s="97"/>
      <c r="B384" s="97"/>
      <c r="D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row>
    <row r="385" spans="1:28" ht="12.75" customHeight="1" x14ac:dyDescent="0.3">
      <c r="A385" s="97"/>
      <c r="B385" s="97"/>
      <c r="D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row>
    <row r="386" spans="1:28" ht="12.75" customHeight="1" x14ac:dyDescent="0.3">
      <c r="A386" s="97"/>
      <c r="B386" s="97"/>
      <c r="D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row>
    <row r="387" spans="1:28" ht="12.75" customHeight="1" x14ac:dyDescent="0.3">
      <c r="A387" s="97"/>
      <c r="B387" s="97"/>
      <c r="D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row>
    <row r="388" spans="1:28" ht="12.75" customHeight="1" x14ac:dyDescent="0.3">
      <c r="A388" s="97"/>
      <c r="B388" s="97"/>
      <c r="D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row>
    <row r="389" spans="1:28" ht="12.75" customHeight="1" x14ac:dyDescent="0.3">
      <c r="A389" s="97"/>
      <c r="B389" s="97"/>
      <c r="D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row>
    <row r="390" spans="1:28" ht="12.75" customHeight="1" x14ac:dyDescent="0.3">
      <c r="A390" s="97"/>
      <c r="B390" s="97"/>
      <c r="D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row>
    <row r="391" spans="1:28" ht="12.75" customHeight="1" x14ac:dyDescent="0.3">
      <c r="A391" s="97"/>
      <c r="B391" s="97"/>
      <c r="D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row>
    <row r="392" spans="1:28" ht="12.75" customHeight="1" x14ac:dyDescent="0.3">
      <c r="A392" s="97"/>
      <c r="B392" s="97"/>
      <c r="D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row>
    <row r="393" spans="1:28" ht="12.75" customHeight="1" x14ac:dyDescent="0.3">
      <c r="A393" s="97"/>
      <c r="B393" s="97"/>
      <c r="D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row>
    <row r="394" spans="1:28" ht="12.75" customHeight="1" x14ac:dyDescent="0.3">
      <c r="A394" s="97"/>
      <c r="B394" s="97"/>
      <c r="D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row>
    <row r="395" spans="1:28" ht="12.75" customHeight="1" x14ac:dyDescent="0.3">
      <c r="A395" s="97"/>
      <c r="B395" s="97"/>
      <c r="D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row>
    <row r="396" spans="1:28" ht="12.75" customHeight="1" x14ac:dyDescent="0.3">
      <c r="A396" s="97"/>
      <c r="B396" s="97"/>
      <c r="D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row>
    <row r="397" spans="1:28" ht="12.75" customHeight="1" x14ac:dyDescent="0.3">
      <c r="A397" s="97"/>
      <c r="B397" s="97"/>
      <c r="D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row>
    <row r="398" spans="1:28" ht="12.75" customHeight="1" x14ac:dyDescent="0.3">
      <c r="A398" s="97"/>
      <c r="B398" s="97"/>
      <c r="D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row>
    <row r="399" spans="1:28" ht="12.75" customHeight="1" x14ac:dyDescent="0.3">
      <c r="A399" s="97"/>
      <c r="B399" s="97"/>
      <c r="D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row>
    <row r="400" spans="1:28" ht="12.75" customHeight="1" x14ac:dyDescent="0.3">
      <c r="A400" s="97"/>
      <c r="B400" s="97"/>
      <c r="D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row>
    <row r="401" spans="1:28" ht="12.75" customHeight="1" x14ac:dyDescent="0.3">
      <c r="A401" s="97"/>
      <c r="B401" s="97"/>
      <c r="D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row>
    <row r="402" spans="1:28" ht="12.75" customHeight="1" x14ac:dyDescent="0.3">
      <c r="A402" s="97"/>
      <c r="B402" s="97"/>
      <c r="D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row>
    <row r="403" spans="1:28" ht="12.75" customHeight="1" x14ac:dyDescent="0.3">
      <c r="A403" s="97"/>
      <c r="B403" s="97"/>
      <c r="D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row>
    <row r="404" spans="1:28" ht="12.75" customHeight="1" x14ac:dyDescent="0.3">
      <c r="A404" s="97"/>
      <c r="B404" s="97"/>
      <c r="D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row>
    <row r="405" spans="1:28" ht="12.75" customHeight="1" x14ac:dyDescent="0.3">
      <c r="A405" s="97"/>
      <c r="B405" s="97"/>
      <c r="D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row>
    <row r="406" spans="1:28" ht="12.75" customHeight="1" x14ac:dyDescent="0.3">
      <c r="A406" s="97"/>
      <c r="B406" s="97"/>
      <c r="D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row>
    <row r="407" spans="1:28" ht="12.75" customHeight="1" x14ac:dyDescent="0.3">
      <c r="A407" s="97"/>
      <c r="B407" s="97"/>
      <c r="D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row>
    <row r="408" spans="1:28" ht="12.75" customHeight="1" x14ac:dyDescent="0.3">
      <c r="A408" s="97"/>
      <c r="B408" s="97"/>
      <c r="D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row>
    <row r="409" spans="1:28" ht="12.75" customHeight="1" x14ac:dyDescent="0.3">
      <c r="A409" s="97"/>
      <c r="B409" s="97"/>
      <c r="D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row>
    <row r="410" spans="1:28" ht="12.75" customHeight="1" x14ac:dyDescent="0.3">
      <c r="A410" s="97"/>
      <c r="B410" s="97"/>
      <c r="D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row>
    <row r="411" spans="1:28" ht="12.75" customHeight="1" x14ac:dyDescent="0.3">
      <c r="A411" s="97"/>
      <c r="B411" s="97"/>
      <c r="D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row>
    <row r="412" spans="1:28" ht="12.75" customHeight="1" x14ac:dyDescent="0.3">
      <c r="A412" s="97"/>
      <c r="B412" s="97"/>
      <c r="D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row>
    <row r="413" spans="1:28" ht="12.75" customHeight="1" x14ac:dyDescent="0.3">
      <c r="A413" s="97"/>
      <c r="B413" s="97"/>
      <c r="D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row>
    <row r="414" spans="1:28" ht="12.75" customHeight="1" x14ac:dyDescent="0.3">
      <c r="A414" s="97"/>
      <c r="B414" s="97"/>
      <c r="D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row>
    <row r="415" spans="1:28" ht="12.75" customHeight="1" x14ac:dyDescent="0.3">
      <c r="A415" s="97"/>
      <c r="B415" s="97"/>
      <c r="D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row>
    <row r="416" spans="1:28" ht="12.75" customHeight="1" x14ac:dyDescent="0.3">
      <c r="A416" s="97"/>
      <c r="B416" s="97"/>
      <c r="D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row>
    <row r="417" spans="1:28" ht="12.75" customHeight="1" x14ac:dyDescent="0.3">
      <c r="A417" s="97"/>
      <c r="B417" s="97"/>
      <c r="D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row>
    <row r="418" spans="1:28" ht="12.75" customHeight="1" x14ac:dyDescent="0.3">
      <c r="A418" s="97"/>
      <c r="B418" s="97"/>
      <c r="D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row>
    <row r="419" spans="1:28" ht="12.75" customHeight="1" x14ac:dyDescent="0.3">
      <c r="A419" s="97"/>
      <c r="B419" s="97"/>
      <c r="D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row>
    <row r="420" spans="1:28" ht="12.75" customHeight="1" x14ac:dyDescent="0.3">
      <c r="A420" s="97"/>
      <c r="B420" s="97"/>
      <c r="D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row>
    <row r="421" spans="1:28" ht="12.75" customHeight="1" x14ac:dyDescent="0.3">
      <c r="A421" s="97"/>
      <c r="B421" s="97"/>
      <c r="D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row>
    <row r="422" spans="1:28" ht="12.75" customHeight="1" x14ac:dyDescent="0.3">
      <c r="A422" s="97"/>
      <c r="B422" s="97"/>
      <c r="D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row>
    <row r="423" spans="1:28" ht="12.75" customHeight="1" x14ac:dyDescent="0.3">
      <c r="A423" s="97"/>
      <c r="B423" s="97"/>
      <c r="D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row>
    <row r="424" spans="1:28" ht="12.75" customHeight="1" x14ac:dyDescent="0.3">
      <c r="A424" s="97"/>
      <c r="B424" s="97"/>
      <c r="D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row>
    <row r="425" spans="1:28" ht="12.75" customHeight="1" x14ac:dyDescent="0.3">
      <c r="A425" s="97"/>
      <c r="B425" s="97"/>
      <c r="D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row>
    <row r="426" spans="1:28" ht="12.75" customHeight="1" x14ac:dyDescent="0.3">
      <c r="A426" s="97"/>
      <c r="B426" s="97"/>
      <c r="D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row>
    <row r="427" spans="1:28" ht="12.75" customHeight="1" x14ac:dyDescent="0.3">
      <c r="A427" s="97"/>
      <c r="B427" s="97"/>
      <c r="D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row>
    <row r="428" spans="1:28" ht="12.75" customHeight="1" x14ac:dyDescent="0.3">
      <c r="A428" s="97"/>
      <c r="B428" s="97"/>
      <c r="D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row>
    <row r="429" spans="1:28" ht="12.75" customHeight="1" x14ac:dyDescent="0.3">
      <c r="A429" s="97"/>
      <c r="B429" s="97"/>
      <c r="D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row>
    <row r="430" spans="1:28" ht="12.75" customHeight="1" x14ac:dyDescent="0.3">
      <c r="A430" s="97"/>
      <c r="B430" s="97"/>
      <c r="D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row>
    <row r="431" spans="1:28" ht="12.75" customHeight="1" x14ac:dyDescent="0.3">
      <c r="A431" s="97"/>
      <c r="B431" s="97"/>
      <c r="D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row>
    <row r="432" spans="1:28" ht="12.75" customHeight="1" x14ac:dyDescent="0.3">
      <c r="A432" s="97"/>
      <c r="B432" s="97"/>
      <c r="D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row>
    <row r="433" spans="1:28" ht="12.75" customHeight="1" x14ac:dyDescent="0.3">
      <c r="A433" s="97"/>
      <c r="B433" s="97"/>
      <c r="D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row>
    <row r="434" spans="1:28" ht="12.75" customHeight="1" x14ac:dyDescent="0.3">
      <c r="A434" s="97"/>
      <c r="B434" s="97"/>
      <c r="D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row>
    <row r="435" spans="1:28" ht="12.75" customHeight="1" x14ac:dyDescent="0.3">
      <c r="A435" s="97"/>
      <c r="B435" s="97"/>
      <c r="D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row>
    <row r="436" spans="1:28" ht="12.75" customHeight="1" x14ac:dyDescent="0.3">
      <c r="A436" s="97"/>
      <c r="B436" s="97"/>
      <c r="D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row>
    <row r="437" spans="1:28" ht="12.75" customHeight="1" x14ac:dyDescent="0.3">
      <c r="A437" s="97"/>
      <c r="B437" s="97"/>
      <c r="D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row>
    <row r="438" spans="1:28" ht="12.75" customHeight="1" x14ac:dyDescent="0.3">
      <c r="A438" s="97"/>
      <c r="B438" s="97"/>
      <c r="D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row>
    <row r="439" spans="1:28" ht="12.75" customHeight="1" x14ac:dyDescent="0.3">
      <c r="A439" s="97"/>
      <c r="B439" s="97"/>
      <c r="D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row>
    <row r="440" spans="1:28" ht="12.75" customHeight="1" x14ac:dyDescent="0.3">
      <c r="A440" s="97"/>
      <c r="B440" s="97"/>
      <c r="D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row>
    <row r="441" spans="1:28" ht="12.75" customHeight="1" x14ac:dyDescent="0.3">
      <c r="A441" s="97"/>
      <c r="B441" s="97"/>
      <c r="D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row>
    <row r="442" spans="1:28" ht="12.75" customHeight="1" x14ac:dyDescent="0.3">
      <c r="A442" s="97"/>
      <c r="B442" s="97"/>
      <c r="D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row>
    <row r="443" spans="1:28" ht="12.75" customHeight="1" x14ac:dyDescent="0.3">
      <c r="A443" s="97"/>
      <c r="B443" s="97"/>
      <c r="D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row>
    <row r="444" spans="1:28" ht="12.75" customHeight="1" x14ac:dyDescent="0.3">
      <c r="A444" s="97"/>
      <c r="B444" s="97"/>
      <c r="D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row>
    <row r="445" spans="1:28" ht="12.75" customHeight="1" x14ac:dyDescent="0.3">
      <c r="A445" s="97"/>
      <c r="B445" s="97"/>
      <c r="D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row>
    <row r="446" spans="1:28" ht="12.75" customHeight="1" x14ac:dyDescent="0.3">
      <c r="A446" s="97"/>
      <c r="B446" s="97"/>
      <c r="D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row>
    <row r="447" spans="1:28" ht="12.75" customHeight="1" x14ac:dyDescent="0.3">
      <c r="A447" s="97"/>
      <c r="B447" s="97"/>
      <c r="D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row>
    <row r="448" spans="1:28" ht="12.75" customHeight="1" x14ac:dyDescent="0.3">
      <c r="A448" s="97"/>
      <c r="B448" s="97"/>
      <c r="D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row>
    <row r="449" spans="1:28" ht="12.75" customHeight="1" x14ac:dyDescent="0.3">
      <c r="A449" s="97"/>
      <c r="B449" s="97"/>
      <c r="D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row>
    <row r="450" spans="1:28" ht="12.75" customHeight="1" x14ac:dyDescent="0.3">
      <c r="A450" s="97"/>
      <c r="B450" s="97"/>
      <c r="D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row>
    <row r="451" spans="1:28" ht="12.75" customHeight="1" x14ac:dyDescent="0.3">
      <c r="A451" s="97"/>
      <c r="B451" s="97"/>
      <c r="D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row>
    <row r="452" spans="1:28" ht="12.75" customHeight="1" x14ac:dyDescent="0.3">
      <c r="A452" s="97"/>
      <c r="B452" s="97"/>
      <c r="D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row>
    <row r="453" spans="1:28" ht="12.75" customHeight="1" x14ac:dyDescent="0.3">
      <c r="A453" s="97"/>
      <c r="B453" s="97"/>
      <c r="D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row>
    <row r="454" spans="1:28" ht="12.75" customHeight="1" x14ac:dyDescent="0.3">
      <c r="A454" s="97"/>
      <c r="B454" s="97"/>
      <c r="D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row>
    <row r="455" spans="1:28" ht="12.75" customHeight="1" x14ac:dyDescent="0.3">
      <c r="A455" s="97"/>
      <c r="B455" s="97"/>
      <c r="D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row>
    <row r="456" spans="1:28" ht="12.75" customHeight="1" x14ac:dyDescent="0.3">
      <c r="A456" s="97"/>
      <c r="B456" s="97"/>
      <c r="D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row>
    <row r="457" spans="1:28" ht="12.75" customHeight="1" x14ac:dyDescent="0.3">
      <c r="A457" s="97"/>
      <c r="B457" s="97"/>
      <c r="D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row>
    <row r="458" spans="1:28" ht="12.75" customHeight="1" x14ac:dyDescent="0.3">
      <c r="A458" s="97"/>
      <c r="B458" s="97"/>
      <c r="D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row>
    <row r="459" spans="1:28" ht="12.75" customHeight="1" x14ac:dyDescent="0.3">
      <c r="A459" s="97"/>
      <c r="B459" s="97"/>
      <c r="D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row>
    <row r="460" spans="1:28" ht="12.75" customHeight="1" x14ac:dyDescent="0.3">
      <c r="A460" s="97"/>
      <c r="B460" s="97"/>
      <c r="D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row>
    <row r="461" spans="1:28" ht="12.75" customHeight="1" x14ac:dyDescent="0.3">
      <c r="A461" s="97"/>
      <c r="B461" s="97"/>
      <c r="D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row>
    <row r="462" spans="1:28" ht="12.75" customHeight="1" x14ac:dyDescent="0.3">
      <c r="A462" s="97"/>
      <c r="B462" s="97"/>
      <c r="D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row>
    <row r="463" spans="1:28" ht="12.75" customHeight="1" x14ac:dyDescent="0.3">
      <c r="A463" s="97"/>
      <c r="B463" s="97"/>
      <c r="D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row>
    <row r="464" spans="1:28" ht="12.75" customHeight="1" x14ac:dyDescent="0.3">
      <c r="A464" s="97"/>
      <c r="B464" s="97"/>
      <c r="D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row>
    <row r="465" spans="1:28" ht="12.75" customHeight="1" x14ac:dyDescent="0.3">
      <c r="A465" s="97"/>
      <c r="B465" s="97"/>
      <c r="D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row>
    <row r="466" spans="1:28" ht="12.75" customHeight="1" x14ac:dyDescent="0.3">
      <c r="A466" s="97"/>
      <c r="B466" s="97"/>
      <c r="D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row>
    <row r="467" spans="1:28" ht="12.75" customHeight="1" x14ac:dyDescent="0.3">
      <c r="A467" s="97"/>
      <c r="B467" s="97"/>
      <c r="D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row>
    <row r="468" spans="1:28" ht="12.75" customHeight="1" x14ac:dyDescent="0.3">
      <c r="A468" s="97"/>
      <c r="B468" s="97"/>
      <c r="D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row>
    <row r="469" spans="1:28" ht="12.75" customHeight="1" x14ac:dyDescent="0.3">
      <c r="A469" s="97"/>
      <c r="B469" s="97"/>
      <c r="D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row>
    <row r="470" spans="1:28" ht="12.75" customHeight="1" x14ac:dyDescent="0.3">
      <c r="A470" s="97"/>
      <c r="B470" s="97"/>
      <c r="D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row>
    <row r="471" spans="1:28" ht="12.75" customHeight="1" x14ac:dyDescent="0.3">
      <c r="A471" s="97"/>
      <c r="B471" s="97"/>
      <c r="D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row>
    <row r="472" spans="1:28" ht="12.75" customHeight="1" x14ac:dyDescent="0.3">
      <c r="A472" s="97"/>
      <c r="B472" s="97"/>
      <c r="D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row>
    <row r="473" spans="1:28" ht="12.75" customHeight="1" x14ac:dyDescent="0.3">
      <c r="A473" s="97"/>
      <c r="B473" s="97"/>
      <c r="D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row>
    <row r="474" spans="1:28" ht="12.75" customHeight="1" x14ac:dyDescent="0.3">
      <c r="A474" s="97"/>
      <c r="B474" s="97"/>
      <c r="D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row>
    <row r="475" spans="1:28" ht="12.75" customHeight="1" x14ac:dyDescent="0.3">
      <c r="A475" s="97"/>
      <c r="B475" s="97"/>
      <c r="D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row>
    <row r="476" spans="1:28" ht="12.75" customHeight="1" x14ac:dyDescent="0.3">
      <c r="A476" s="97"/>
      <c r="B476" s="97"/>
      <c r="D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row>
    <row r="477" spans="1:28" ht="12.75" customHeight="1" x14ac:dyDescent="0.3">
      <c r="A477" s="97"/>
      <c r="B477" s="97"/>
      <c r="D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row>
    <row r="478" spans="1:28" ht="12.75" customHeight="1" x14ac:dyDescent="0.3">
      <c r="A478" s="97"/>
      <c r="B478" s="97"/>
      <c r="D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row>
    <row r="479" spans="1:28" ht="12.75" customHeight="1" x14ac:dyDescent="0.3">
      <c r="A479" s="97"/>
      <c r="B479" s="97"/>
      <c r="D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row>
    <row r="480" spans="1:28" ht="12.75" customHeight="1" x14ac:dyDescent="0.3">
      <c r="A480" s="97"/>
      <c r="B480" s="97"/>
      <c r="D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row>
    <row r="481" spans="1:28" ht="12.75" customHeight="1" x14ac:dyDescent="0.3">
      <c r="A481" s="97"/>
      <c r="B481" s="97"/>
      <c r="D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row>
    <row r="482" spans="1:28" ht="12.75" customHeight="1" x14ac:dyDescent="0.3">
      <c r="A482" s="97"/>
      <c r="B482" s="97"/>
      <c r="D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row>
    <row r="483" spans="1:28" ht="12.75" customHeight="1" x14ac:dyDescent="0.3">
      <c r="A483" s="97"/>
      <c r="B483" s="97"/>
      <c r="D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row>
    <row r="484" spans="1:28" ht="12.75" customHeight="1" x14ac:dyDescent="0.3">
      <c r="A484" s="97"/>
      <c r="B484" s="97"/>
      <c r="D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row>
    <row r="485" spans="1:28" ht="12.75" customHeight="1" x14ac:dyDescent="0.3">
      <c r="A485" s="97"/>
      <c r="B485" s="97"/>
      <c r="D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row>
    <row r="486" spans="1:28" ht="12.75" customHeight="1" x14ac:dyDescent="0.3">
      <c r="A486" s="97"/>
      <c r="B486" s="97"/>
      <c r="D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row>
    <row r="487" spans="1:28" ht="12.75" customHeight="1" x14ac:dyDescent="0.3">
      <c r="A487" s="97"/>
      <c r="B487" s="97"/>
      <c r="D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row>
    <row r="488" spans="1:28" ht="12.75" customHeight="1" x14ac:dyDescent="0.3">
      <c r="A488" s="97"/>
      <c r="B488" s="97"/>
      <c r="D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row>
    <row r="489" spans="1:28" ht="12.75" customHeight="1" x14ac:dyDescent="0.3">
      <c r="A489" s="97"/>
      <c r="B489" s="97"/>
      <c r="D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row>
    <row r="490" spans="1:28" ht="12.75" customHeight="1" x14ac:dyDescent="0.3">
      <c r="A490" s="97"/>
      <c r="B490" s="97"/>
      <c r="D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row>
    <row r="491" spans="1:28" ht="12.75" customHeight="1" x14ac:dyDescent="0.3">
      <c r="A491" s="97"/>
      <c r="B491" s="97"/>
      <c r="D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row>
    <row r="492" spans="1:28" ht="12.75" customHeight="1" x14ac:dyDescent="0.3">
      <c r="A492" s="97"/>
      <c r="B492" s="97"/>
      <c r="D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row>
    <row r="493" spans="1:28" ht="12.75" customHeight="1" x14ac:dyDescent="0.3">
      <c r="A493" s="97"/>
      <c r="B493" s="97"/>
      <c r="D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row>
    <row r="494" spans="1:28" ht="12.75" customHeight="1" x14ac:dyDescent="0.3">
      <c r="A494" s="97"/>
      <c r="B494" s="97"/>
      <c r="D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row>
    <row r="495" spans="1:28" ht="12.75" customHeight="1" x14ac:dyDescent="0.3">
      <c r="A495" s="97"/>
      <c r="B495" s="97"/>
      <c r="D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row>
    <row r="496" spans="1:28" ht="12.75" customHeight="1" x14ac:dyDescent="0.3">
      <c r="A496" s="97"/>
      <c r="B496" s="97"/>
      <c r="D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row>
    <row r="497" spans="1:28" ht="12.75" customHeight="1" x14ac:dyDescent="0.3">
      <c r="A497" s="97"/>
      <c r="B497" s="97"/>
      <c r="D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row>
    <row r="498" spans="1:28" ht="12.75" customHeight="1" x14ac:dyDescent="0.3">
      <c r="A498" s="97"/>
      <c r="B498" s="97"/>
      <c r="D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row>
    <row r="499" spans="1:28" ht="12.75" customHeight="1" x14ac:dyDescent="0.3">
      <c r="A499" s="97"/>
      <c r="B499" s="97"/>
      <c r="D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row>
    <row r="500" spans="1:28" ht="12.75" customHeight="1" x14ac:dyDescent="0.3">
      <c r="A500" s="97"/>
      <c r="B500" s="97"/>
      <c r="D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row>
    <row r="501" spans="1:28" ht="12.75" customHeight="1" x14ac:dyDescent="0.3">
      <c r="A501" s="97"/>
      <c r="B501" s="97"/>
      <c r="D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row>
    <row r="502" spans="1:28" ht="12.75" customHeight="1" x14ac:dyDescent="0.3">
      <c r="A502" s="97"/>
      <c r="B502" s="97"/>
      <c r="D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row>
    <row r="503" spans="1:28" ht="12.75" customHeight="1" x14ac:dyDescent="0.3">
      <c r="A503" s="97"/>
      <c r="B503" s="97"/>
      <c r="D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row>
    <row r="504" spans="1:28" ht="12.75" customHeight="1" x14ac:dyDescent="0.3">
      <c r="A504" s="97"/>
      <c r="B504" s="97"/>
      <c r="D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row>
    <row r="505" spans="1:28" ht="12.75" customHeight="1" x14ac:dyDescent="0.3">
      <c r="A505" s="97"/>
      <c r="B505" s="97"/>
      <c r="D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row>
    <row r="506" spans="1:28" ht="12.75" customHeight="1" x14ac:dyDescent="0.3">
      <c r="A506" s="97"/>
      <c r="B506" s="97"/>
      <c r="D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row>
    <row r="507" spans="1:28" ht="12.75" customHeight="1" x14ac:dyDescent="0.3">
      <c r="A507" s="97"/>
      <c r="B507" s="97"/>
      <c r="D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row>
    <row r="508" spans="1:28" ht="12.75" customHeight="1" x14ac:dyDescent="0.3">
      <c r="A508" s="97"/>
      <c r="B508" s="97"/>
      <c r="D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row>
    <row r="509" spans="1:28" ht="12.75" customHeight="1" x14ac:dyDescent="0.3">
      <c r="A509" s="97"/>
      <c r="B509" s="97"/>
      <c r="D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row>
    <row r="510" spans="1:28" ht="12.75" customHeight="1" x14ac:dyDescent="0.3">
      <c r="A510" s="97"/>
      <c r="B510" s="97"/>
      <c r="D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row>
    <row r="511" spans="1:28" ht="12.75" customHeight="1" x14ac:dyDescent="0.3">
      <c r="A511" s="97"/>
      <c r="B511" s="97"/>
      <c r="D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row>
    <row r="512" spans="1:28" ht="12.75" customHeight="1" x14ac:dyDescent="0.3">
      <c r="A512" s="97"/>
      <c r="B512" s="97"/>
      <c r="D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row>
    <row r="513" spans="1:28" ht="12.75" customHeight="1" x14ac:dyDescent="0.3">
      <c r="A513" s="97"/>
      <c r="B513" s="97"/>
      <c r="D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row>
    <row r="514" spans="1:28" ht="12.75" customHeight="1" x14ac:dyDescent="0.3">
      <c r="A514" s="97"/>
      <c r="B514" s="97"/>
      <c r="D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row>
    <row r="515" spans="1:28" ht="12.75" customHeight="1" x14ac:dyDescent="0.3">
      <c r="A515" s="97"/>
      <c r="B515" s="97"/>
      <c r="D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row>
    <row r="516" spans="1:28" ht="12.75" customHeight="1" x14ac:dyDescent="0.3">
      <c r="A516" s="97"/>
      <c r="B516" s="97"/>
      <c r="D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row>
    <row r="517" spans="1:28" ht="12.75" customHeight="1" x14ac:dyDescent="0.3">
      <c r="A517" s="97"/>
      <c r="B517" s="97"/>
      <c r="D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row>
    <row r="518" spans="1:28" ht="12.75" customHeight="1" x14ac:dyDescent="0.3">
      <c r="A518" s="97"/>
      <c r="B518" s="97"/>
      <c r="D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row>
    <row r="519" spans="1:28" ht="12.75" customHeight="1" x14ac:dyDescent="0.3">
      <c r="A519" s="97"/>
      <c r="B519" s="97"/>
      <c r="D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row>
    <row r="520" spans="1:28" ht="12.75" customHeight="1" x14ac:dyDescent="0.3">
      <c r="A520" s="97"/>
      <c r="B520" s="97"/>
      <c r="D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row>
    <row r="521" spans="1:28" ht="12.75" customHeight="1" x14ac:dyDescent="0.3">
      <c r="A521" s="97"/>
      <c r="B521" s="97"/>
      <c r="D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row>
    <row r="522" spans="1:28" ht="12.75" customHeight="1" x14ac:dyDescent="0.3">
      <c r="A522" s="97"/>
      <c r="B522" s="97"/>
      <c r="D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row>
    <row r="523" spans="1:28" ht="12.75" customHeight="1" x14ac:dyDescent="0.3">
      <c r="A523" s="97"/>
      <c r="B523" s="97"/>
      <c r="D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row>
    <row r="524" spans="1:28" ht="12.75" customHeight="1" x14ac:dyDescent="0.3">
      <c r="A524" s="97"/>
      <c r="B524" s="97"/>
      <c r="D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row>
    <row r="525" spans="1:28" ht="12.75" customHeight="1" x14ac:dyDescent="0.3">
      <c r="A525" s="97"/>
      <c r="B525" s="97"/>
      <c r="D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row>
    <row r="526" spans="1:28" ht="12.75" customHeight="1" x14ac:dyDescent="0.3">
      <c r="A526" s="97"/>
      <c r="B526" s="97"/>
      <c r="D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row>
    <row r="527" spans="1:28" ht="12.75" customHeight="1" x14ac:dyDescent="0.3">
      <c r="A527" s="97"/>
      <c r="B527" s="97"/>
      <c r="D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row>
    <row r="528" spans="1:28" ht="12.75" customHeight="1" x14ac:dyDescent="0.3">
      <c r="A528" s="97"/>
      <c r="B528" s="97"/>
      <c r="D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row>
    <row r="529" spans="1:28" ht="12.75" customHeight="1" x14ac:dyDescent="0.3">
      <c r="A529" s="97"/>
      <c r="B529" s="97"/>
      <c r="D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row>
    <row r="530" spans="1:28" ht="12.75" customHeight="1" x14ac:dyDescent="0.3">
      <c r="A530" s="97"/>
      <c r="B530" s="97"/>
      <c r="D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row>
    <row r="531" spans="1:28" ht="12.75" customHeight="1" x14ac:dyDescent="0.3">
      <c r="A531" s="97"/>
      <c r="B531" s="97"/>
      <c r="D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row>
    <row r="532" spans="1:28" ht="12.75" customHeight="1" x14ac:dyDescent="0.3">
      <c r="A532" s="97"/>
      <c r="B532" s="97"/>
      <c r="D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row>
    <row r="533" spans="1:28" ht="12.75" customHeight="1" x14ac:dyDescent="0.3">
      <c r="A533" s="97"/>
      <c r="B533" s="97"/>
      <c r="D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row>
    <row r="534" spans="1:28" ht="12.75" customHeight="1" x14ac:dyDescent="0.3">
      <c r="A534" s="97"/>
      <c r="B534" s="97"/>
      <c r="D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row>
    <row r="535" spans="1:28" ht="12.75" customHeight="1" x14ac:dyDescent="0.3">
      <c r="A535" s="97"/>
      <c r="B535" s="97"/>
      <c r="D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row>
    <row r="536" spans="1:28" ht="12.75" customHeight="1" x14ac:dyDescent="0.3">
      <c r="A536" s="97"/>
      <c r="B536" s="97"/>
      <c r="D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row>
    <row r="537" spans="1:28" ht="12.75" customHeight="1" x14ac:dyDescent="0.3">
      <c r="A537" s="97"/>
      <c r="B537" s="97"/>
      <c r="D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row>
    <row r="538" spans="1:28" ht="12.75" customHeight="1" x14ac:dyDescent="0.3">
      <c r="A538" s="97"/>
      <c r="B538" s="97"/>
      <c r="D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row>
    <row r="539" spans="1:28" ht="12.75" customHeight="1" x14ac:dyDescent="0.3">
      <c r="A539" s="97"/>
      <c r="B539" s="97"/>
      <c r="D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row>
    <row r="540" spans="1:28" ht="12.75" customHeight="1" x14ac:dyDescent="0.3">
      <c r="A540" s="97"/>
      <c r="B540" s="97"/>
      <c r="D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row>
    <row r="541" spans="1:28" ht="12.75" customHeight="1" x14ac:dyDescent="0.3">
      <c r="A541" s="97"/>
      <c r="B541" s="97"/>
      <c r="D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row>
    <row r="542" spans="1:28" ht="12.75" customHeight="1" x14ac:dyDescent="0.3">
      <c r="A542" s="97"/>
      <c r="B542" s="97"/>
      <c r="D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row>
    <row r="543" spans="1:28" ht="12.75" customHeight="1" x14ac:dyDescent="0.3">
      <c r="A543" s="97"/>
      <c r="B543" s="97"/>
      <c r="D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row>
    <row r="544" spans="1:28" ht="12.75" customHeight="1" x14ac:dyDescent="0.3">
      <c r="A544" s="97"/>
      <c r="B544" s="97"/>
      <c r="D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row>
    <row r="545" spans="1:28" ht="12.75" customHeight="1" x14ac:dyDescent="0.3">
      <c r="A545" s="97"/>
      <c r="B545" s="97"/>
      <c r="D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row>
    <row r="546" spans="1:28" ht="12.75" customHeight="1" x14ac:dyDescent="0.3">
      <c r="A546" s="97"/>
      <c r="B546" s="97"/>
      <c r="D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row>
    <row r="547" spans="1:28" ht="12.75" customHeight="1" x14ac:dyDescent="0.3">
      <c r="A547" s="97"/>
      <c r="B547" s="97"/>
      <c r="D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row>
    <row r="548" spans="1:28" ht="12.75" customHeight="1" x14ac:dyDescent="0.3">
      <c r="A548" s="97"/>
      <c r="B548" s="97"/>
      <c r="D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row>
    <row r="549" spans="1:28" ht="12.75" customHeight="1" x14ac:dyDescent="0.3">
      <c r="A549" s="97"/>
      <c r="B549" s="97"/>
      <c r="D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row>
    <row r="550" spans="1:28" ht="12.75" customHeight="1" x14ac:dyDescent="0.3">
      <c r="A550" s="97"/>
      <c r="B550" s="97"/>
      <c r="D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row>
    <row r="551" spans="1:28" ht="12.75" customHeight="1" x14ac:dyDescent="0.3">
      <c r="A551" s="97"/>
      <c r="B551" s="97"/>
      <c r="D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row>
    <row r="552" spans="1:28" ht="12.75" customHeight="1" x14ac:dyDescent="0.3">
      <c r="A552" s="97"/>
      <c r="B552" s="97"/>
      <c r="D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row>
    <row r="553" spans="1:28" ht="12.75" customHeight="1" x14ac:dyDescent="0.3">
      <c r="A553" s="97"/>
      <c r="B553" s="97"/>
      <c r="D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row>
    <row r="554" spans="1:28" ht="12.75" customHeight="1" x14ac:dyDescent="0.3">
      <c r="A554" s="97"/>
      <c r="B554" s="97"/>
      <c r="D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row>
    <row r="555" spans="1:28" ht="12.75" customHeight="1" x14ac:dyDescent="0.3">
      <c r="A555" s="97"/>
      <c r="B555" s="97"/>
      <c r="D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row>
    <row r="556" spans="1:28" ht="12.75" customHeight="1" x14ac:dyDescent="0.3">
      <c r="A556" s="97"/>
      <c r="B556" s="97"/>
      <c r="D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row>
    <row r="557" spans="1:28" ht="12.75" customHeight="1" x14ac:dyDescent="0.3">
      <c r="A557" s="97"/>
      <c r="B557" s="97"/>
      <c r="D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row>
    <row r="558" spans="1:28" ht="12.75" customHeight="1" x14ac:dyDescent="0.3">
      <c r="A558" s="97"/>
      <c r="B558" s="97"/>
      <c r="D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row>
    <row r="559" spans="1:28" ht="12.75" customHeight="1" x14ac:dyDescent="0.3">
      <c r="A559" s="97"/>
      <c r="B559" s="97"/>
      <c r="D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row>
    <row r="560" spans="1:28" ht="12.75" customHeight="1" x14ac:dyDescent="0.3">
      <c r="A560" s="97"/>
      <c r="B560" s="97"/>
      <c r="D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row>
    <row r="561" spans="1:28" ht="12.75" customHeight="1" x14ac:dyDescent="0.3">
      <c r="A561" s="97"/>
      <c r="B561" s="97"/>
      <c r="D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row>
    <row r="562" spans="1:28" ht="12.75" customHeight="1" x14ac:dyDescent="0.3">
      <c r="A562" s="97"/>
      <c r="B562" s="97"/>
      <c r="D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row>
    <row r="563" spans="1:28" ht="12.75" customHeight="1" x14ac:dyDescent="0.3">
      <c r="A563" s="97"/>
      <c r="B563" s="97"/>
      <c r="D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row>
    <row r="564" spans="1:28" ht="12.75" customHeight="1" x14ac:dyDescent="0.3">
      <c r="A564" s="97"/>
      <c r="B564" s="97"/>
      <c r="D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row>
    <row r="565" spans="1:28" ht="12.75" customHeight="1" x14ac:dyDescent="0.3">
      <c r="A565" s="97"/>
      <c r="B565" s="97"/>
      <c r="D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row>
    <row r="566" spans="1:28" ht="12.75" customHeight="1" x14ac:dyDescent="0.3">
      <c r="A566" s="97"/>
      <c r="B566" s="97"/>
      <c r="D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row>
    <row r="567" spans="1:28" ht="12.75" customHeight="1" x14ac:dyDescent="0.3">
      <c r="A567" s="97"/>
      <c r="B567" s="97"/>
      <c r="D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row>
    <row r="568" spans="1:28" ht="12.75" customHeight="1" x14ac:dyDescent="0.3">
      <c r="A568" s="97"/>
      <c r="B568" s="97"/>
      <c r="D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row>
    <row r="569" spans="1:28" ht="12.75" customHeight="1" x14ac:dyDescent="0.3">
      <c r="A569" s="97"/>
      <c r="B569" s="97"/>
      <c r="D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row>
    <row r="570" spans="1:28" ht="12.75" customHeight="1" x14ac:dyDescent="0.3">
      <c r="A570" s="97"/>
      <c r="B570" s="97"/>
      <c r="D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row>
    <row r="571" spans="1:28" ht="12.75" customHeight="1" x14ac:dyDescent="0.3">
      <c r="A571" s="97"/>
      <c r="B571" s="97"/>
      <c r="D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row>
    <row r="572" spans="1:28" ht="12.75" customHeight="1" x14ac:dyDescent="0.3">
      <c r="A572" s="97"/>
      <c r="B572" s="97"/>
      <c r="D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row>
    <row r="573" spans="1:28" ht="12.75" customHeight="1" x14ac:dyDescent="0.3">
      <c r="A573" s="97"/>
      <c r="B573" s="97"/>
      <c r="D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row>
    <row r="574" spans="1:28" ht="12.75" customHeight="1" x14ac:dyDescent="0.3">
      <c r="A574" s="97"/>
      <c r="B574" s="97"/>
      <c r="D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row>
    <row r="575" spans="1:28" ht="12.75" customHeight="1" x14ac:dyDescent="0.3">
      <c r="A575" s="97"/>
      <c r="B575" s="97"/>
      <c r="D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row>
    <row r="576" spans="1:28" ht="12.75" customHeight="1" x14ac:dyDescent="0.3">
      <c r="A576" s="97"/>
      <c r="B576" s="97"/>
      <c r="D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row>
    <row r="577" spans="1:28" ht="12.75" customHeight="1" x14ac:dyDescent="0.3">
      <c r="A577" s="97"/>
      <c r="B577" s="97"/>
      <c r="D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row>
    <row r="578" spans="1:28" ht="12.75" customHeight="1" x14ac:dyDescent="0.3">
      <c r="A578" s="97"/>
      <c r="B578" s="97"/>
      <c r="D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row>
    <row r="579" spans="1:28" ht="12.75" customHeight="1" x14ac:dyDescent="0.3">
      <c r="A579" s="97"/>
      <c r="B579" s="97"/>
      <c r="D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row>
    <row r="580" spans="1:28" ht="12.75" customHeight="1" x14ac:dyDescent="0.3">
      <c r="A580" s="97"/>
      <c r="B580" s="97"/>
      <c r="D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row>
    <row r="581" spans="1:28" ht="12.75" customHeight="1" x14ac:dyDescent="0.3">
      <c r="A581" s="97"/>
      <c r="B581" s="97"/>
      <c r="D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row>
    <row r="582" spans="1:28" ht="12.75" customHeight="1" x14ac:dyDescent="0.3">
      <c r="A582" s="97"/>
      <c r="B582" s="97"/>
      <c r="D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row>
    <row r="583" spans="1:28" ht="12.75" customHeight="1" x14ac:dyDescent="0.3">
      <c r="A583" s="97"/>
      <c r="B583" s="97"/>
      <c r="D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row>
    <row r="584" spans="1:28" ht="12.75" customHeight="1" x14ac:dyDescent="0.3">
      <c r="A584" s="97"/>
      <c r="B584" s="97"/>
      <c r="D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row>
    <row r="585" spans="1:28" ht="12.75" customHeight="1" x14ac:dyDescent="0.3">
      <c r="A585" s="97"/>
      <c r="B585" s="97"/>
      <c r="D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row>
    <row r="586" spans="1:28" ht="12.75" customHeight="1" x14ac:dyDescent="0.3">
      <c r="A586" s="97"/>
      <c r="B586" s="97"/>
      <c r="D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row>
    <row r="587" spans="1:28" ht="12.75" customHeight="1" x14ac:dyDescent="0.3">
      <c r="A587" s="97"/>
      <c r="B587" s="97"/>
      <c r="D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row>
    <row r="588" spans="1:28" ht="12.75" customHeight="1" x14ac:dyDescent="0.3">
      <c r="A588" s="97"/>
      <c r="B588" s="97"/>
      <c r="D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row>
    <row r="589" spans="1:28" ht="12.75" customHeight="1" x14ac:dyDescent="0.3">
      <c r="A589" s="97"/>
      <c r="B589" s="97"/>
      <c r="D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row>
    <row r="590" spans="1:28" ht="12.75" customHeight="1" x14ac:dyDescent="0.3">
      <c r="A590" s="97"/>
      <c r="B590" s="97"/>
      <c r="D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row>
    <row r="591" spans="1:28" ht="12.75" customHeight="1" x14ac:dyDescent="0.3">
      <c r="A591" s="97"/>
      <c r="B591" s="97"/>
      <c r="D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row>
    <row r="592" spans="1:28" ht="12.75" customHeight="1" x14ac:dyDescent="0.3">
      <c r="A592" s="97"/>
      <c r="B592" s="97"/>
      <c r="D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row>
    <row r="593" spans="1:28" ht="12.75" customHeight="1" x14ac:dyDescent="0.3">
      <c r="A593" s="97"/>
      <c r="B593" s="97"/>
      <c r="D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row>
    <row r="594" spans="1:28" ht="12.75" customHeight="1" x14ac:dyDescent="0.3">
      <c r="A594" s="97"/>
      <c r="B594" s="97"/>
      <c r="D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row>
    <row r="595" spans="1:28" ht="12.75" customHeight="1" x14ac:dyDescent="0.3">
      <c r="A595" s="97"/>
      <c r="B595" s="97"/>
      <c r="D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row>
    <row r="596" spans="1:28" ht="12.75" customHeight="1" x14ac:dyDescent="0.3">
      <c r="A596" s="97"/>
      <c r="B596" s="97"/>
      <c r="D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row>
    <row r="597" spans="1:28" ht="12.75" customHeight="1" x14ac:dyDescent="0.3">
      <c r="A597" s="97"/>
      <c r="B597" s="97"/>
      <c r="D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row>
    <row r="598" spans="1:28" ht="12.75" customHeight="1" x14ac:dyDescent="0.3">
      <c r="A598" s="97"/>
      <c r="B598" s="97"/>
      <c r="D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row>
    <row r="599" spans="1:28" ht="12.75" customHeight="1" x14ac:dyDescent="0.3">
      <c r="A599" s="97"/>
      <c r="B599" s="97"/>
      <c r="D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row>
    <row r="600" spans="1:28" ht="12.75" customHeight="1" x14ac:dyDescent="0.3">
      <c r="A600" s="97"/>
      <c r="B600" s="97"/>
      <c r="D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row>
    <row r="601" spans="1:28" ht="12.75" customHeight="1" x14ac:dyDescent="0.3">
      <c r="A601" s="97"/>
      <c r="B601" s="97"/>
      <c r="D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row>
    <row r="602" spans="1:28" ht="12.75" customHeight="1" x14ac:dyDescent="0.3">
      <c r="A602" s="97"/>
      <c r="B602" s="97"/>
      <c r="D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row>
    <row r="603" spans="1:28" ht="12.75" customHeight="1" x14ac:dyDescent="0.3">
      <c r="A603" s="97"/>
      <c r="B603" s="97"/>
      <c r="D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row>
    <row r="604" spans="1:28" ht="12.75" customHeight="1" x14ac:dyDescent="0.3">
      <c r="A604" s="97"/>
      <c r="B604" s="97"/>
      <c r="D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row>
    <row r="605" spans="1:28" ht="12.75" customHeight="1" x14ac:dyDescent="0.3">
      <c r="A605" s="97"/>
      <c r="B605" s="97"/>
      <c r="D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row>
    <row r="606" spans="1:28" ht="12.75" customHeight="1" x14ac:dyDescent="0.3">
      <c r="A606" s="97"/>
      <c r="B606" s="97"/>
      <c r="D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row>
    <row r="607" spans="1:28" ht="12.75" customHeight="1" x14ac:dyDescent="0.3">
      <c r="A607" s="97"/>
      <c r="B607" s="97"/>
      <c r="D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row>
    <row r="608" spans="1:28" ht="12.75" customHeight="1" x14ac:dyDescent="0.3">
      <c r="A608" s="97"/>
      <c r="B608" s="97"/>
      <c r="D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row>
    <row r="609" spans="1:28" ht="12.75" customHeight="1" x14ac:dyDescent="0.3">
      <c r="A609" s="97"/>
      <c r="B609" s="97"/>
      <c r="D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row>
    <row r="610" spans="1:28" ht="12.75" customHeight="1" x14ac:dyDescent="0.3">
      <c r="A610" s="97"/>
      <c r="B610" s="97"/>
      <c r="D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row>
    <row r="611" spans="1:28" ht="12.75" customHeight="1" x14ac:dyDescent="0.3">
      <c r="A611" s="97"/>
      <c r="B611" s="97"/>
      <c r="D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row>
    <row r="612" spans="1:28" ht="12.75" customHeight="1" x14ac:dyDescent="0.3">
      <c r="A612" s="97"/>
      <c r="B612" s="97"/>
      <c r="D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row>
    <row r="613" spans="1:28" ht="12.75" customHeight="1" x14ac:dyDescent="0.3">
      <c r="A613" s="97"/>
      <c r="B613" s="97"/>
      <c r="D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row>
    <row r="614" spans="1:28" ht="12.75" customHeight="1" x14ac:dyDescent="0.3">
      <c r="A614" s="97"/>
      <c r="B614" s="97"/>
      <c r="D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row>
    <row r="615" spans="1:28" ht="12.75" customHeight="1" x14ac:dyDescent="0.3">
      <c r="A615" s="97"/>
      <c r="B615" s="97"/>
      <c r="D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row>
    <row r="616" spans="1:28" ht="12.75" customHeight="1" x14ac:dyDescent="0.3">
      <c r="A616" s="97"/>
      <c r="B616" s="97"/>
      <c r="D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row>
    <row r="617" spans="1:28" ht="12.75" customHeight="1" x14ac:dyDescent="0.3">
      <c r="A617" s="97"/>
      <c r="B617" s="97"/>
      <c r="D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row>
    <row r="618" spans="1:28" ht="12.75" customHeight="1" x14ac:dyDescent="0.3">
      <c r="A618" s="97"/>
      <c r="B618" s="97"/>
      <c r="D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row>
    <row r="619" spans="1:28" ht="12.75" customHeight="1" x14ac:dyDescent="0.3">
      <c r="A619" s="97"/>
      <c r="B619" s="97"/>
      <c r="D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row>
    <row r="620" spans="1:28" ht="12.75" customHeight="1" x14ac:dyDescent="0.3">
      <c r="A620" s="97"/>
      <c r="B620" s="97"/>
      <c r="D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row>
    <row r="621" spans="1:28" ht="12.75" customHeight="1" x14ac:dyDescent="0.3">
      <c r="A621" s="97"/>
      <c r="B621" s="97"/>
      <c r="D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row>
    <row r="622" spans="1:28" ht="12.75" customHeight="1" x14ac:dyDescent="0.3">
      <c r="A622" s="97"/>
      <c r="B622" s="97"/>
      <c r="D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row>
    <row r="623" spans="1:28" ht="12.75" customHeight="1" x14ac:dyDescent="0.3">
      <c r="A623" s="97"/>
      <c r="B623" s="97"/>
      <c r="D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row>
    <row r="624" spans="1:28" ht="12.75" customHeight="1" x14ac:dyDescent="0.3">
      <c r="A624" s="97"/>
      <c r="B624" s="97"/>
      <c r="D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row>
    <row r="625" spans="1:28" ht="12.75" customHeight="1" x14ac:dyDescent="0.3">
      <c r="A625" s="97"/>
      <c r="B625" s="97"/>
      <c r="D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row>
    <row r="626" spans="1:28" ht="12.75" customHeight="1" x14ac:dyDescent="0.3">
      <c r="A626" s="97"/>
      <c r="B626" s="97"/>
      <c r="D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row>
    <row r="627" spans="1:28" ht="12.75" customHeight="1" x14ac:dyDescent="0.3">
      <c r="A627" s="97"/>
      <c r="B627" s="97"/>
      <c r="D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row>
    <row r="628" spans="1:28" ht="12.75" customHeight="1" x14ac:dyDescent="0.3">
      <c r="A628" s="97"/>
      <c r="B628" s="97"/>
      <c r="D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row>
    <row r="629" spans="1:28" ht="12.75" customHeight="1" x14ac:dyDescent="0.3">
      <c r="A629" s="97"/>
      <c r="B629" s="97"/>
      <c r="D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row>
    <row r="630" spans="1:28" ht="12.75" customHeight="1" x14ac:dyDescent="0.3">
      <c r="A630" s="97"/>
      <c r="B630" s="97"/>
      <c r="D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row>
    <row r="631" spans="1:28" ht="12.75" customHeight="1" x14ac:dyDescent="0.3">
      <c r="A631" s="97"/>
      <c r="B631" s="97"/>
      <c r="D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row>
    <row r="632" spans="1:28" ht="12.75" customHeight="1" x14ac:dyDescent="0.3">
      <c r="A632" s="97"/>
      <c r="B632" s="97"/>
      <c r="D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row>
    <row r="633" spans="1:28" ht="12.75" customHeight="1" x14ac:dyDescent="0.3">
      <c r="A633" s="97"/>
      <c r="B633" s="97"/>
      <c r="D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row>
    <row r="634" spans="1:28" ht="12.75" customHeight="1" x14ac:dyDescent="0.3">
      <c r="A634" s="97"/>
      <c r="B634" s="97"/>
      <c r="D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row>
    <row r="635" spans="1:28" ht="12.75" customHeight="1" x14ac:dyDescent="0.3">
      <c r="A635" s="97"/>
      <c r="B635" s="97"/>
      <c r="D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row>
    <row r="636" spans="1:28" ht="12.75" customHeight="1" x14ac:dyDescent="0.3">
      <c r="A636" s="97"/>
      <c r="B636" s="97"/>
      <c r="D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row>
    <row r="637" spans="1:28" ht="12.75" customHeight="1" x14ac:dyDescent="0.3">
      <c r="A637" s="97"/>
      <c r="B637" s="97"/>
      <c r="D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row>
    <row r="638" spans="1:28" ht="12.75" customHeight="1" x14ac:dyDescent="0.3">
      <c r="A638" s="97"/>
      <c r="B638" s="97"/>
      <c r="D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row>
    <row r="639" spans="1:28" ht="12.75" customHeight="1" x14ac:dyDescent="0.3">
      <c r="A639" s="97"/>
      <c r="B639" s="97"/>
      <c r="D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row>
    <row r="640" spans="1:28" ht="12.75" customHeight="1" x14ac:dyDescent="0.3">
      <c r="A640" s="97"/>
      <c r="B640" s="97"/>
      <c r="D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row>
    <row r="641" spans="1:28" ht="12.75" customHeight="1" x14ac:dyDescent="0.3">
      <c r="A641" s="97"/>
      <c r="B641" s="97"/>
      <c r="D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row>
    <row r="642" spans="1:28" ht="12.75" customHeight="1" x14ac:dyDescent="0.3">
      <c r="A642" s="97"/>
      <c r="B642" s="97"/>
      <c r="D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row>
    <row r="643" spans="1:28" ht="12.75" customHeight="1" x14ac:dyDescent="0.3">
      <c r="A643" s="97"/>
      <c r="B643" s="97"/>
      <c r="D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row>
    <row r="644" spans="1:28" ht="12.75" customHeight="1" x14ac:dyDescent="0.3">
      <c r="A644" s="97"/>
      <c r="B644" s="97"/>
      <c r="D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row>
    <row r="645" spans="1:28" ht="12.75" customHeight="1" x14ac:dyDescent="0.3">
      <c r="A645" s="97"/>
      <c r="B645" s="97"/>
      <c r="D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row>
    <row r="646" spans="1:28" ht="12.75" customHeight="1" x14ac:dyDescent="0.3">
      <c r="A646" s="97"/>
      <c r="B646" s="97"/>
      <c r="D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row>
    <row r="647" spans="1:28" ht="12.75" customHeight="1" x14ac:dyDescent="0.3">
      <c r="A647" s="97"/>
      <c r="B647" s="97"/>
      <c r="D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row>
    <row r="648" spans="1:28" ht="12.75" customHeight="1" x14ac:dyDescent="0.3">
      <c r="A648" s="97"/>
      <c r="B648" s="97"/>
      <c r="D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row>
    <row r="649" spans="1:28" ht="12.75" customHeight="1" x14ac:dyDescent="0.3">
      <c r="A649" s="97"/>
      <c r="B649" s="97"/>
      <c r="D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row>
    <row r="650" spans="1:28" ht="12.75" customHeight="1" x14ac:dyDescent="0.3">
      <c r="A650" s="97"/>
      <c r="B650" s="97"/>
      <c r="D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row>
    <row r="651" spans="1:28" ht="12.75" customHeight="1" x14ac:dyDescent="0.3">
      <c r="A651" s="97"/>
      <c r="B651" s="97"/>
      <c r="D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row>
    <row r="652" spans="1:28" ht="12.75" customHeight="1" x14ac:dyDescent="0.3">
      <c r="A652" s="97"/>
      <c r="B652" s="97"/>
      <c r="D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row>
    <row r="653" spans="1:28" ht="12.75" customHeight="1" x14ac:dyDescent="0.3">
      <c r="A653" s="97"/>
      <c r="B653" s="97"/>
      <c r="D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row>
    <row r="654" spans="1:28" ht="12.75" customHeight="1" x14ac:dyDescent="0.3">
      <c r="A654" s="97"/>
      <c r="B654" s="97"/>
      <c r="D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row>
    <row r="655" spans="1:28" ht="12.75" customHeight="1" x14ac:dyDescent="0.3">
      <c r="A655" s="97"/>
      <c r="B655" s="97"/>
      <c r="D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row>
    <row r="656" spans="1:28" ht="12.75" customHeight="1" x14ac:dyDescent="0.3">
      <c r="A656" s="97"/>
      <c r="B656" s="97"/>
      <c r="D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row>
    <row r="657" spans="1:28" ht="12.75" customHeight="1" x14ac:dyDescent="0.3">
      <c r="A657" s="97"/>
      <c r="B657" s="97"/>
      <c r="D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row>
    <row r="658" spans="1:28" ht="12.75" customHeight="1" x14ac:dyDescent="0.3">
      <c r="A658" s="97"/>
      <c r="B658" s="97"/>
      <c r="D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row>
    <row r="659" spans="1:28" ht="12.75" customHeight="1" x14ac:dyDescent="0.3">
      <c r="A659" s="97"/>
      <c r="B659" s="97"/>
      <c r="D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row>
    <row r="660" spans="1:28" ht="12.75" customHeight="1" x14ac:dyDescent="0.3">
      <c r="A660" s="97"/>
      <c r="B660" s="97"/>
      <c r="D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row>
    <row r="661" spans="1:28" ht="12.75" customHeight="1" x14ac:dyDescent="0.3">
      <c r="A661" s="97"/>
      <c r="B661" s="97"/>
      <c r="D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row>
    <row r="662" spans="1:28" ht="12.75" customHeight="1" x14ac:dyDescent="0.3">
      <c r="A662" s="97"/>
      <c r="B662" s="97"/>
      <c r="D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row>
    <row r="663" spans="1:28" ht="12.75" customHeight="1" x14ac:dyDescent="0.3">
      <c r="A663" s="97"/>
      <c r="B663" s="97"/>
      <c r="D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row>
    <row r="664" spans="1:28" ht="12.75" customHeight="1" x14ac:dyDescent="0.3">
      <c r="A664" s="97"/>
      <c r="B664" s="97"/>
      <c r="D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row>
    <row r="665" spans="1:28" ht="12.75" customHeight="1" x14ac:dyDescent="0.3">
      <c r="A665" s="97"/>
      <c r="B665" s="97"/>
      <c r="D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row>
    <row r="666" spans="1:28" ht="12.75" customHeight="1" x14ac:dyDescent="0.3">
      <c r="A666" s="97"/>
      <c r="B666" s="97"/>
      <c r="D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row>
    <row r="667" spans="1:28" ht="12.75" customHeight="1" x14ac:dyDescent="0.3">
      <c r="A667" s="97"/>
      <c r="B667" s="97"/>
      <c r="D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row>
    <row r="668" spans="1:28" ht="12.75" customHeight="1" x14ac:dyDescent="0.3">
      <c r="A668" s="97"/>
      <c r="B668" s="97"/>
      <c r="D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row>
    <row r="669" spans="1:28" ht="12.75" customHeight="1" x14ac:dyDescent="0.3">
      <c r="A669" s="97"/>
      <c r="B669" s="97"/>
      <c r="D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row>
    <row r="670" spans="1:28" ht="12.75" customHeight="1" x14ac:dyDescent="0.3">
      <c r="A670" s="97"/>
      <c r="B670" s="97"/>
      <c r="D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row>
    <row r="671" spans="1:28" ht="12.75" customHeight="1" x14ac:dyDescent="0.3">
      <c r="A671" s="97"/>
      <c r="B671" s="97"/>
      <c r="D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row>
    <row r="672" spans="1:28" ht="12.75" customHeight="1" x14ac:dyDescent="0.3">
      <c r="A672" s="97"/>
      <c r="B672" s="97"/>
      <c r="D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row>
    <row r="673" spans="1:28" ht="12.75" customHeight="1" x14ac:dyDescent="0.3">
      <c r="A673" s="97"/>
      <c r="B673" s="97"/>
      <c r="D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row>
    <row r="674" spans="1:28" ht="12.75" customHeight="1" x14ac:dyDescent="0.3">
      <c r="A674" s="97"/>
      <c r="B674" s="97"/>
      <c r="D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row>
    <row r="675" spans="1:28" ht="12.75" customHeight="1" x14ac:dyDescent="0.3">
      <c r="A675" s="97"/>
      <c r="B675" s="97"/>
      <c r="D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row>
    <row r="676" spans="1:28" ht="12.75" customHeight="1" x14ac:dyDescent="0.3">
      <c r="A676" s="97"/>
      <c r="B676" s="97"/>
      <c r="D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row>
    <row r="677" spans="1:28" ht="12.75" customHeight="1" x14ac:dyDescent="0.3">
      <c r="A677" s="97"/>
      <c r="B677" s="97"/>
      <c r="D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row>
    <row r="678" spans="1:28" ht="12.75" customHeight="1" x14ac:dyDescent="0.3">
      <c r="A678" s="97"/>
      <c r="B678" s="97"/>
      <c r="D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row>
    <row r="679" spans="1:28" ht="12.75" customHeight="1" x14ac:dyDescent="0.3">
      <c r="A679" s="97"/>
      <c r="B679" s="97"/>
      <c r="D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row>
    <row r="680" spans="1:28" ht="12.75" customHeight="1" x14ac:dyDescent="0.3">
      <c r="A680" s="97"/>
      <c r="B680" s="97"/>
      <c r="D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row>
    <row r="681" spans="1:28" ht="12.75" customHeight="1" x14ac:dyDescent="0.3">
      <c r="A681" s="97"/>
      <c r="B681" s="97"/>
      <c r="D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row>
    <row r="682" spans="1:28" ht="12.75" customHeight="1" x14ac:dyDescent="0.3">
      <c r="A682" s="97"/>
      <c r="B682" s="97"/>
      <c r="D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row>
    <row r="683" spans="1:28" ht="12.75" customHeight="1" x14ac:dyDescent="0.3">
      <c r="A683" s="97"/>
      <c r="B683" s="97"/>
      <c r="D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row>
    <row r="684" spans="1:28" ht="12.75" customHeight="1" x14ac:dyDescent="0.3">
      <c r="A684" s="97"/>
      <c r="B684" s="97"/>
      <c r="D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row>
    <row r="685" spans="1:28" ht="12.75" customHeight="1" x14ac:dyDescent="0.3">
      <c r="A685" s="97"/>
      <c r="B685" s="97"/>
      <c r="D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row>
    <row r="686" spans="1:28" ht="12.75" customHeight="1" x14ac:dyDescent="0.3">
      <c r="A686" s="97"/>
      <c r="B686" s="97"/>
      <c r="D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row>
    <row r="687" spans="1:28" ht="12.75" customHeight="1" x14ac:dyDescent="0.3">
      <c r="A687" s="97"/>
      <c r="B687" s="97"/>
      <c r="D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row>
    <row r="688" spans="1:28" ht="12.75" customHeight="1" x14ac:dyDescent="0.3">
      <c r="A688" s="97"/>
      <c r="B688" s="97"/>
      <c r="D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row>
    <row r="689" spans="1:28" ht="12.75" customHeight="1" x14ac:dyDescent="0.3">
      <c r="A689" s="97"/>
      <c r="B689" s="97"/>
      <c r="D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row>
    <row r="690" spans="1:28" ht="12.75" customHeight="1" x14ac:dyDescent="0.3">
      <c r="A690" s="97"/>
      <c r="B690" s="97"/>
      <c r="D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row>
    <row r="691" spans="1:28" ht="12.75" customHeight="1" x14ac:dyDescent="0.3">
      <c r="A691" s="97"/>
      <c r="B691" s="97"/>
      <c r="D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row>
    <row r="692" spans="1:28" ht="12.75" customHeight="1" x14ac:dyDescent="0.3">
      <c r="A692" s="97"/>
      <c r="B692" s="97"/>
      <c r="D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row>
    <row r="693" spans="1:28" ht="12.75" customHeight="1" x14ac:dyDescent="0.3">
      <c r="A693" s="97"/>
      <c r="B693" s="97"/>
      <c r="D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row>
    <row r="694" spans="1:28" ht="12.75" customHeight="1" x14ac:dyDescent="0.3">
      <c r="A694" s="97"/>
      <c r="B694" s="97"/>
      <c r="D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row>
    <row r="695" spans="1:28" ht="12.75" customHeight="1" x14ac:dyDescent="0.3">
      <c r="A695" s="97"/>
      <c r="B695" s="97"/>
      <c r="D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row>
    <row r="696" spans="1:28" ht="12.75" customHeight="1" x14ac:dyDescent="0.3">
      <c r="A696" s="97"/>
      <c r="B696" s="97"/>
      <c r="D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row>
    <row r="697" spans="1:28" ht="12.75" customHeight="1" x14ac:dyDescent="0.3">
      <c r="A697" s="97"/>
      <c r="B697" s="97"/>
      <c r="D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row>
    <row r="698" spans="1:28" ht="12.75" customHeight="1" x14ac:dyDescent="0.3">
      <c r="A698" s="97"/>
      <c r="B698" s="97"/>
      <c r="D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row>
    <row r="699" spans="1:28" ht="12.75" customHeight="1" x14ac:dyDescent="0.3">
      <c r="A699" s="97"/>
      <c r="B699" s="97"/>
      <c r="D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row>
    <row r="700" spans="1:28" ht="12.75" customHeight="1" x14ac:dyDescent="0.3">
      <c r="A700" s="97"/>
      <c r="B700" s="97"/>
      <c r="D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row>
    <row r="701" spans="1:28" ht="12.75" customHeight="1" x14ac:dyDescent="0.3">
      <c r="A701" s="97"/>
      <c r="B701" s="97"/>
      <c r="D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row>
    <row r="702" spans="1:28" ht="12.75" customHeight="1" x14ac:dyDescent="0.3">
      <c r="A702" s="97"/>
      <c r="B702" s="97"/>
      <c r="D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row>
    <row r="703" spans="1:28" ht="12.75" customHeight="1" x14ac:dyDescent="0.3">
      <c r="A703" s="97"/>
      <c r="B703" s="97"/>
      <c r="D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row>
    <row r="704" spans="1:28" ht="12.75" customHeight="1" x14ac:dyDescent="0.3">
      <c r="A704" s="97"/>
      <c r="B704" s="97"/>
      <c r="D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row>
    <row r="705" spans="1:28" ht="12.75" customHeight="1" x14ac:dyDescent="0.3">
      <c r="A705" s="97"/>
      <c r="B705" s="97"/>
      <c r="D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row>
    <row r="706" spans="1:28" ht="12.75" customHeight="1" x14ac:dyDescent="0.3">
      <c r="A706" s="97"/>
      <c r="B706" s="97"/>
      <c r="D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row>
    <row r="707" spans="1:28" ht="12.75" customHeight="1" x14ac:dyDescent="0.3">
      <c r="A707" s="97"/>
      <c r="B707" s="97"/>
      <c r="D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row>
    <row r="708" spans="1:28" ht="12.75" customHeight="1" x14ac:dyDescent="0.3">
      <c r="A708" s="97"/>
      <c r="B708" s="97"/>
      <c r="D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row>
    <row r="709" spans="1:28" ht="12.75" customHeight="1" x14ac:dyDescent="0.3">
      <c r="A709" s="97"/>
      <c r="B709" s="97"/>
      <c r="D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row>
    <row r="710" spans="1:28" ht="12.75" customHeight="1" x14ac:dyDescent="0.3">
      <c r="A710" s="97"/>
      <c r="B710" s="97"/>
      <c r="D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row>
    <row r="711" spans="1:28" ht="12.75" customHeight="1" x14ac:dyDescent="0.3">
      <c r="A711" s="97"/>
      <c r="B711" s="97"/>
      <c r="D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row>
    <row r="712" spans="1:28" ht="12.75" customHeight="1" x14ac:dyDescent="0.3">
      <c r="A712" s="97"/>
      <c r="B712" s="97"/>
      <c r="D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row>
    <row r="713" spans="1:28" ht="12.75" customHeight="1" x14ac:dyDescent="0.3">
      <c r="A713" s="97"/>
      <c r="B713" s="97"/>
      <c r="D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row>
    <row r="714" spans="1:28" ht="12.75" customHeight="1" x14ac:dyDescent="0.3">
      <c r="A714" s="97"/>
      <c r="B714" s="97"/>
      <c r="D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row>
    <row r="715" spans="1:28" ht="12.75" customHeight="1" x14ac:dyDescent="0.3">
      <c r="A715" s="97"/>
      <c r="B715" s="97"/>
      <c r="D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row>
    <row r="716" spans="1:28" ht="12.75" customHeight="1" x14ac:dyDescent="0.3">
      <c r="A716" s="97"/>
      <c r="B716" s="97"/>
      <c r="D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row>
    <row r="717" spans="1:28" ht="12.75" customHeight="1" x14ac:dyDescent="0.3">
      <c r="A717" s="97"/>
      <c r="B717" s="97"/>
      <c r="D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row>
    <row r="718" spans="1:28" ht="12.75" customHeight="1" x14ac:dyDescent="0.3">
      <c r="A718" s="97"/>
      <c r="B718" s="97"/>
      <c r="D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row>
    <row r="719" spans="1:28" ht="12.75" customHeight="1" x14ac:dyDescent="0.3">
      <c r="A719" s="97"/>
      <c r="B719" s="97"/>
      <c r="D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row>
    <row r="720" spans="1:28" ht="12.75" customHeight="1" x14ac:dyDescent="0.3">
      <c r="A720" s="97"/>
      <c r="B720" s="97"/>
      <c r="D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row>
    <row r="721" spans="1:28" ht="12.75" customHeight="1" x14ac:dyDescent="0.3">
      <c r="A721" s="97"/>
      <c r="B721" s="97"/>
      <c r="D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row>
    <row r="722" spans="1:28" ht="12.75" customHeight="1" x14ac:dyDescent="0.3">
      <c r="A722" s="97"/>
      <c r="B722" s="97"/>
      <c r="D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row>
    <row r="723" spans="1:28" ht="12.75" customHeight="1" x14ac:dyDescent="0.3">
      <c r="A723" s="97"/>
      <c r="B723" s="97"/>
      <c r="D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row>
    <row r="724" spans="1:28" ht="12.75" customHeight="1" x14ac:dyDescent="0.3">
      <c r="A724" s="97"/>
      <c r="B724" s="97"/>
      <c r="D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row>
    <row r="725" spans="1:28" ht="12.75" customHeight="1" x14ac:dyDescent="0.3">
      <c r="A725" s="97"/>
      <c r="B725" s="97"/>
      <c r="D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row>
    <row r="726" spans="1:28" ht="12.75" customHeight="1" x14ac:dyDescent="0.3">
      <c r="A726" s="97"/>
      <c r="B726" s="97"/>
      <c r="D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row>
    <row r="727" spans="1:28" ht="12.75" customHeight="1" x14ac:dyDescent="0.3">
      <c r="A727" s="97"/>
      <c r="B727" s="97"/>
      <c r="D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row>
    <row r="728" spans="1:28" ht="12.75" customHeight="1" x14ac:dyDescent="0.3">
      <c r="A728" s="97"/>
      <c r="B728" s="97"/>
      <c r="D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row>
    <row r="729" spans="1:28" ht="12.75" customHeight="1" x14ac:dyDescent="0.3">
      <c r="A729" s="97"/>
      <c r="B729" s="97"/>
      <c r="D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row>
    <row r="730" spans="1:28" ht="12.75" customHeight="1" x14ac:dyDescent="0.3">
      <c r="A730" s="97"/>
      <c r="B730" s="97"/>
      <c r="D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row>
    <row r="731" spans="1:28" ht="12.75" customHeight="1" x14ac:dyDescent="0.3">
      <c r="A731" s="97"/>
      <c r="B731" s="97"/>
      <c r="D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row>
    <row r="732" spans="1:28" ht="12.75" customHeight="1" x14ac:dyDescent="0.3">
      <c r="A732" s="97"/>
      <c r="B732" s="97"/>
      <c r="D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row>
    <row r="733" spans="1:28" ht="12.75" customHeight="1" x14ac:dyDescent="0.3">
      <c r="A733" s="97"/>
      <c r="B733" s="97"/>
      <c r="D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row>
    <row r="734" spans="1:28" ht="12.75" customHeight="1" x14ac:dyDescent="0.3">
      <c r="A734" s="97"/>
      <c r="B734" s="97"/>
      <c r="D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row>
    <row r="735" spans="1:28" ht="12.75" customHeight="1" x14ac:dyDescent="0.3">
      <c r="A735" s="97"/>
      <c r="B735" s="97"/>
      <c r="D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row>
    <row r="736" spans="1:28" ht="12.75" customHeight="1" x14ac:dyDescent="0.3">
      <c r="A736" s="97"/>
      <c r="B736" s="97"/>
      <c r="D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row>
    <row r="737" spans="1:28" ht="12.75" customHeight="1" x14ac:dyDescent="0.3">
      <c r="A737" s="97"/>
      <c r="B737" s="97"/>
      <c r="D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row>
    <row r="738" spans="1:28" ht="12.75" customHeight="1" x14ac:dyDescent="0.3">
      <c r="A738" s="97"/>
      <c r="B738" s="97"/>
      <c r="D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row>
  </sheetData>
  <mergeCells count="192">
    <mergeCell ref="R86:R87"/>
    <mergeCell ref="S86:S87"/>
    <mergeCell ref="D89:D90"/>
    <mergeCell ref="G89:G90"/>
    <mergeCell ref="H89:H90"/>
    <mergeCell ref="I89:I90"/>
    <mergeCell ref="J89:J90"/>
    <mergeCell ref="K89:K90"/>
    <mergeCell ref="L89:L90"/>
    <mergeCell ref="M89:M90"/>
    <mergeCell ref="N89:N90"/>
    <mergeCell ref="O89:O90"/>
    <mergeCell ref="P89:P90"/>
    <mergeCell ref="Q89:Q90"/>
    <mergeCell ref="R89:R90"/>
    <mergeCell ref="S89:S90"/>
    <mergeCell ref="M86:M87"/>
    <mergeCell ref="N86:N87"/>
    <mergeCell ref="O86:O87"/>
    <mergeCell ref="P86:P87"/>
    <mergeCell ref="Q86:Q87"/>
    <mergeCell ref="G86:G87"/>
    <mergeCell ref="H86:H87"/>
    <mergeCell ref="I86:I87"/>
    <mergeCell ref="Q82:Q83"/>
    <mergeCell ref="R82:R83"/>
    <mergeCell ref="S82:S83"/>
    <mergeCell ref="D84:D85"/>
    <mergeCell ref="G84:G85"/>
    <mergeCell ref="H84:H85"/>
    <mergeCell ref="I84:I85"/>
    <mergeCell ref="J84:J85"/>
    <mergeCell ref="K84:K85"/>
    <mergeCell ref="L84:L85"/>
    <mergeCell ref="M84:M85"/>
    <mergeCell ref="N84:N85"/>
    <mergeCell ref="O84:O85"/>
    <mergeCell ref="P84:P85"/>
    <mergeCell ref="Q84:Q85"/>
    <mergeCell ref="R84:R85"/>
    <mergeCell ref="S84:S85"/>
    <mergeCell ref="G82:G83"/>
    <mergeCell ref="H82:H83"/>
    <mergeCell ref="K82:K83"/>
    <mergeCell ref="Q78:Q79"/>
    <mergeCell ref="R78:R79"/>
    <mergeCell ref="S78:S79"/>
    <mergeCell ref="C80:C81"/>
    <mergeCell ref="D80:D81"/>
    <mergeCell ref="G80:G81"/>
    <mergeCell ref="H80:H81"/>
    <mergeCell ref="I80:I81"/>
    <mergeCell ref="J80:J81"/>
    <mergeCell ref="K80:K81"/>
    <mergeCell ref="L80:L81"/>
    <mergeCell ref="M80:M81"/>
    <mergeCell ref="N80:N81"/>
    <mergeCell ref="O80:O81"/>
    <mergeCell ref="P80:P81"/>
    <mergeCell ref="Q80:Q81"/>
    <mergeCell ref="R80:R81"/>
    <mergeCell ref="S80:S81"/>
    <mergeCell ref="D2:K2"/>
    <mergeCell ref="D3:K3"/>
    <mergeCell ref="D4:K4"/>
    <mergeCell ref="R35:R36"/>
    <mergeCell ref="A62:A71"/>
    <mergeCell ref="B62:B71"/>
    <mergeCell ref="R62:R63"/>
    <mergeCell ref="R66:R67"/>
    <mergeCell ref="C68:C71"/>
    <mergeCell ref="R68:R69"/>
    <mergeCell ref="A54:A58"/>
    <mergeCell ref="A24:A29"/>
    <mergeCell ref="B24:B29"/>
    <mergeCell ref="C24:C29"/>
    <mergeCell ref="E24:E29"/>
    <mergeCell ref="A30:A41"/>
    <mergeCell ref="B30:B41"/>
    <mergeCell ref="C30:C37"/>
    <mergeCell ref="E30:E40"/>
    <mergeCell ref="D35:D36"/>
    <mergeCell ref="B54:B58"/>
    <mergeCell ref="C54:C57"/>
    <mergeCell ref="E54:E58"/>
    <mergeCell ref="Q35:Q36"/>
    <mergeCell ref="S35:S36"/>
    <mergeCell ref="C38:C40"/>
    <mergeCell ref="A42:A53"/>
    <mergeCell ref="B42:B53"/>
    <mergeCell ref="C42:C49"/>
    <mergeCell ref="E42:E53"/>
    <mergeCell ref="C50:C53"/>
    <mergeCell ref="L35:L36"/>
    <mergeCell ref="M35:M36"/>
    <mergeCell ref="N35:N36"/>
    <mergeCell ref="O35:O36"/>
    <mergeCell ref="P35:P36"/>
    <mergeCell ref="G35:G36"/>
    <mergeCell ref="H35:H36"/>
    <mergeCell ref="I35:I36"/>
    <mergeCell ref="J35:J36"/>
    <mergeCell ref="K35:K36"/>
    <mergeCell ref="I62:I63"/>
    <mergeCell ref="J62:J63"/>
    <mergeCell ref="A59:A61"/>
    <mergeCell ref="B59:B61"/>
    <mergeCell ref="C59:C61"/>
    <mergeCell ref="E59:E61"/>
    <mergeCell ref="C62:C67"/>
    <mergeCell ref="D62:D63"/>
    <mergeCell ref="P62:P63"/>
    <mergeCell ref="Q62:Q63"/>
    <mergeCell ref="S62:S63"/>
    <mergeCell ref="D66:D67"/>
    <mergeCell ref="F66:F67"/>
    <mergeCell ref="G66:G67"/>
    <mergeCell ref="H66:H67"/>
    <mergeCell ref="I66:I67"/>
    <mergeCell ref="J66:J67"/>
    <mergeCell ref="K66:K67"/>
    <mergeCell ref="L66:L67"/>
    <mergeCell ref="M66:M67"/>
    <mergeCell ref="N66:N67"/>
    <mergeCell ref="O66:O67"/>
    <mergeCell ref="P66:P67"/>
    <mergeCell ref="Q66:Q67"/>
    <mergeCell ref="K62:K63"/>
    <mergeCell ref="L62:L63"/>
    <mergeCell ref="M62:M63"/>
    <mergeCell ref="N62:N63"/>
    <mergeCell ref="O62:O63"/>
    <mergeCell ref="F62:F63"/>
    <mergeCell ref="G62:G63"/>
    <mergeCell ref="H62:H63"/>
    <mergeCell ref="S66:S67"/>
    <mergeCell ref="Q68:Q69"/>
    <mergeCell ref="S68:S69"/>
    <mergeCell ref="A72:A73"/>
    <mergeCell ref="B72:B73"/>
    <mergeCell ref="G78:G79"/>
    <mergeCell ref="H78:H79"/>
    <mergeCell ref="I78:I79"/>
    <mergeCell ref="J78:J79"/>
    <mergeCell ref="K78:K79"/>
    <mergeCell ref="D68:D69"/>
    <mergeCell ref="G68:G69"/>
    <mergeCell ref="H68:H69"/>
    <mergeCell ref="I68:I69"/>
    <mergeCell ref="J68:J69"/>
    <mergeCell ref="K68:K69"/>
    <mergeCell ref="L68:L69"/>
    <mergeCell ref="M68:M69"/>
    <mergeCell ref="N68:N69"/>
    <mergeCell ref="C72:C73"/>
    <mergeCell ref="E72:E73"/>
    <mergeCell ref="A74:A77"/>
    <mergeCell ref="B74:B77"/>
    <mergeCell ref="E74:E77"/>
    <mergeCell ref="A78:A91"/>
    <mergeCell ref="K86:K87"/>
    <mergeCell ref="L86:L87"/>
    <mergeCell ref="O68:O69"/>
    <mergeCell ref="P68:P69"/>
    <mergeCell ref="L78:L79"/>
    <mergeCell ref="M78:M79"/>
    <mergeCell ref="N78:N79"/>
    <mergeCell ref="O78:O79"/>
    <mergeCell ref="P78:P79"/>
    <mergeCell ref="L82:L83"/>
    <mergeCell ref="M82:M83"/>
    <mergeCell ref="N82:N83"/>
    <mergeCell ref="O82:O83"/>
    <mergeCell ref="P82:P83"/>
    <mergeCell ref="A92:A97"/>
    <mergeCell ref="B92:B97"/>
    <mergeCell ref="C92:C93"/>
    <mergeCell ref="E92:E97"/>
    <mergeCell ref="C94:C96"/>
    <mergeCell ref="B98:B105"/>
    <mergeCell ref="E98:E105"/>
    <mergeCell ref="I82:I83"/>
    <mergeCell ref="J82:J83"/>
    <mergeCell ref="B78:B91"/>
    <mergeCell ref="C78:C79"/>
    <mergeCell ref="D78:D79"/>
    <mergeCell ref="E78:E91"/>
    <mergeCell ref="C82:C91"/>
    <mergeCell ref="D82:D83"/>
    <mergeCell ref="D86:D87"/>
    <mergeCell ref="C100:C105"/>
    <mergeCell ref="J86:J87"/>
  </mergeCells>
  <hyperlinks>
    <hyperlink ref="C5" r:id="rId1" xr:uid="{00000000-0004-0000-0100-000000000000}"/>
  </hyperlinks>
  <pageMargins left="0.7" right="0.7" top="0.75" bottom="0.75" header="0" footer="0"/>
  <pageSetup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Z983"/>
  <sheetViews>
    <sheetView showGridLines="0" topLeftCell="B1" workbookViewId="0">
      <selection activeCell="F45" sqref="F45"/>
    </sheetView>
  </sheetViews>
  <sheetFormatPr baseColWidth="10" defaultColWidth="14.44140625" defaultRowHeight="15" customHeight="1" x14ac:dyDescent="0.3"/>
  <cols>
    <col min="1" max="1" width="4.5546875" style="1" customWidth="1"/>
    <col min="2" max="2" width="6.44140625" style="1" customWidth="1"/>
    <col min="3" max="3" width="24.109375" style="1" customWidth="1"/>
    <col min="4" max="4" width="11.33203125" style="1" customWidth="1"/>
    <col min="5" max="5" width="8.109375" style="1" customWidth="1"/>
    <col min="6" max="6" width="10.88671875" style="1" customWidth="1"/>
    <col min="7" max="8" width="12" style="1" customWidth="1"/>
    <col min="9" max="10" width="13.44140625" style="1" customWidth="1"/>
    <col min="11" max="11" width="16.109375" style="1" customWidth="1"/>
    <col min="12" max="12" width="13.5546875" style="1" customWidth="1"/>
    <col min="13" max="13" width="27.5546875" style="1" customWidth="1"/>
    <col min="14" max="14" width="39.33203125" style="1" customWidth="1"/>
    <col min="15" max="15" width="32.44140625" style="1" customWidth="1"/>
    <col min="16" max="26" width="10" style="1" customWidth="1"/>
    <col min="27" max="16384" width="14.44140625" style="1"/>
  </cols>
  <sheetData>
    <row r="1" spans="1:26" ht="12.75" customHeight="1" x14ac:dyDescent="0.3">
      <c r="B1" s="2"/>
      <c r="C1" s="2"/>
      <c r="D1" s="2"/>
      <c r="E1" s="2"/>
      <c r="F1" s="2"/>
      <c r="G1" s="2"/>
      <c r="H1" s="2"/>
      <c r="I1" s="2"/>
      <c r="J1" s="2"/>
      <c r="K1" s="3"/>
      <c r="L1" s="3"/>
      <c r="M1" s="3"/>
    </row>
    <row r="2" spans="1:26" ht="12.75" customHeight="1" x14ac:dyDescent="0.3">
      <c r="C2" s="25"/>
      <c r="D2" s="25"/>
      <c r="E2" s="25"/>
      <c r="F2" s="25"/>
      <c r="G2" s="814" t="s">
        <v>0</v>
      </c>
      <c r="H2" s="814"/>
      <c r="I2" s="814"/>
      <c r="J2" s="814"/>
      <c r="K2" s="814"/>
      <c r="L2" s="814"/>
      <c r="M2" s="814"/>
    </row>
    <row r="3" spans="1:26" ht="12.75" customHeight="1" x14ac:dyDescent="0.3">
      <c r="C3" s="25"/>
      <c r="D3" s="25"/>
      <c r="E3" s="25"/>
      <c r="F3" s="25"/>
      <c r="G3" s="815" t="s">
        <v>1</v>
      </c>
      <c r="H3" s="815"/>
      <c r="I3" s="815"/>
      <c r="J3" s="815"/>
      <c r="K3" s="815"/>
      <c r="L3" s="815"/>
      <c r="M3" s="815"/>
    </row>
    <row r="4" spans="1:26" ht="15.75" customHeight="1" x14ac:dyDescent="0.3">
      <c r="C4" s="25"/>
      <c r="D4" s="25"/>
      <c r="E4" s="25"/>
      <c r="F4" s="25"/>
      <c r="G4" s="816" t="s">
        <v>2</v>
      </c>
      <c r="H4" s="816"/>
      <c r="I4" s="816"/>
      <c r="J4" s="816"/>
      <c r="K4" s="816"/>
      <c r="L4" s="816"/>
      <c r="M4" s="816"/>
    </row>
    <row r="5" spans="1:26" ht="15.75" customHeight="1" x14ac:dyDescent="0.3">
      <c r="C5" s="25"/>
      <c r="D5" s="25"/>
      <c r="E5" s="25"/>
      <c r="F5" s="25"/>
      <c r="G5" s="26"/>
      <c r="H5" s="26"/>
      <c r="I5" s="26"/>
      <c r="J5" s="26"/>
      <c r="K5" s="26"/>
      <c r="L5" s="26"/>
      <c r="M5" s="26"/>
    </row>
    <row r="6" spans="1:26" ht="15.75" customHeight="1" x14ac:dyDescent="0.3">
      <c r="C6" s="47" t="s">
        <v>96</v>
      </c>
      <c r="D6" s="48" t="s">
        <v>66</v>
      </c>
      <c r="E6" s="25"/>
      <c r="F6" s="25"/>
      <c r="G6" s="26"/>
      <c r="H6" s="26"/>
      <c r="I6" s="26"/>
      <c r="J6" s="26"/>
      <c r="K6" s="26"/>
      <c r="L6" s="26"/>
      <c r="M6" s="26"/>
    </row>
    <row r="7" spans="1:26" ht="15.75" customHeight="1" x14ac:dyDescent="0.3">
      <c r="C7" s="47" t="s">
        <v>100</v>
      </c>
      <c r="D7" s="48" t="s">
        <v>99</v>
      </c>
      <c r="E7" s="25"/>
      <c r="F7" s="25"/>
      <c r="G7" s="26"/>
      <c r="H7" s="26"/>
      <c r="I7" s="26"/>
      <c r="J7" s="26"/>
      <c r="K7" s="26"/>
      <c r="L7" s="26"/>
      <c r="M7" s="26"/>
    </row>
    <row r="8" spans="1:26" ht="15" customHeight="1" x14ac:dyDescent="0.3">
      <c r="A8" s="9"/>
      <c r="B8" s="10"/>
      <c r="C8" s="47" t="s">
        <v>100</v>
      </c>
      <c r="D8" s="48" t="s">
        <v>73</v>
      </c>
      <c r="E8" s="10"/>
      <c r="F8" s="10"/>
      <c r="G8" s="10"/>
      <c r="H8" s="10"/>
      <c r="I8" s="10"/>
      <c r="J8" s="10"/>
      <c r="K8" s="10"/>
      <c r="L8" s="10"/>
      <c r="M8" s="10"/>
      <c r="N8" s="9"/>
      <c r="O8" s="9"/>
      <c r="P8" s="9"/>
      <c r="Q8" s="9"/>
      <c r="R8" s="9"/>
      <c r="S8" s="9"/>
      <c r="T8" s="9"/>
      <c r="U8" s="9"/>
      <c r="V8" s="9"/>
      <c r="W8" s="9"/>
      <c r="X8" s="9"/>
      <c r="Y8" s="9"/>
      <c r="Z8" s="9"/>
    </row>
    <row r="9" spans="1:26" ht="15" customHeight="1" x14ac:dyDescent="0.3">
      <c r="A9" s="9"/>
      <c r="B9" s="10"/>
      <c r="C9" s="49" t="s">
        <v>101</v>
      </c>
      <c r="D9" s="48" t="s">
        <v>72</v>
      </c>
      <c r="E9" s="10"/>
      <c r="F9" s="10"/>
      <c r="G9" s="10"/>
      <c r="H9" s="10"/>
      <c r="I9" s="10"/>
      <c r="J9" s="10"/>
      <c r="K9" s="10"/>
      <c r="L9" s="10"/>
      <c r="M9" s="10"/>
      <c r="N9" s="9"/>
      <c r="O9" s="9"/>
      <c r="P9" s="9"/>
      <c r="Q9" s="9"/>
      <c r="R9" s="9"/>
      <c r="S9" s="9"/>
      <c r="T9" s="9"/>
      <c r="U9" s="9"/>
      <c r="V9" s="9"/>
      <c r="W9" s="9"/>
      <c r="X9" s="9"/>
      <c r="Y9" s="9"/>
      <c r="Z9" s="9"/>
    </row>
    <row r="10" spans="1:26" ht="15" customHeight="1" x14ac:dyDescent="0.3">
      <c r="A10" s="9"/>
      <c r="B10" s="10"/>
      <c r="C10" s="10"/>
      <c r="D10" s="10"/>
      <c r="E10" s="10"/>
      <c r="F10" s="10"/>
      <c r="G10" s="10"/>
      <c r="H10" s="10"/>
      <c r="I10" s="10"/>
      <c r="J10" s="10"/>
      <c r="K10" s="10"/>
      <c r="L10" s="10"/>
      <c r="M10" s="10"/>
      <c r="N10" s="9"/>
      <c r="O10" s="9"/>
      <c r="P10" s="9"/>
      <c r="Q10" s="9"/>
      <c r="R10" s="9"/>
      <c r="S10" s="9"/>
      <c r="T10" s="9"/>
      <c r="U10" s="9"/>
      <c r="V10" s="9"/>
      <c r="W10" s="9"/>
      <c r="X10" s="9"/>
      <c r="Y10" s="9"/>
      <c r="Z10" s="9"/>
    </row>
    <row r="11" spans="1:26" ht="12.75" customHeight="1" x14ac:dyDescent="0.3">
      <c r="B11" s="817" t="s">
        <v>3</v>
      </c>
      <c r="C11" s="817"/>
      <c r="D11" s="817"/>
      <c r="E11" s="817"/>
      <c r="F11" s="817"/>
      <c r="G11" s="817"/>
      <c r="H11" s="817"/>
      <c r="I11" s="817"/>
      <c r="J11" s="817"/>
      <c r="K11" s="817"/>
      <c r="L11" s="817"/>
      <c r="M11" s="817"/>
      <c r="N11" s="817"/>
      <c r="O11" s="818"/>
    </row>
    <row r="12" spans="1:26" ht="12.75" customHeight="1" x14ac:dyDescent="0.3">
      <c r="B12" s="27" t="s">
        <v>4</v>
      </c>
      <c r="C12" s="27" t="s">
        <v>5</v>
      </c>
      <c r="D12" s="27">
        <v>2018</v>
      </c>
      <c r="E12" s="27">
        <v>2019</v>
      </c>
      <c r="F12" s="27">
        <v>2020</v>
      </c>
      <c r="G12" s="27">
        <v>2021</v>
      </c>
      <c r="H12" s="27">
        <v>2022</v>
      </c>
      <c r="I12" s="27">
        <v>2023</v>
      </c>
      <c r="J12" s="27">
        <v>2024</v>
      </c>
      <c r="K12" s="27">
        <v>2025</v>
      </c>
      <c r="L12" s="27">
        <v>2026</v>
      </c>
      <c r="M12" s="27" t="s">
        <v>6</v>
      </c>
      <c r="N12" s="28" t="s">
        <v>7</v>
      </c>
      <c r="O12" s="29" t="s">
        <v>8</v>
      </c>
    </row>
    <row r="13" spans="1:26" ht="55.5" customHeight="1" x14ac:dyDescent="0.3">
      <c r="B13" s="368">
        <v>1</v>
      </c>
      <c r="C13" s="369" t="s">
        <v>9</v>
      </c>
      <c r="D13" s="370">
        <v>113285</v>
      </c>
      <c r="E13" s="370">
        <v>121665</v>
      </c>
      <c r="F13" s="370">
        <v>121922</v>
      </c>
      <c r="G13" s="370">
        <v>122222</v>
      </c>
      <c r="H13" s="370">
        <v>132718</v>
      </c>
      <c r="I13" s="370">
        <v>126761</v>
      </c>
      <c r="J13" s="370">
        <v>127582</v>
      </c>
      <c r="K13" s="321">
        <v>143259</v>
      </c>
      <c r="L13" s="321">
        <v>145986</v>
      </c>
      <c r="M13" s="371" t="s">
        <v>10</v>
      </c>
      <c r="N13" s="372" t="s">
        <v>11</v>
      </c>
      <c r="O13" s="373" t="s">
        <v>12</v>
      </c>
    </row>
    <row r="14" spans="1:26" ht="55.5" customHeight="1" x14ac:dyDescent="0.3">
      <c r="B14" s="368">
        <v>2</v>
      </c>
      <c r="C14" s="369" t="s">
        <v>13</v>
      </c>
      <c r="D14" s="370">
        <v>9957</v>
      </c>
      <c r="E14" s="370">
        <v>10290</v>
      </c>
      <c r="F14" s="370">
        <v>10291</v>
      </c>
      <c r="G14" s="370">
        <v>10262</v>
      </c>
      <c r="H14" s="370">
        <v>1464</v>
      </c>
      <c r="I14" s="370">
        <v>8582</v>
      </c>
      <c r="J14" s="370">
        <v>9653</v>
      </c>
      <c r="K14" s="322" t="s">
        <v>820</v>
      </c>
      <c r="L14" s="322" t="s">
        <v>820</v>
      </c>
      <c r="M14" s="371" t="s">
        <v>10</v>
      </c>
      <c r="N14" s="374" t="s">
        <v>14</v>
      </c>
      <c r="O14" s="375" t="s">
        <v>12</v>
      </c>
    </row>
    <row r="15" spans="1:26" ht="55.5" customHeight="1" x14ac:dyDescent="0.3">
      <c r="B15" s="368">
        <v>3</v>
      </c>
      <c r="C15" s="369" t="s">
        <v>15</v>
      </c>
      <c r="D15" s="304">
        <v>758</v>
      </c>
      <c r="E15" s="304">
        <v>756</v>
      </c>
      <c r="F15" s="304">
        <v>756</v>
      </c>
      <c r="G15" s="304">
        <v>756</v>
      </c>
      <c r="H15" s="304">
        <v>200</v>
      </c>
      <c r="I15" s="304">
        <v>755</v>
      </c>
      <c r="J15" s="304">
        <v>754</v>
      </c>
      <c r="K15" s="322" t="s">
        <v>820</v>
      </c>
      <c r="L15" s="322" t="s">
        <v>820</v>
      </c>
      <c r="M15" s="371" t="s">
        <v>10</v>
      </c>
      <c r="N15" s="374" t="s">
        <v>703</v>
      </c>
      <c r="O15" s="375" t="s">
        <v>12</v>
      </c>
    </row>
    <row r="16" spans="1:26" ht="55.5" customHeight="1" x14ac:dyDescent="0.3">
      <c r="B16" s="368">
        <v>4</v>
      </c>
      <c r="C16" s="369" t="s">
        <v>559</v>
      </c>
      <c r="D16" s="370">
        <v>4197</v>
      </c>
      <c r="E16" s="370">
        <v>4603</v>
      </c>
      <c r="F16" s="370">
        <v>4603</v>
      </c>
      <c r="G16" s="370">
        <v>4612</v>
      </c>
      <c r="H16" s="370">
        <v>4730</v>
      </c>
      <c r="I16" s="370">
        <v>4805</v>
      </c>
      <c r="J16" s="370">
        <v>5009</v>
      </c>
      <c r="K16" s="321">
        <v>6141</v>
      </c>
      <c r="L16" s="424">
        <v>6106</v>
      </c>
      <c r="M16" s="376" t="s">
        <v>10</v>
      </c>
      <c r="N16" s="374" t="s">
        <v>16</v>
      </c>
      <c r="O16" s="375" t="s">
        <v>12</v>
      </c>
    </row>
    <row r="17" spans="2:15" ht="55.5" customHeight="1" x14ac:dyDescent="0.3">
      <c r="B17" s="368">
        <v>5</v>
      </c>
      <c r="C17" s="369" t="s">
        <v>17</v>
      </c>
      <c r="D17" s="370">
        <v>34330</v>
      </c>
      <c r="E17" s="370">
        <v>34329</v>
      </c>
      <c r="F17" s="370">
        <v>34329</v>
      </c>
      <c r="G17" s="370">
        <v>34329</v>
      </c>
      <c r="H17" s="370">
        <v>34329</v>
      </c>
      <c r="I17" s="370">
        <v>34369</v>
      </c>
      <c r="J17" s="370">
        <v>34450</v>
      </c>
      <c r="K17" s="321">
        <v>34450</v>
      </c>
      <c r="L17" s="424">
        <v>25757</v>
      </c>
      <c r="M17" s="376" t="s">
        <v>18</v>
      </c>
      <c r="N17" s="374" t="s">
        <v>19</v>
      </c>
      <c r="O17" s="374" t="s">
        <v>18</v>
      </c>
    </row>
    <row r="18" spans="2:15" ht="55.5" customHeight="1" x14ac:dyDescent="0.3">
      <c r="B18" s="368">
        <v>6</v>
      </c>
      <c r="C18" s="369" t="s">
        <v>704</v>
      </c>
      <c r="D18" s="377">
        <v>27837</v>
      </c>
      <c r="E18" s="370">
        <v>27837</v>
      </c>
      <c r="F18" s="370">
        <v>27837</v>
      </c>
      <c r="G18" s="370">
        <v>27837</v>
      </c>
      <c r="H18" s="370">
        <v>27834</v>
      </c>
      <c r="I18" s="370">
        <v>27834</v>
      </c>
      <c r="J18" s="370">
        <v>27812</v>
      </c>
      <c r="K18" s="321">
        <v>27812</v>
      </c>
      <c r="L18" s="424">
        <v>27967</v>
      </c>
      <c r="M18" s="376" t="s">
        <v>705</v>
      </c>
      <c r="N18" s="374" t="s">
        <v>21</v>
      </c>
      <c r="O18" s="374" t="s">
        <v>20</v>
      </c>
    </row>
    <row r="19" spans="2:15" ht="55.5" customHeight="1" x14ac:dyDescent="0.3">
      <c r="B19" s="368">
        <v>7</v>
      </c>
      <c r="C19" s="369" t="s">
        <v>22</v>
      </c>
      <c r="D19" s="370">
        <v>7738</v>
      </c>
      <c r="E19" s="370">
        <v>11187</v>
      </c>
      <c r="F19" s="370">
        <v>14525</v>
      </c>
      <c r="G19" s="370">
        <v>15111</v>
      </c>
      <c r="H19" s="370">
        <v>17046</v>
      </c>
      <c r="I19" s="370">
        <v>18326</v>
      </c>
      <c r="J19" s="370">
        <v>23204</v>
      </c>
      <c r="K19" s="321">
        <v>27232</v>
      </c>
      <c r="L19" s="424"/>
      <c r="M19" s="376" t="s">
        <v>23</v>
      </c>
      <c r="N19" s="374" t="s">
        <v>24</v>
      </c>
      <c r="O19" s="375" t="s">
        <v>25</v>
      </c>
    </row>
    <row r="20" spans="2:15" ht="55.5" customHeight="1" x14ac:dyDescent="0.3">
      <c r="B20" s="368">
        <v>8</v>
      </c>
      <c r="C20" s="369" t="s">
        <v>706</v>
      </c>
      <c r="D20" s="370">
        <v>3488</v>
      </c>
      <c r="E20" s="370">
        <v>3960</v>
      </c>
      <c r="F20" s="370">
        <v>3961</v>
      </c>
      <c r="G20" s="370">
        <v>3961</v>
      </c>
      <c r="H20" s="370">
        <v>4359</v>
      </c>
      <c r="I20" s="370">
        <v>4635</v>
      </c>
      <c r="J20" s="370">
        <v>4786</v>
      </c>
      <c r="K20" s="321">
        <v>4918</v>
      </c>
      <c r="L20" s="424">
        <v>4904</v>
      </c>
      <c r="M20" s="376" t="s">
        <v>10</v>
      </c>
      <c r="N20" s="374" t="s">
        <v>26</v>
      </c>
      <c r="O20" s="375" t="s">
        <v>12</v>
      </c>
    </row>
    <row r="21" spans="2:15" ht="55.5" customHeight="1" x14ac:dyDescent="0.3">
      <c r="B21" s="368">
        <v>9</v>
      </c>
      <c r="C21" s="369" t="s">
        <v>27</v>
      </c>
      <c r="D21" s="378"/>
      <c r="E21" s="304"/>
      <c r="F21" s="304"/>
      <c r="G21" s="304"/>
      <c r="H21" s="304"/>
      <c r="I21" s="370">
        <v>39571</v>
      </c>
      <c r="J21" s="370">
        <v>39571</v>
      </c>
      <c r="K21" s="321">
        <v>39573</v>
      </c>
      <c r="L21" s="424">
        <v>39573</v>
      </c>
      <c r="M21" s="376" t="s">
        <v>28</v>
      </c>
      <c r="N21" s="374" t="s">
        <v>24</v>
      </c>
      <c r="O21" s="374" t="s">
        <v>28</v>
      </c>
    </row>
    <row r="22" spans="2:15" ht="55.5" customHeight="1" x14ac:dyDescent="0.3">
      <c r="B22" s="368">
        <v>10</v>
      </c>
      <c r="C22" s="17" t="s">
        <v>29</v>
      </c>
      <c r="D22" s="266"/>
      <c r="E22" s="304"/>
      <c r="F22" s="304"/>
      <c r="G22" s="304"/>
      <c r="H22" s="304"/>
      <c r="I22" s="304"/>
      <c r="J22" s="304">
        <v>590</v>
      </c>
      <c r="K22" s="322" t="s">
        <v>820</v>
      </c>
      <c r="L22" s="322" t="s">
        <v>820</v>
      </c>
      <c r="M22" s="376" t="s">
        <v>30</v>
      </c>
      <c r="N22" s="379" t="s">
        <v>1354</v>
      </c>
      <c r="O22" s="374" t="s">
        <v>30</v>
      </c>
    </row>
    <row r="23" spans="2:15" ht="55.5" customHeight="1" x14ac:dyDescent="0.3">
      <c r="B23" s="368">
        <v>11</v>
      </c>
      <c r="C23" s="17" t="s">
        <v>31</v>
      </c>
      <c r="D23" s="266"/>
      <c r="E23" s="304"/>
      <c r="F23" s="304"/>
      <c r="G23" s="304"/>
      <c r="H23" s="304"/>
      <c r="I23" s="304"/>
      <c r="J23" s="304">
        <v>483</v>
      </c>
      <c r="K23" s="322" t="s">
        <v>820</v>
      </c>
      <c r="L23" s="322" t="s">
        <v>820</v>
      </c>
      <c r="M23" s="376" t="s">
        <v>32</v>
      </c>
      <c r="N23" s="379" t="s">
        <v>1354</v>
      </c>
      <c r="O23" s="374" t="s">
        <v>32</v>
      </c>
    </row>
    <row r="24" spans="2:15" ht="55.5" customHeight="1" x14ac:dyDescent="0.3">
      <c r="B24" s="368">
        <v>12</v>
      </c>
      <c r="C24" s="17" t="s">
        <v>33</v>
      </c>
      <c r="D24" s="266"/>
      <c r="E24" s="304"/>
      <c r="F24" s="304"/>
      <c r="G24" s="304"/>
      <c r="H24" s="304"/>
      <c r="I24" s="304"/>
      <c r="J24" s="304">
        <v>133</v>
      </c>
      <c r="K24" s="322" t="s">
        <v>820</v>
      </c>
      <c r="L24" s="322" t="s">
        <v>820</v>
      </c>
      <c r="M24" s="376" t="s">
        <v>10</v>
      </c>
      <c r="N24" s="379" t="s">
        <v>1354</v>
      </c>
      <c r="O24" s="375" t="s">
        <v>12</v>
      </c>
    </row>
    <row r="25" spans="2:15" ht="55.5" customHeight="1" x14ac:dyDescent="0.3">
      <c r="B25" s="368">
        <v>13</v>
      </c>
      <c r="C25" s="17" t="s">
        <v>34</v>
      </c>
      <c r="D25" s="378">
        <v>25</v>
      </c>
      <c r="E25" s="304">
        <v>15</v>
      </c>
      <c r="F25" s="304">
        <v>22</v>
      </c>
      <c r="G25" s="304">
        <v>18</v>
      </c>
      <c r="H25" s="304">
        <v>23</v>
      </c>
      <c r="I25" s="304">
        <v>207</v>
      </c>
      <c r="J25" s="304">
        <v>212</v>
      </c>
      <c r="K25" s="322" t="s">
        <v>820</v>
      </c>
      <c r="L25" s="425">
        <v>56</v>
      </c>
      <c r="M25" s="376" t="s">
        <v>40</v>
      </c>
      <c r="N25" s="647" t="s">
        <v>35</v>
      </c>
      <c r="O25" s="375" t="s">
        <v>12</v>
      </c>
    </row>
    <row r="26" spans="2:15" ht="55.5" customHeight="1" x14ac:dyDescent="0.3">
      <c r="B26" s="368">
        <v>14</v>
      </c>
      <c r="C26" s="17" t="s">
        <v>36</v>
      </c>
      <c r="D26" s="378">
        <v>17</v>
      </c>
      <c r="E26" s="304">
        <v>10</v>
      </c>
      <c r="F26" s="304">
        <v>52</v>
      </c>
      <c r="G26" s="304">
        <v>50</v>
      </c>
      <c r="H26" s="304">
        <v>33</v>
      </c>
      <c r="I26" s="304">
        <v>34</v>
      </c>
      <c r="J26" s="304">
        <v>35</v>
      </c>
      <c r="K26" s="322" t="s">
        <v>820</v>
      </c>
      <c r="L26" s="425">
        <v>40</v>
      </c>
      <c r="M26" s="376" t="s">
        <v>40</v>
      </c>
      <c r="N26" s="647" t="s">
        <v>35</v>
      </c>
      <c r="O26" s="375" t="s">
        <v>12</v>
      </c>
    </row>
    <row r="27" spans="2:15" ht="55.5" customHeight="1" x14ac:dyDescent="0.3">
      <c r="B27" s="368">
        <v>15</v>
      </c>
      <c r="C27" s="17" t="s">
        <v>37</v>
      </c>
      <c r="D27" s="378">
        <v>6</v>
      </c>
      <c r="E27" s="304">
        <v>6</v>
      </c>
      <c r="F27" s="304">
        <v>6</v>
      </c>
      <c r="G27" s="304">
        <v>4</v>
      </c>
      <c r="H27" s="304">
        <v>4</v>
      </c>
      <c r="I27" s="304">
        <v>6</v>
      </c>
      <c r="J27" s="304">
        <v>7</v>
      </c>
      <c r="K27" s="322">
        <v>7</v>
      </c>
      <c r="L27" s="425">
        <v>8</v>
      </c>
      <c r="M27" s="376" t="s">
        <v>10</v>
      </c>
      <c r="N27" s="374" t="s">
        <v>38</v>
      </c>
      <c r="O27" s="375" t="s">
        <v>12</v>
      </c>
    </row>
    <row r="28" spans="2:15" ht="55.5" customHeight="1" x14ac:dyDescent="0.3">
      <c r="B28" s="368">
        <v>16</v>
      </c>
      <c r="C28" s="369" t="s">
        <v>39</v>
      </c>
      <c r="D28" s="304" t="s">
        <v>677</v>
      </c>
      <c r="E28" s="304" t="s">
        <v>280</v>
      </c>
      <c r="F28" s="370">
        <v>4170</v>
      </c>
      <c r="G28" s="370">
        <v>4172</v>
      </c>
      <c r="H28" s="370">
        <v>10135</v>
      </c>
      <c r="I28" s="370">
        <v>10135</v>
      </c>
      <c r="J28" s="370">
        <v>10135</v>
      </c>
      <c r="K28" s="321">
        <v>10135</v>
      </c>
      <c r="L28" s="424">
        <v>10135</v>
      </c>
      <c r="M28" s="376" t="s">
        <v>40</v>
      </c>
      <c r="N28" s="380" t="s">
        <v>41</v>
      </c>
      <c r="O28" s="375" t="s">
        <v>25</v>
      </c>
    </row>
    <row r="29" spans="2:15" ht="55.5" customHeight="1" x14ac:dyDescent="0.3">
      <c r="B29" s="368">
        <v>17</v>
      </c>
      <c r="C29" s="369" t="s">
        <v>42</v>
      </c>
      <c r="D29" s="378"/>
      <c r="E29" s="304"/>
      <c r="F29" s="304"/>
      <c r="G29" s="304"/>
      <c r="H29" s="304"/>
      <c r="I29" s="370">
        <v>1089</v>
      </c>
      <c r="J29" s="370">
        <v>5777</v>
      </c>
      <c r="K29" s="321">
        <v>8685</v>
      </c>
      <c r="L29" s="424">
        <v>8907</v>
      </c>
      <c r="M29" s="376" t="s">
        <v>23</v>
      </c>
      <c r="N29" s="374" t="s">
        <v>24</v>
      </c>
      <c r="O29" s="375" t="s">
        <v>25</v>
      </c>
    </row>
    <row r="30" spans="2:15" ht="55.5" customHeight="1" x14ac:dyDescent="0.3">
      <c r="B30" s="368">
        <v>18</v>
      </c>
      <c r="C30" s="369" t="s">
        <v>43</v>
      </c>
      <c r="D30" s="378"/>
      <c r="E30" s="304"/>
      <c r="F30" s="304"/>
      <c r="G30" s="304"/>
      <c r="H30" s="304"/>
      <c r="I30" s="370">
        <v>6565</v>
      </c>
      <c r="J30" s="370">
        <v>6619</v>
      </c>
      <c r="K30" s="321">
        <v>6638</v>
      </c>
      <c r="L30" s="424">
        <v>6639</v>
      </c>
      <c r="M30" s="376" t="s">
        <v>23</v>
      </c>
      <c r="N30" s="374" t="s">
        <v>24</v>
      </c>
      <c r="O30" s="375" t="s">
        <v>25</v>
      </c>
    </row>
    <row r="31" spans="2:15" ht="55.5" customHeight="1" x14ac:dyDescent="0.3">
      <c r="B31" s="368">
        <v>19</v>
      </c>
      <c r="C31" s="369" t="s">
        <v>44</v>
      </c>
      <c r="D31" s="378"/>
      <c r="E31" s="304"/>
      <c r="F31" s="304"/>
      <c r="G31" s="304"/>
      <c r="H31" s="304"/>
      <c r="I31" s="304"/>
      <c r="J31" s="370">
        <v>48945</v>
      </c>
      <c r="K31" s="321">
        <v>49067</v>
      </c>
      <c r="L31" s="424">
        <v>49202</v>
      </c>
      <c r="M31" s="376" t="s">
        <v>23</v>
      </c>
      <c r="N31" s="374" t="s">
        <v>45</v>
      </c>
      <c r="O31" s="375" t="s">
        <v>25</v>
      </c>
    </row>
    <row r="32" spans="2:15" ht="12.75" customHeight="1" x14ac:dyDescent="0.3">
      <c r="B32" s="810" t="s">
        <v>46</v>
      </c>
      <c r="C32" s="810"/>
      <c r="D32" s="19">
        <f>+SUM(D13:D31)</f>
        <v>201638</v>
      </c>
      <c r="E32" s="19">
        <f t="shared" ref="E32:J32" si="0">+SUM(E13:E31)</f>
        <v>214658</v>
      </c>
      <c r="F32" s="19">
        <f t="shared" si="0"/>
        <v>222474</v>
      </c>
      <c r="G32" s="19">
        <f t="shared" si="0"/>
        <v>223334</v>
      </c>
      <c r="H32" s="19">
        <f t="shared" si="0"/>
        <v>232875</v>
      </c>
      <c r="I32" s="19">
        <f t="shared" si="0"/>
        <v>283674</v>
      </c>
      <c r="J32" s="19">
        <f t="shared" si="0"/>
        <v>345757</v>
      </c>
      <c r="K32" s="19">
        <f>+SUM(K13:K31)</f>
        <v>357917</v>
      </c>
      <c r="L32" s="19">
        <f>+SUM(L13:L31)</f>
        <v>325280</v>
      </c>
      <c r="M32" s="19"/>
      <c r="N32" s="19"/>
      <c r="O32" s="14"/>
    </row>
    <row r="33" spans="2:15" ht="12.75" customHeight="1" x14ac:dyDescent="0.3">
      <c r="B33" s="4"/>
      <c r="C33" s="232"/>
      <c r="D33" s="5"/>
      <c r="E33" s="6"/>
      <c r="F33" s="32"/>
      <c r="G33" s="7"/>
      <c r="H33" s="8"/>
      <c r="I33" s="233"/>
      <c r="J33" s="233"/>
      <c r="K33" s="233"/>
      <c r="L33" s="233"/>
      <c r="M33" s="33"/>
      <c r="N33" s="232"/>
      <c r="O33" s="12"/>
    </row>
    <row r="34" spans="2:15" ht="12.75" customHeight="1" x14ac:dyDescent="0.3">
      <c r="B34" s="811" t="s">
        <v>1340</v>
      </c>
      <c r="C34" s="809"/>
      <c r="D34" s="809"/>
      <c r="E34" s="809"/>
      <c r="F34" s="809"/>
      <c r="G34" s="809"/>
      <c r="H34" s="809"/>
      <c r="I34" s="809"/>
      <c r="J34" s="809"/>
      <c r="K34" s="809"/>
      <c r="L34" s="809"/>
      <c r="M34" s="809"/>
      <c r="N34" s="809"/>
    </row>
    <row r="35" spans="2:15" ht="12.75" customHeight="1" x14ac:dyDescent="0.3">
      <c r="B35" s="809"/>
      <c r="C35" s="809"/>
      <c r="D35" s="809"/>
      <c r="E35" s="809"/>
      <c r="F35" s="809"/>
      <c r="G35" s="809"/>
      <c r="H35" s="809"/>
      <c r="I35" s="809"/>
      <c r="J35" s="809"/>
      <c r="K35" s="809"/>
      <c r="L35" s="809"/>
      <c r="M35" s="809"/>
      <c r="N35" s="809"/>
    </row>
    <row r="36" spans="2:15" ht="59.4" customHeight="1" x14ac:dyDescent="0.3">
      <c r="B36" s="812" t="s">
        <v>1341</v>
      </c>
      <c r="C36" s="812"/>
      <c r="D36" s="812"/>
      <c r="E36" s="812"/>
      <c r="F36" s="812"/>
      <c r="G36" s="812"/>
      <c r="H36" s="812"/>
      <c r="I36" s="812"/>
      <c r="J36" s="812"/>
      <c r="K36" s="812"/>
      <c r="L36" s="812"/>
      <c r="M36" s="812"/>
      <c r="N36" s="812"/>
    </row>
    <row r="37" spans="2:15" ht="12.75" customHeight="1" x14ac:dyDescent="0.3">
      <c r="C37" s="12"/>
      <c r="D37" s="12"/>
      <c r="E37" s="12"/>
      <c r="F37" s="12"/>
      <c r="G37" s="12"/>
      <c r="H37" s="12"/>
      <c r="I37" s="12"/>
      <c r="J37" s="12"/>
      <c r="K37" s="12"/>
      <c r="L37" s="12"/>
      <c r="M37" s="24"/>
      <c r="N37" s="24"/>
    </row>
    <row r="38" spans="2:15" ht="12.75" customHeight="1" x14ac:dyDescent="0.3">
      <c r="B38" s="4"/>
      <c r="C38" s="36" t="s">
        <v>47</v>
      </c>
      <c r="D38" s="34">
        <v>2018</v>
      </c>
      <c r="E38" s="34">
        <v>2019</v>
      </c>
      <c r="F38" s="34">
        <v>2020</v>
      </c>
      <c r="G38" s="34">
        <v>2021</v>
      </c>
      <c r="H38" s="34">
        <v>2022</v>
      </c>
      <c r="I38" s="35">
        <v>2023</v>
      </c>
      <c r="J38" s="245">
        <v>2024</v>
      </c>
      <c r="K38" s="166">
        <v>2025</v>
      </c>
      <c r="L38" s="166">
        <v>2026</v>
      </c>
      <c r="M38" s="232"/>
      <c r="N38" s="231"/>
    </row>
    <row r="39" spans="2:15" ht="12.75" customHeight="1" x14ac:dyDescent="0.3">
      <c r="B39" s="4"/>
      <c r="C39" s="37" t="s">
        <v>707</v>
      </c>
      <c r="D39" s="38">
        <v>80846</v>
      </c>
      <c r="E39" s="38">
        <v>85474</v>
      </c>
      <c r="F39" s="38">
        <v>89790</v>
      </c>
      <c r="G39" s="38">
        <v>89875</v>
      </c>
      <c r="H39" s="381">
        <v>90177</v>
      </c>
      <c r="I39" s="381">
        <v>130621</v>
      </c>
      <c r="J39" s="382">
        <v>131697</v>
      </c>
      <c r="K39" s="383">
        <v>134341</v>
      </c>
      <c r="L39" s="383">
        <v>135012</v>
      </c>
      <c r="M39" s="232"/>
      <c r="N39" s="231"/>
    </row>
    <row r="40" spans="2:15" ht="12.75" customHeight="1" x14ac:dyDescent="0.3">
      <c r="B40" s="4"/>
      <c r="C40" s="39" t="s">
        <v>95</v>
      </c>
      <c r="D40" s="40">
        <v>7738</v>
      </c>
      <c r="E40" s="40">
        <v>11187</v>
      </c>
      <c r="F40" s="40">
        <v>18695</v>
      </c>
      <c r="G40" s="40">
        <v>19283</v>
      </c>
      <c r="H40" s="40">
        <v>27181</v>
      </c>
      <c r="I40" s="40">
        <v>75686</v>
      </c>
      <c r="J40" s="246">
        <v>134251</v>
      </c>
      <c r="K40" s="40">
        <v>141330</v>
      </c>
      <c r="L40" s="40">
        <v>142608</v>
      </c>
      <c r="M40" s="232"/>
      <c r="N40" s="231"/>
    </row>
    <row r="41" spans="2:15" ht="12.75" customHeight="1" x14ac:dyDescent="0.3">
      <c r="B41" s="230"/>
      <c r="C41" s="813" t="s">
        <v>1243</v>
      </c>
      <c r="D41" s="813"/>
      <c r="E41" s="813"/>
      <c r="F41" s="813"/>
      <c r="G41" s="813"/>
      <c r="H41" s="813"/>
      <c r="I41" s="813"/>
      <c r="J41" s="232"/>
      <c r="K41" s="232"/>
      <c r="L41" s="232"/>
      <c r="M41" s="231"/>
      <c r="N41" s="231"/>
    </row>
    <row r="42" spans="2:15" ht="12.75" customHeight="1" x14ac:dyDescent="0.3">
      <c r="B42" s="230"/>
      <c r="C42" s="231"/>
      <c r="D42" s="231"/>
      <c r="E42" s="11"/>
      <c r="F42" s="23"/>
      <c r="G42" s="23"/>
      <c r="H42" s="23"/>
      <c r="I42" s="23"/>
      <c r="J42" s="23"/>
      <c r="K42" s="23"/>
      <c r="L42" s="23"/>
      <c r="M42" s="231"/>
      <c r="N42" s="231"/>
    </row>
    <row r="43" spans="2:15" ht="12.75" customHeight="1" x14ac:dyDescent="0.3">
      <c r="B43" s="230"/>
      <c r="C43" s="231"/>
      <c r="D43" s="231"/>
      <c r="E43" s="11"/>
      <c r="F43" s="23"/>
      <c r="G43" s="23"/>
      <c r="H43" s="23"/>
      <c r="I43" s="23"/>
      <c r="J43" s="23"/>
      <c r="K43" s="23"/>
      <c r="L43" s="23"/>
      <c r="M43" s="231"/>
      <c r="N43" s="231"/>
    </row>
    <row r="44" spans="2:15" ht="12.75" customHeight="1" x14ac:dyDescent="0.3">
      <c r="B44" s="230"/>
      <c r="C44" s="231"/>
      <c r="D44" s="231"/>
      <c r="E44" s="11"/>
      <c r="F44" s="23"/>
      <c r="G44" s="23"/>
      <c r="H44" s="23"/>
      <c r="I44" s="23"/>
      <c r="J44" s="23"/>
      <c r="K44" s="23"/>
      <c r="L44" s="23"/>
      <c r="M44" s="231"/>
      <c r="N44" s="231"/>
    </row>
    <row r="45" spans="2:15" ht="12.75" customHeight="1" x14ac:dyDescent="0.3">
      <c r="B45" s="230"/>
      <c r="C45" s="231"/>
      <c r="D45" s="231"/>
      <c r="E45" s="11"/>
      <c r="F45" s="23"/>
      <c r="G45" s="23"/>
      <c r="H45" s="23"/>
      <c r="I45" s="23"/>
      <c r="J45" s="23"/>
      <c r="K45" s="23"/>
      <c r="L45" s="23"/>
      <c r="M45" s="231"/>
      <c r="N45" s="231"/>
    </row>
    <row r="46" spans="2:15" ht="12.75" customHeight="1" x14ac:dyDescent="0.3">
      <c r="B46" s="230"/>
      <c r="C46" s="231"/>
      <c r="D46" s="231"/>
      <c r="E46" s="11"/>
      <c r="F46" s="23"/>
      <c r="G46" s="23"/>
      <c r="H46" s="23"/>
      <c r="I46" s="23"/>
      <c r="J46" s="23"/>
      <c r="K46" s="23"/>
      <c r="L46" s="23"/>
      <c r="M46" s="231"/>
      <c r="N46" s="231"/>
    </row>
    <row r="47" spans="2:15" ht="12.75" customHeight="1" x14ac:dyDescent="0.3">
      <c r="B47" s="230"/>
      <c r="C47" s="231"/>
      <c r="D47" s="231"/>
      <c r="E47" s="11"/>
      <c r="F47" s="23"/>
      <c r="G47" s="23"/>
      <c r="H47" s="23"/>
      <c r="I47" s="23"/>
      <c r="J47" s="23"/>
      <c r="K47" s="23"/>
      <c r="L47" s="23"/>
      <c r="M47" s="808"/>
      <c r="N47" s="231"/>
    </row>
    <row r="48" spans="2:15" ht="12.75" customHeight="1" x14ac:dyDescent="0.3">
      <c r="B48" s="230"/>
      <c r="C48" s="231"/>
      <c r="D48" s="231"/>
      <c r="E48" s="11"/>
      <c r="F48" s="23"/>
      <c r="G48" s="23"/>
      <c r="H48" s="23"/>
      <c r="I48" s="23"/>
      <c r="J48" s="23"/>
      <c r="K48" s="23"/>
      <c r="L48" s="23"/>
      <c r="M48" s="809"/>
      <c r="N48" s="231"/>
    </row>
    <row r="49" spans="2:14" ht="12.75" customHeight="1" x14ac:dyDescent="0.3">
      <c r="B49" s="230"/>
      <c r="C49" s="231"/>
      <c r="D49" s="231"/>
      <c r="E49" s="11"/>
      <c r="F49" s="23"/>
      <c r="G49" s="23"/>
      <c r="H49" s="23"/>
      <c r="I49" s="23"/>
      <c r="J49" s="23"/>
      <c r="K49" s="23"/>
      <c r="L49" s="23"/>
      <c r="M49" s="809"/>
      <c r="N49" s="231"/>
    </row>
    <row r="50" spans="2:14" ht="12.75" customHeight="1" x14ac:dyDescent="0.3">
      <c r="B50" s="808"/>
      <c r="C50" s="809"/>
      <c r="D50" s="809"/>
      <c r="E50" s="809"/>
      <c r="F50" s="809"/>
      <c r="G50" s="809"/>
      <c r="H50" s="809"/>
      <c r="I50" s="809"/>
      <c r="J50" s="809"/>
      <c r="K50" s="809"/>
      <c r="L50" s="809"/>
      <c r="M50" s="809"/>
      <c r="N50" s="809"/>
    </row>
    <row r="51" spans="2:14" ht="12.75" customHeight="1" x14ac:dyDescent="0.3">
      <c r="B51" s="809"/>
      <c r="C51" s="809"/>
      <c r="D51" s="809"/>
      <c r="E51" s="809"/>
      <c r="F51" s="809"/>
      <c r="G51" s="809"/>
      <c r="H51" s="809"/>
      <c r="I51" s="809"/>
      <c r="J51" s="809"/>
      <c r="K51" s="809"/>
      <c r="L51" s="809"/>
      <c r="M51" s="809"/>
      <c r="N51" s="809"/>
    </row>
    <row r="52" spans="2:14" ht="12.75" customHeight="1" x14ac:dyDescent="0.3">
      <c r="M52" s="24"/>
      <c r="N52" s="24"/>
    </row>
    <row r="53" spans="2:14" ht="12.75" customHeight="1" x14ac:dyDescent="0.3">
      <c r="M53" s="24"/>
      <c r="N53" s="24"/>
    </row>
    <row r="54" spans="2:14" ht="12.75" customHeight="1" x14ac:dyDescent="0.3">
      <c r="M54" s="24"/>
      <c r="N54" s="24"/>
    </row>
    <row r="55" spans="2:14" ht="12.75" customHeight="1" x14ac:dyDescent="0.3">
      <c r="M55" s="24"/>
      <c r="N55" s="24"/>
    </row>
    <row r="56" spans="2:14" ht="12.75" customHeight="1" x14ac:dyDescent="0.3">
      <c r="M56" s="24"/>
      <c r="N56" s="24"/>
    </row>
    <row r="57" spans="2:14" ht="12.75" customHeight="1" x14ac:dyDescent="0.3">
      <c r="M57" s="24"/>
      <c r="N57" s="24"/>
    </row>
    <row r="58" spans="2:14" ht="12.75" customHeight="1" x14ac:dyDescent="0.3">
      <c r="M58" s="24"/>
      <c r="N58" s="24"/>
    </row>
    <row r="59" spans="2:14" ht="12.75" customHeight="1" x14ac:dyDescent="0.3">
      <c r="M59" s="24"/>
      <c r="N59" s="24"/>
    </row>
    <row r="60" spans="2:14" ht="12.75" customHeight="1" x14ac:dyDescent="0.3">
      <c r="M60" s="24"/>
      <c r="N60" s="24"/>
    </row>
    <row r="61" spans="2:14" ht="12.75" customHeight="1" x14ac:dyDescent="0.3">
      <c r="M61" s="24"/>
      <c r="N61" s="24"/>
    </row>
    <row r="62" spans="2:14" ht="12.75" customHeight="1" x14ac:dyDescent="0.3">
      <c r="M62" s="24"/>
      <c r="N62" s="24"/>
    </row>
    <row r="63" spans="2:14" ht="12.75" customHeight="1" x14ac:dyDescent="0.3">
      <c r="M63" s="24"/>
      <c r="N63" s="24"/>
    </row>
    <row r="64" spans="2:14" ht="12.75" customHeight="1" x14ac:dyDescent="0.3">
      <c r="M64" s="24"/>
      <c r="N64" s="24"/>
    </row>
    <row r="65" spans="13:14" ht="12.75" customHeight="1" x14ac:dyDescent="0.3">
      <c r="M65" s="24"/>
      <c r="N65" s="24"/>
    </row>
    <row r="66" spans="13:14" ht="12.75" customHeight="1" x14ac:dyDescent="0.3">
      <c r="M66" s="24"/>
      <c r="N66" s="24"/>
    </row>
    <row r="67" spans="13:14" ht="12.75" customHeight="1" x14ac:dyDescent="0.3">
      <c r="M67" s="24"/>
      <c r="N67" s="24"/>
    </row>
    <row r="68" spans="13:14" ht="12.75" customHeight="1" x14ac:dyDescent="0.3">
      <c r="M68" s="24"/>
      <c r="N68" s="24"/>
    </row>
    <row r="69" spans="13:14" ht="12.75" customHeight="1" x14ac:dyDescent="0.3">
      <c r="M69" s="24"/>
      <c r="N69" s="24"/>
    </row>
    <row r="70" spans="13:14" ht="12.75" customHeight="1" x14ac:dyDescent="0.3">
      <c r="M70" s="24"/>
      <c r="N70" s="24"/>
    </row>
    <row r="71" spans="13:14" ht="12.75" customHeight="1" x14ac:dyDescent="0.3">
      <c r="M71" s="24"/>
      <c r="N71" s="24"/>
    </row>
    <row r="72" spans="13:14" ht="12.75" customHeight="1" x14ac:dyDescent="0.3">
      <c r="M72" s="24"/>
      <c r="N72" s="24"/>
    </row>
    <row r="73" spans="13:14" ht="12.75" customHeight="1" x14ac:dyDescent="0.3">
      <c r="M73" s="24"/>
      <c r="N73" s="24"/>
    </row>
    <row r="74" spans="13:14" ht="12.75" customHeight="1" x14ac:dyDescent="0.3">
      <c r="M74" s="24"/>
      <c r="N74" s="24"/>
    </row>
    <row r="75" spans="13:14" ht="12.75" customHeight="1" x14ac:dyDescent="0.3">
      <c r="M75" s="24"/>
      <c r="N75" s="24"/>
    </row>
    <row r="76" spans="13:14" ht="12.75" customHeight="1" x14ac:dyDescent="0.3">
      <c r="M76" s="24"/>
      <c r="N76" s="24"/>
    </row>
    <row r="77" spans="13:14" ht="12.75" customHeight="1" x14ac:dyDescent="0.3">
      <c r="M77" s="24"/>
      <c r="N77" s="24"/>
    </row>
    <row r="78" spans="13:14" ht="12.75" customHeight="1" x14ac:dyDescent="0.3">
      <c r="M78" s="24"/>
      <c r="N78" s="24"/>
    </row>
    <row r="79" spans="13:14" ht="12.75" customHeight="1" x14ac:dyDescent="0.3">
      <c r="M79" s="24"/>
      <c r="N79" s="24"/>
    </row>
    <row r="80" spans="13:14" ht="12.75" customHeight="1" x14ac:dyDescent="0.3">
      <c r="M80" s="24"/>
      <c r="N80" s="24"/>
    </row>
    <row r="81" spans="13:14" ht="12.75" customHeight="1" x14ac:dyDescent="0.3">
      <c r="M81" s="24"/>
      <c r="N81" s="24"/>
    </row>
    <row r="82" spans="13:14" ht="12.75" customHeight="1" x14ac:dyDescent="0.3">
      <c r="M82" s="24"/>
      <c r="N82" s="24"/>
    </row>
    <row r="83" spans="13:14" ht="12.75" customHeight="1" x14ac:dyDescent="0.3">
      <c r="M83" s="24"/>
      <c r="N83" s="24"/>
    </row>
    <row r="84" spans="13:14" ht="12.75" customHeight="1" x14ac:dyDescent="0.3">
      <c r="M84" s="24"/>
      <c r="N84" s="24"/>
    </row>
    <row r="85" spans="13:14" ht="12.75" customHeight="1" x14ac:dyDescent="0.3">
      <c r="M85" s="24"/>
      <c r="N85" s="24"/>
    </row>
    <row r="86" spans="13:14" ht="12.75" customHeight="1" x14ac:dyDescent="0.3">
      <c r="M86" s="24"/>
      <c r="N86" s="24"/>
    </row>
    <row r="87" spans="13:14" ht="12.75" customHeight="1" x14ac:dyDescent="0.3">
      <c r="M87" s="24"/>
      <c r="N87" s="24"/>
    </row>
    <row r="88" spans="13:14" ht="12.75" customHeight="1" x14ac:dyDescent="0.3">
      <c r="M88" s="24"/>
      <c r="N88" s="24"/>
    </row>
    <row r="89" spans="13:14" ht="12.75" customHeight="1" x14ac:dyDescent="0.3">
      <c r="M89" s="24"/>
      <c r="N89" s="24"/>
    </row>
    <row r="90" spans="13:14" ht="12.75" customHeight="1" x14ac:dyDescent="0.3">
      <c r="M90" s="24"/>
      <c r="N90" s="24"/>
    </row>
    <row r="91" spans="13:14" ht="12.75" customHeight="1" x14ac:dyDescent="0.3">
      <c r="M91" s="24"/>
      <c r="N91" s="24"/>
    </row>
    <row r="92" spans="13:14" ht="12.75" customHeight="1" x14ac:dyDescent="0.3">
      <c r="M92" s="24"/>
      <c r="N92" s="24"/>
    </row>
    <row r="93" spans="13:14" ht="12.75" customHeight="1" x14ac:dyDescent="0.3">
      <c r="M93" s="24"/>
      <c r="N93" s="24"/>
    </row>
    <row r="94" spans="13:14" ht="12.75" customHeight="1" x14ac:dyDescent="0.3">
      <c r="M94" s="24"/>
      <c r="N94" s="24"/>
    </row>
    <row r="95" spans="13:14" ht="12.75" customHeight="1" x14ac:dyDescent="0.3">
      <c r="M95" s="24"/>
      <c r="N95" s="24"/>
    </row>
    <row r="96" spans="13:14" ht="12.75" customHeight="1" x14ac:dyDescent="0.3">
      <c r="M96" s="24"/>
      <c r="N96" s="24"/>
    </row>
    <row r="97" spans="13:14" ht="12.75" customHeight="1" x14ac:dyDescent="0.3">
      <c r="M97" s="24"/>
      <c r="N97" s="24"/>
    </row>
    <row r="98" spans="13:14" ht="12.75" customHeight="1" x14ac:dyDescent="0.3">
      <c r="M98" s="24"/>
      <c r="N98" s="24"/>
    </row>
    <row r="99" spans="13:14" ht="12.75" customHeight="1" x14ac:dyDescent="0.3">
      <c r="M99" s="24"/>
      <c r="N99" s="24"/>
    </row>
    <row r="100" spans="13:14" ht="12.75" customHeight="1" x14ac:dyDescent="0.3">
      <c r="M100" s="24"/>
      <c r="N100" s="24"/>
    </row>
    <row r="101" spans="13:14" ht="12.75" customHeight="1" x14ac:dyDescent="0.3">
      <c r="M101" s="24"/>
      <c r="N101" s="24"/>
    </row>
    <row r="102" spans="13:14" ht="12.75" customHeight="1" x14ac:dyDescent="0.3">
      <c r="M102" s="24"/>
      <c r="N102" s="24"/>
    </row>
    <row r="103" spans="13:14" ht="12.75" customHeight="1" x14ac:dyDescent="0.3">
      <c r="M103" s="24"/>
      <c r="N103" s="24"/>
    </row>
    <row r="104" spans="13:14" ht="12.75" customHeight="1" x14ac:dyDescent="0.3">
      <c r="M104" s="24"/>
      <c r="N104" s="24"/>
    </row>
    <row r="105" spans="13:14" ht="12.75" customHeight="1" x14ac:dyDescent="0.3">
      <c r="M105" s="24"/>
      <c r="N105" s="24"/>
    </row>
    <row r="106" spans="13:14" ht="12.75" customHeight="1" x14ac:dyDescent="0.3">
      <c r="M106" s="24"/>
      <c r="N106" s="24"/>
    </row>
    <row r="107" spans="13:14" ht="12.75" customHeight="1" x14ac:dyDescent="0.3">
      <c r="M107" s="24"/>
      <c r="N107" s="24"/>
    </row>
    <row r="108" spans="13:14" ht="12.75" customHeight="1" x14ac:dyDescent="0.3">
      <c r="M108" s="24"/>
      <c r="N108" s="24"/>
    </row>
    <row r="109" spans="13:14" ht="12.75" customHeight="1" x14ac:dyDescent="0.3">
      <c r="M109" s="24"/>
      <c r="N109" s="24"/>
    </row>
    <row r="110" spans="13:14" ht="12.75" customHeight="1" x14ac:dyDescent="0.3">
      <c r="M110" s="24"/>
      <c r="N110" s="24"/>
    </row>
    <row r="111" spans="13:14" ht="12.75" customHeight="1" x14ac:dyDescent="0.3">
      <c r="M111" s="24"/>
      <c r="N111" s="24"/>
    </row>
    <row r="112" spans="13:14" ht="12.75" customHeight="1" x14ac:dyDescent="0.3">
      <c r="M112" s="24"/>
      <c r="N112" s="24"/>
    </row>
    <row r="113" spans="13:14" ht="12.75" customHeight="1" x14ac:dyDescent="0.3">
      <c r="M113" s="24"/>
      <c r="N113" s="24"/>
    </row>
    <row r="114" spans="13:14" ht="12.75" customHeight="1" x14ac:dyDescent="0.3">
      <c r="M114" s="24"/>
      <c r="N114" s="24"/>
    </row>
    <row r="115" spans="13:14" ht="12.75" customHeight="1" x14ac:dyDescent="0.3">
      <c r="M115" s="24"/>
      <c r="N115" s="24"/>
    </row>
    <row r="116" spans="13:14" ht="12.75" customHeight="1" x14ac:dyDescent="0.3">
      <c r="M116" s="24"/>
      <c r="N116" s="24"/>
    </row>
    <row r="117" spans="13:14" ht="12.75" customHeight="1" x14ac:dyDescent="0.3">
      <c r="M117" s="24"/>
      <c r="N117" s="24"/>
    </row>
    <row r="118" spans="13:14" ht="12.75" customHeight="1" x14ac:dyDescent="0.3">
      <c r="M118" s="24"/>
      <c r="N118" s="24"/>
    </row>
    <row r="119" spans="13:14" ht="12.75" customHeight="1" x14ac:dyDescent="0.3">
      <c r="M119" s="24"/>
      <c r="N119" s="24"/>
    </row>
    <row r="120" spans="13:14" ht="12.75" customHeight="1" x14ac:dyDescent="0.3">
      <c r="M120" s="24"/>
      <c r="N120" s="24"/>
    </row>
    <row r="121" spans="13:14" ht="12.75" customHeight="1" x14ac:dyDescent="0.3">
      <c r="M121" s="24"/>
      <c r="N121" s="24"/>
    </row>
    <row r="122" spans="13:14" ht="12.75" customHeight="1" x14ac:dyDescent="0.3">
      <c r="M122" s="24"/>
      <c r="N122" s="24"/>
    </row>
    <row r="123" spans="13:14" ht="12.75" customHeight="1" x14ac:dyDescent="0.3">
      <c r="M123" s="24"/>
      <c r="N123" s="24"/>
    </row>
    <row r="124" spans="13:14" ht="12.75" customHeight="1" x14ac:dyDescent="0.3">
      <c r="M124" s="24"/>
      <c r="N124" s="24"/>
    </row>
    <row r="125" spans="13:14" ht="12.75" customHeight="1" x14ac:dyDescent="0.3">
      <c r="M125" s="24"/>
      <c r="N125" s="24"/>
    </row>
    <row r="126" spans="13:14" ht="12.75" customHeight="1" x14ac:dyDescent="0.3">
      <c r="M126" s="24"/>
      <c r="N126" s="24"/>
    </row>
    <row r="127" spans="13:14" ht="12.75" customHeight="1" x14ac:dyDescent="0.3">
      <c r="M127" s="24"/>
      <c r="N127" s="24"/>
    </row>
    <row r="128" spans="13:14" ht="12.75" customHeight="1" x14ac:dyDescent="0.3">
      <c r="M128" s="24"/>
      <c r="N128" s="24"/>
    </row>
    <row r="129" spans="13:14" ht="12.75" customHeight="1" x14ac:dyDescent="0.3">
      <c r="M129" s="24"/>
      <c r="N129" s="24"/>
    </row>
    <row r="130" spans="13:14" ht="12.75" customHeight="1" x14ac:dyDescent="0.3">
      <c r="M130" s="24"/>
      <c r="N130" s="24"/>
    </row>
    <row r="131" spans="13:14" ht="12.75" customHeight="1" x14ac:dyDescent="0.3">
      <c r="M131" s="24"/>
      <c r="N131" s="24"/>
    </row>
    <row r="132" spans="13:14" ht="12.75" customHeight="1" x14ac:dyDescent="0.3">
      <c r="M132" s="24"/>
      <c r="N132" s="24"/>
    </row>
    <row r="133" spans="13:14" ht="12.75" customHeight="1" x14ac:dyDescent="0.3">
      <c r="M133" s="24"/>
      <c r="N133" s="24"/>
    </row>
    <row r="134" spans="13:14" ht="12.75" customHeight="1" x14ac:dyDescent="0.3">
      <c r="M134" s="24"/>
      <c r="N134" s="24"/>
    </row>
    <row r="135" spans="13:14" ht="12.75" customHeight="1" x14ac:dyDescent="0.3">
      <c r="M135" s="24"/>
      <c r="N135" s="24"/>
    </row>
    <row r="136" spans="13:14" ht="12.75" customHeight="1" x14ac:dyDescent="0.3">
      <c r="M136" s="24"/>
      <c r="N136" s="24"/>
    </row>
    <row r="137" spans="13:14" ht="12.75" customHeight="1" x14ac:dyDescent="0.3">
      <c r="M137" s="24"/>
      <c r="N137" s="24"/>
    </row>
    <row r="138" spans="13:14" ht="12.75" customHeight="1" x14ac:dyDescent="0.3">
      <c r="M138" s="24"/>
      <c r="N138" s="24"/>
    </row>
    <row r="139" spans="13:14" ht="12.75" customHeight="1" x14ac:dyDescent="0.3">
      <c r="M139" s="24"/>
      <c r="N139" s="24"/>
    </row>
    <row r="140" spans="13:14" ht="12.75" customHeight="1" x14ac:dyDescent="0.3">
      <c r="M140" s="24"/>
      <c r="N140" s="24"/>
    </row>
    <row r="141" spans="13:14" ht="12.75" customHeight="1" x14ac:dyDescent="0.3">
      <c r="M141" s="24"/>
      <c r="N141" s="24"/>
    </row>
    <row r="142" spans="13:14" ht="12.75" customHeight="1" x14ac:dyDescent="0.3">
      <c r="M142" s="24"/>
      <c r="N142" s="24"/>
    </row>
    <row r="143" spans="13:14" ht="12.75" customHeight="1" x14ac:dyDescent="0.3">
      <c r="M143" s="24"/>
      <c r="N143" s="24"/>
    </row>
    <row r="144" spans="13:14" ht="12.75" customHeight="1" x14ac:dyDescent="0.3">
      <c r="M144" s="24"/>
      <c r="N144" s="24"/>
    </row>
    <row r="145" spans="13:14" ht="12.75" customHeight="1" x14ac:dyDescent="0.3">
      <c r="M145" s="24"/>
      <c r="N145" s="24"/>
    </row>
    <row r="146" spans="13:14" ht="12.75" customHeight="1" x14ac:dyDescent="0.3">
      <c r="M146" s="24"/>
      <c r="N146" s="24"/>
    </row>
    <row r="147" spans="13:14" ht="12.75" customHeight="1" x14ac:dyDescent="0.3">
      <c r="M147" s="24"/>
      <c r="N147" s="24"/>
    </row>
    <row r="148" spans="13:14" ht="12.75" customHeight="1" x14ac:dyDescent="0.3">
      <c r="M148" s="24"/>
      <c r="N148" s="24"/>
    </row>
    <row r="149" spans="13:14" ht="12.75" customHeight="1" x14ac:dyDescent="0.3">
      <c r="M149" s="24"/>
      <c r="N149" s="24"/>
    </row>
    <row r="150" spans="13:14" ht="12.75" customHeight="1" x14ac:dyDescent="0.3">
      <c r="M150" s="24"/>
      <c r="N150" s="24"/>
    </row>
    <row r="151" spans="13:14" ht="12.75" customHeight="1" x14ac:dyDescent="0.3">
      <c r="M151" s="24"/>
      <c r="N151" s="24"/>
    </row>
    <row r="152" spans="13:14" ht="12.75" customHeight="1" x14ac:dyDescent="0.3">
      <c r="M152" s="24"/>
      <c r="N152" s="24"/>
    </row>
    <row r="153" spans="13:14" ht="12.75" customHeight="1" x14ac:dyDescent="0.3">
      <c r="M153" s="24"/>
      <c r="N153" s="24"/>
    </row>
    <row r="154" spans="13:14" ht="12.75" customHeight="1" x14ac:dyDescent="0.3">
      <c r="M154" s="24"/>
      <c r="N154" s="24"/>
    </row>
    <row r="155" spans="13:14" ht="12.75" customHeight="1" x14ac:dyDescent="0.3">
      <c r="M155" s="24"/>
      <c r="N155" s="24"/>
    </row>
    <row r="156" spans="13:14" ht="12.75" customHeight="1" x14ac:dyDescent="0.3">
      <c r="M156" s="24"/>
      <c r="N156" s="24"/>
    </row>
    <row r="157" spans="13:14" ht="12.75" customHeight="1" x14ac:dyDescent="0.3">
      <c r="M157" s="24"/>
      <c r="N157" s="24"/>
    </row>
    <row r="158" spans="13:14" ht="12.75" customHeight="1" x14ac:dyDescent="0.3">
      <c r="M158" s="24"/>
      <c r="N158" s="24"/>
    </row>
    <row r="159" spans="13:14" ht="12.75" customHeight="1" x14ac:dyDescent="0.3">
      <c r="M159" s="24"/>
      <c r="N159" s="24"/>
    </row>
    <row r="160" spans="13:14" ht="12.75" customHeight="1" x14ac:dyDescent="0.3">
      <c r="M160" s="24"/>
      <c r="N160" s="24"/>
    </row>
    <row r="161" spans="13:14" ht="12.75" customHeight="1" x14ac:dyDescent="0.3">
      <c r="M161" s="24"/>
      <c r="N161" s="24"/>
    </row>
    <row r="162" spans="13:14" ht="12.75" customHeight="1" x14ac:dyDescent="0.3">
      <c r="M162" s="24"/>
      <c r="N162" s="24"/>
    </row>
    <row r="163" spans="13:14" ht="12.75" customHeight="1" x14ac:dyDescent="0.3">
      <c r="M163" s="24"/>
      <c r="N163" s="24"/>
    </row>
    <row r="164" spans="13:14" ht="12.75" customHeight="1" x14ac:dyDescent="0.3">
      <c r="M164" s="24"/>
      <c r="N164" s="24"/>
    </row>
    <row r="165" spans="13:14" ht="12.75" customHeight="1" x14ac:dyDescent="0.3">
      <c r="M165" s="24"/>
      <c r="N165" s="24"/>
    </row>
    <row r="166" spans="13:14" ht="12.75" customHeight="1" x14ac:dyDescent="0.3">
      <c r="M166" s="24"/>
      <c r="N166" s="24"/>
    </row>
    <row r="167" spans="13:14" ht="12.75" customHeight="1" x14ac:dyDescent="0.3">
      <c r="M167" s="24"/>
      <c r="N167" s="24"/>
    </row>
    <row r="168" spans="13:14" ht="12.75" customHeight="1" x14ac:dyDescent="0.3">
      <c r="M168" s="24"/>
      <c r="N168" s="24"/>
    </row>
    <row r="169" spans="13:14" ht="12.75" customHeight="1" x14ac:dyDescent="0.3">
      <c r="M169" s="24"/>
      <c r="N169" s="24"/>
    </row>
    <row r="170" spans="13:14" ht="12.75" customHeight="1" x14ac:dyDescent="0.3">
      <c r="M170" s="24"/>
      <c r="N170" s="24"/>
    </row>
    <row r="171" spans="13:14" ht="12.75" customHeight="1" x14ac:dyDescent="0.3">
      <c r="M171" s="24"/>
      <c r="N171" s="24"/>
    </row>
    <row r="172" spans="13:14" ht="12.75" customHeight="1" x14ac:dyDescent="0.3">
      <c r="M172" s="24"/>
      <c r="N172" s="24"/>
    </row>
    <row r="173" spans="13:14" ht="12.75" customHeight="1" x14ac:dyDescent="0.3">
      <c r="M173" s="24"/>
      <c r="N173" s="24"/>
    </row>
    <row r="174" spans="13:14" ht="12.75" customHeight="1" x14ac:dyDescent="0.3">
      <c r="M174" s="24"/>
      <c r="N174" s="24"/>
    </row>
    <row r="175" spans="13:14" ht="12.75" customHeight="1" x14ac:dyDescent="0.3">
      <c r="M175" s="24"/>
      <c r="N175" s="24"/>
    </row>
    <row r="176" spans="13:14" ht="12.75" customHeight="1" x14ac:dyDescent="0.3">
      <c r="M176" s="24"/>
      <c r="N176" s="24"/>
    </row>
    <row r="177" spans="11:14" ht="12.75" customHeight="1" x14ac:dyDescent="0.3">
      <c r="M177" s="24"/>
      <c r="N177" s="24"/>
    </row>
    <row r="178" spans="11:14" ht="12.75" customHeight="1" x14ac:dyDescent="0.3">
      <c r="M178" s="24"/>
      <c r="N178" s="24"/>
    </row>
    <row r="179" spans="11:14" ht="12.75" customHeight="1" x14ac:dyDescent="0.3">
      <c r="M179" s="24"/>
      <c r="N179" s="24"/>
    </row>
    <row r="180" spans="11:14" ht="12.75" customHeight="1" x14ac:dyDescent="0.3">
      <c r="M180" s="24"/>
      <c r="N180" s="24"/>
    </row>
    <row r="181" spans="11:14" ht="12.75" customHeight="1" x14ac:dyDescent="0.3">
      <c r="M181" s="24"/>
      <c r="N181" s="24"/>
    </row>
    <row r="182" spans="11:14" ht="12.75" customHeight="1" x14ac:dyDescent="0.3">
      <c r="M182" s="24"/>
      <c r="N182" s="24"/>
    </row>
    <row r="183" spans="11:14" ht="12.75" customHeight="1" x14ac:dyDescent="0.3">
      <c r="M183" s="24"/>
      <c r="N183" s="24"/>
    </row>
    <row r="184" spans="11:14" ht="12.75" customHeight="1" x14ac:dyDescent="0.3">
      <c r="K184" s="24"/>
      <c r="L184" s="24"/>
      <c r="M184" s="24"/>
    </row>
    <row r="185" spans="11:14" ht="12.75" customHeight="1" x14ac:dyDescent="0.3">
      <c r="K185" s="24"/>
      <c r="L185" s="24"/>
      <c r="M185" s="24"/>
    </row>
    <row r="186" spans="11:14" ht="12.75" customHeight="1" x14ac:dyDescent="0.3">
      <c r="K186" s="24"/>
      <c r="L186" s="24"/>
      <c r="M186" s="24"/>
    </row>
    <row r="187" spans="11:14" ht="12.75" customHeight="1" x14ac:dyDescent="0.3">
      <c r="K187" s="24"/>
      <c r="L187" s="24"/>
      <c r="M187" s="24"/>
    </row>
    <row r="188" spans="11:14" ht="12.75" customHeight="1" x14ac:dyDescent="0.3">
      <c r="K188" s="24"/>
      <c r="L188" s="24"/>
      <c r="M188" s="24"/>
    </row>
    <row r="189" spans="11:14" ht="12.75" customHeight="1" x14ac:dyDescent="0.3">
      <c r="K189" s="24"/>
      <c r="L189" s="24"/>
      <c r="M189" s="24"/>
    </row>
    <row r="190" spans="11:14" ht="12.75" customHeight="1" x14ac:dyDescent="0.3">
      <c r="K190" s="24"/>
      <c r="L190" s="24"/>
      <c r="M190" s="24"/>
    </row>
    <row r="191" spans="11:14" ht="12.75" customHeight="1" x14ac:dyDescent="0.3">
      <c r="K191" s="24"/>
      <c r="L191" s="24"/>
      <c r="M191" s="24"/>
    </row>
    <row r="192" spans="11:14" ht="12.75" customHeight="1" x14ac:dyDescent="0.3">
      <c r="K192" s="24"/>
      <c r="L192" s="24"/>
      <c r="M192" s="24"/>
    </row>
    <row r="193" spans="11:13" ht="12.75" customHeight="1" x14ac:dyDescent="0.3">
      <c r="K193" s="24"/>
      <c r="L193" s="24"/>
      <c r="M193" s="24"/>
    </row>
    <row r="194" spans="11:13" ht="12.75" customHeight="1" x14ac:dyDescent="0.3">
      <c r="K194" s="24"/>
      <c r="L194" s="24"/>
      <c r="M194" s="24"/>
    </row>
    <row r="195" spans="11:13" ht="12.75" customHeight="1" x14ac:dyDescent="0.3">
      <c r="K195" s="24"/>
      <c r="L195" s="24"/>
      <c r="M195" s="24"/>
    </row>
    <row r="196" spans="11:13" ht="12.75" customHeight="1" x14ac:dyDescent="0.3">
      <c r="K196" s="24"/>
      <c r="L196" s="24"/>
      <c r="M196" s="24"/>
    </row>
    <row r="197" spans="11:13" ht="12.75" customHeight="1" x14ac:dyDescent="0.3">
      <c r="K197" s="24"/>
      <c r="L197" s="24"/>
      <c r="M197" s="24"/>
    </row>
    <row r="198" spans="11:13" ht="12.75" customHeight="1" x14ac:dyDescent="0.3">
      <c r="K198" s="24"/>
      <c r="L198" s="24"/>
      <c r="M198" s="24"/>
    </row>
    <row r="199" spans="11:13" ht="12.75" customHeight="1" x14ac:dyDescent="0.3">
      <c r="K199" s="24"/>
      <c r="L199" s="24"/>
      <c r="M199" s="24"/>
    </row>
    <row r="200" spans="11:13" ht="12.75" customHeight="1" x14ac:dyDescent="0.3">
      <c r="K200" s="24"/>
      <c r="L200" s="24"/>
      <c r="M200" s="24"/>
    </row>
    <row r="201" spans="11:13" ht="12.75" customHeight="1" x14ac:dyDescent="0.3">
      <c r="K201" s="24"/>
      <c r="L201" s="24"/>
      <c r="M201" s="24"/>
    </row>
    <row r="202" spans="11:13" ht="12.75" customHeight="1" x14ac:dyDescent="0.3">
      <c r="K202" s="24"/>
      <c r="L202" s="24"/>
      <c r="M202" s="24"/>
    </row>
    <row r="203" spans="11:13" ht="12.75" customHeight="1" x14ac:dyDescent="0.3">
      <c r="K203" s="24"/>
      <c r="L203" s="24"/>
      <c r="M203" s="24"/>
    </row>
    <row r="204" spans="11:13" ht="12.75" customHeight="1" x14ac:dyDescent="0.3">
      <c r="K204" s="24"/>
      <c r="L204" s="24"/>
      <c r="M204" s="24"/>
    </row>
    <row r="205" spans="11:13" ht="12.75" customHeight="1" x14ac:dyDescent="0.3">
      <c r="K205" s="24"/>
      <c r="L205" s="24"/>
      <c r="M205" s="24"/>
    </row>
    <row r="206" spans="11:13" ht="12.75" customHeight="1" x14ac:dyDescent="0.3">
      <c r="K206" s="24"/>
      <c r="L206" s="24"/>
      <c r="M206" s="24"/>
    </row>
    <row r="207" spans="11:13" ht="12.75" customHeight="1" x14ac:dyDescent="0.3">
      <c r="K207" s="24"/>
      <c r="L207" s="24"/>
      <c r="M207" s="24"/>
    </row>
    <row r="208" spans="11:13" ht="12.75" customHeight="1" x14ac:dyDescent="0.3">
      <c r="K208" s="24"/>
      <c r="L208" s="24"/>
      <c r="M208" s="24"/>
    </row>
    <row r="209" spans="11:13" ht="12.75" customHeight="1" x14ac:dyDescent="0.3">
      <c r="K209" s="24"/>
      <c r="L209" s="24"/>
      <c r="M209" s="24"/>
    </row>
    <row r="210" spans="11:13" ht="12.75" customHeight="1" x14ac:dyDescent="0.3">
      <c r="K210" s="24"/>
      <c r="L210" s="24"/>
      <c r="M210" s="24"/>
    </row>
    <row r="211" spans="11:13" ht="12.75" customHeight="1" x14ac:dyDescent="0.3">
      <c r="K211" s="24"/>
      <c r="L211" s="24"/>
      <c r="M211" s="24"/>
    </row>
    <row r="212" spans="11:13" ht="12.75" customHeight="1" x14ac:dyDescent="0.3">
      <c r="K212" s="24"/>
      <c r="L212" s="24"/>
      <c r="M212" s="24"/>
    </row>
    <row r="213" spans="11:13" ht="12.75" customHeight="1" x14ac:dyDescent="0.3">
      <c r="K213" s="24"/>
      <c r="L213" s="24"/>
      <c r="M213" s="24"/>
    </row>
    <row r="214" spans="11:13" ht="12.75" customHeight="1" x14ac:dyDescent="0.3">
      <c r="K214" s="24"/>
      <c r="L214" s="24"/>
      <c r="M214" s="24"/>
    </row>
    <row r="215" spans="11:13" ht="12.75" customHeight="1" x14ac:dyDescent="0.3">
      <c r="K215" s="24"/>
      <c r="L215" s="24"/>
      <c r="M215" s="24"/>
    </row>
    <row r="216" spans="11:13" ht="12.75" customHeight="1" x14ac:dyDescent="0.3">
      <c r="K216" s="24"/>
      <c r="L216" s="24"/>
      <c r="M216" s="24"/>
    </row>
    <row r="217" spans="11:13" ht="12.75" customHeight="1" x14ac:dyDescent="0.3">
      <c r="K217" s="24"/>
      <c r="L217" s="24"/>
      <c r="M217" s="24"/>
    </row>
    <row r="218" spans="11:13" ht="12.75" customHeight="1" x14ac:dyDescent="0.3">
      <c r="K218" s="24"/>
      <c r="L218" s="24"/>
      <c r="M218" s="24"/>
    </row>
    <row r="219" spans="11:13" ht="12.75" customHeight="1" x14ac:dyDescent="0.3">
      <c r="K219" s="24"/>
      <c r="L219" s="24"/>
      <c r="M219" s="24"/>
    </row>
    <row r="220" spans="11:13" ht="12.75" customHeight="1" x14ac:dyDescent="0.3">
      <c r="K220" s="24"/>
      <c r="L220" s="24"/>
      <c r="M220" s="24"/>
    </row>
    <row r="221" spans="11:13" ht="12.75" customHeight="1" x14ac:dyDescent="0.3">
      <c r="K221" s="24"/>
      <c r="L221" s="24"/>
      <c r="M221" s="24"/>
    </row>
    <row r="222" spans="11:13" ht="12.75" customHeight="1" x14ac:dyDescent="0.3">
      <c r="K222" s="24"/>
      <c r="L222" s="24"/>
      <c r="M222" s="24"/>
    </row>
    <row r="223" spans="11:13" ht="12.75" customHeight="1" x14ac:dyDescent="0.3">
      <c r="K223" s="24"/>
      <c r="L223" s="24"/>
      <c r="M223" s="24"/>
    </row>
    <row r="224" spans="11:13" ht="12.75" customHeight="1" x14ac:dyDescent="0.3">
      <c r="K224" s="24"/>
      <c r="L224" s="24"/>
      <c r="M224" s="24"/>
    </row>
    <row r="225" spans="11:13" ht="12.75" customHeight="1" x14ac:dyDescent="0.3">
      <c r="K225" s="24"/>
      <c r="L225" s="24"/>
      <c r="M225" s="24"/>
    </row>
    <row r="226" spans="11:13" ht="12.75" customHeight="1" x14ac:dyDescent="0.3">
      <c r="K226" s="24"/>
      <c r="L226" s="24"/>
      <c r="M226" s="24"/>
    </row>
    <row r="227" spans="11:13" ht="12.75" customHeight="1" x14ac:dyDescent="0.3">
      <c r="K227" s="24"/>
      <c r="L227" s="24"/>
      <c r="M227" s="24"/>
    </row>
    <row r="228" spans="11:13" ht="12.75" customHeight="1" x14ac:dyDescent="0.3">
      <c r="K228" s="24"/>
      <c r="L228" s="24"/>
      <c r="M228" s="24"/>
    </row>
    <row r="229" spans="11:13" ht="12.75" customHeight="1" x14ac:dyDescent="0.3">
      <c r="K229" s="24"/>
      <c r="L229" s="24"/>
      <c r="M229" s="24"/>
    </row>
    <row r="230" spans="11:13" ht="12.75" customHeight="1" x14ac:dyDescent="0.3">
      <c r="K230" s="24"/>
      <c r="L230" s="24"/>
      <c r="M230" s="24"/>
    </row>
    <row r="231" spans="11:13" ht="12.75" customHeight="1" x14ac:dyDescent="0.3">
      <c r="K231" s="24"/>
      <c r="L231" s="24"/>
      <c r="M231" s="24"/>
    </row>
    <row r="232" spans="11:13" ht="12.75" customHeight="1" x14ac:dyDescent="0.3">
      <c r="K232" s="24"/>
      <c r="L232" s="24"/>
      <c r="M232" s="24"/>
    </row>
    <row r="233" spans="11:13" ht="12.75" customHeight="1" x14ac:dyDescent="0.3">
      <c r="K233" s="24"/>
      <c r="L233" s="24"/>
      <c r="M233" s="24"/>
    </row>
    <row r="234" spans="11:13" ht="12.75" customHeight="1" x14ac:dyDescent="0.3">
      <c r="K234" s="24"/>
      <c r="L234" s="24"/>
      <c r="M234" s="24"/>
    </row>
    <row r="235" spans="11:13" ht="12.75" customHeight="1" x14ac:dyDescent="0.3">
      <c r="K235" s="24"/>
      <c r="L235" s="24"/>
      <c r="M235" s="24"/>
    </row>
    <row r="236" spans="11:13" ht="12.75" customHeight="1" x14ac:dyDescent="0.3">
      <c r="K236" s="24"/>
      <c r="L236" s="24"/>
      <c r="M236" s="24"/>
    </row>
    <row r="237" spans="11:13" ht="12.75" customHeight="1" x14ac:dyDescent="0.3">
      <c r="K237" s="24"/>
      <c r="L237" s="24"/>
      <c r="M237" s="24"/>
    </row>
    <row r="238" spans="11:13" ht="12.75" customHeight="1" x14ac:dyDescent="0.3">
      <c r="K238" s="24"/>
      <c r="L238" s="24"/>
      <c r="M238" s="24"/>
    </row>
    <row r="239" spans="11:13" ht="12.75" customHeight="1" x14ac:dyDescent="0.3">
      <c r="K239" s="24"/>
      <c r="L239" s="24"/>
      <c r="M239" s="24"/>
    </row>
    <row r="240" spans="11:13" ht="12.75" customHeight="1" x14ac:dyDescent="0.3">
      <c r="K240" s="24"/>
      <c r="L240" s="24"/>
      <c r="M240" s="24"/>
    </row>
    <row r="241" spans="11:13" ht="12.75" customHeight="1" x14ac:dyDescent="0.3">
      <c r="K241" s="24"/>
      <c r="L241" s="24"/>
      <c r="M241" s="24"/>
    </row>
    <row r="242" spans="11:13" ht="12.75" customHeight="1" x14ac:dyDescent="0.3">
      <c r="K242" s="24"/>
      <c r="L242" s="24"/>
      <c r="M242" s="24"/>
    </row>
    <row r="243" spans="11:13" ht="12.75" customHeight="1" x14ac:dyDescent="0.3">
      <c r="K243" s="24"/>
      <c r="L243" s="24"/>
      <c r="M243" s="24"/>
    </row>
    <row r="244" spans="11:13" ht="12.75" customHeight="1" x14ac:dyDescent="0.3">
      <c r="K244" s="24"/>
      <c r="L244" s="24"/>
      <c r="M244" s="24"/>
    </row>
    <row r="245" spans="11:13" ht="12.75" customHeight="1" x14ac:dyDescent="0.3">
      <c r="K245" s="24"/>
      <c r="L245" s="24"/>
      <c r="M245" s="24"/>
    </row>
    <row r="246" spans="11:13" ht="12.75" customHeight="1" x14ac:dyDescent="0.3">
      <c r="K246" s="24"/>
      <c r="L246" s="24"/>
      <c r="M246" s="24"/>
    </row>
    <row r="247" spans="11:13" ht="12.75" customHeight="1" x14ac:dyDescent="0.3">
      <c r="K247" s="24"/>
      <c r="L247" s="24"/>
      <c r="M247" s="24"/>
    </row>
    <row r="248" spans="11:13" ht="12.75" customHeight="1" x14ac:dyDescent="0.3">
      <c r="K248" s="24"/>
      <c r="L248" s="24"/>
      <c r="M248" s="24"/>
    </row>
    <row r="249" spans="11:13" ht="12.75" customHeight="1" x14ac:dyDescent="0.3">
      <c r="K249" s="24"/>
      <c r="L249" s="24"/>
      <c r="M249" s="24"/>
    </row>
    <row r="250" spans="11:13" ht="12.75" customHeight="1" x14ac:dyDescent="0.3">
      <c r="K250" s="24"/>
      <c r="L250" s="24"/>
      <c r="M250" s="24"/>
    </row>
    <row r="251" spans="11:13" ht="12.75" customHeight="1" x14ac:dyDescent="0.3">
      <c r="K251" s="24"/>
      <c r="L251" s="24"/>
      <c r="M251" s="24"/>
    </row>
    <row r="252" spans="11:13" ht="12.75" customHeight="1" x14ac:dyDescent="0.3">
      <c r="K252" s="24"/>
      <c r="L252" s="24"/>
      <c r="M252" s="24"/>
    </row>
    <row r="253" spans="11:13" ht="12.75" customHeight="1" x14ac:dyDescent="0.3">
      <c r="K253" s="24"/>
      <c r="L253" s="24"/>
      <c r="M253" s="24"/>
    </row>
    <row r="254" spans="11:13" ht="12.75" customHeight="1" x14ac:dyDescent="0.3">
      <c r="K254" s="24"/>
      <c r="L254" s="24"/>
      <c r="M254" s="24"/>
    </row>
    <row r="255" spans="11:13" ht="12.75" customHeight="1" x14ac:dyDescent="0.3">
      <c r="K255" s="24"/>
      <c r="L255" s="24"/>
      <c r="M255" s="24"/>
    </row>
    <row r="256" spans="11:13" ht="12.75" customHeight="1" x14ac:dyDescent="0.3">
      <c r="K256" s="24"/>
      <c r="L256" s="24"/>
      <c r="M256" s="24"/>
    </row>
    <row r="257" spans="11:13" ht="12.75" customHeight="1" x14ac:dyDescent="0.3">
      <c r="K257" s="24"/>
      <c r="L257" s="24"/>
      <c r="M257" s="24"/>
    </row>
    <row r="258" spans="11:13" ht="12.75" customHeight="1" x14ac:dyDescent="0.3">
      <c r="K258" s="24"/>
      <c r="L258" s="24"/>
      <c r="M258" s="24"/>
    </row>
    <row r="259" spans="11:13" ht="12.75" customHeight="1" x14ac:dyDescent="0.3">
      <c r="K259" s="24"/>
      <c r="L259" s="24"/>
      <c r="M259" s="24"/>
    </row>
    <row r="260" spans="11:13" ht="12.75" customHeight="1" x14ac:dyDescent="0.3">
      <c r="K260" s="24"/>
      <c r="L260" s="24"/>
      <c r="M260" s="24"/>
    </row>
    <row r="261" spans="11:13" ht="12.75" customHeight="1" x14ac:dyDescent="0.3">
      <c r="K261" s="24"/>
      <c r="L261" s="24"/>
      <c r="M261" s="24"/>
    </row>
    <row r="262" spans="11:13" ht="12.75" customHeight="1" x14ac:dyDescent="0.3">
      <c r="K262" s="24"/>
      <c r="L262" s="24"/>
      <c r="M262" s="24"/>
    </row>
    <row r="263" spans="11:13" ht="12.75" customHeight="1" x14ac:dyDescent="0.3">
      <c r="K263" s="24"/>
      <c r="L263" s="24"/>
      <c r="M263" s="24"/>
    </row>
    <row r="264" spans="11:13" ht="12.75" customHeight="1" x14ac:dyDescent="0.3">
      <c r="K264" s="24"/>
      <c r="L264" s="24"/>
      <c r="M264" s="24"/>
    </row>
    <row r="265" spans="11:13" ht="12.75" customHeight="1" x14ac:dyDescent="0.3">
      <c r="K265" s="24"/>
      <c r="L265" s="24"/>
      <c r="M265" s="24"/>
    </row>
    <row r="266" spans="11:13" ht="12.75" customHeight="1" x14ac:dyDescent="0.3">
      <c r="K266" s="24"/>
      <c r="L266" s="24"/>
      <c r="M266" s="24"/>
    </row>
    <row r="267" spans="11:13" ht="12.75" customHeight="1" x14ac:dyDescent="0.3">
      <c r="K267" s="24"/>
      <c r="L267" s="24"/>
      <c r="M267" s="24"/>
    </row>
    <row r="268" spans="11:13" ht="12.75" customHeight="1" x14ac:dyDescent="0.3">
      <c r="K268" s="24"/>
      <c r="L268" s="24"/>
      <c r="M268" s="24"/>
    </row>
    <row r="269" spans="11:13" ht="12.75" customHeight="1" x14ac:dyDescent="0.3">
      <c r="K269" s="24"/>
      <c r="L269" s="24"/>
      <c r="M269" s="24"/>
    </row>
    <row r="270" spans="11:13" ht="12.75" customHeight="1" x14ac:dyDescent="0.3">
      <c r="K270" s="24"/>
      <c r="L270" s="24"/>
      <c r="M270" s="24"/>
    </row>
    <row r="271" spans="11:13" ht="12.75" customHeight="1" x14ac:dyDescent="0.3">
      <c r="K271" s="24"/>
      <c r="L271" s="24"/>
      <c r="M271" s="24"/>
    </row>
    <row r="272" spans="11:13" ht="12.75" customHeight="1" x14ac:dyDescent="0.3">
      <c r="K272" s="24"/>
      <c r="L272" s="24"/>
      <c r="M272" s="24"/>
    </row>
    <row r="273" spans="11:13" ht="12.75" customHeight="1" x14ac:dyDescent="0.3">
      <c r="K273" s="24"/>
      <c r="L273" s="24"/>
      <c r="M273" s="24"/>
    </row>
    <row r="274" spans="11:13" ht="12.75" customHeight="1" x14ac:dyDescent="0.3">
      <c r="K274" s="24"/>
      <c r="L274" s="24"/>
      <c r="M274" s="24"/>
    </row>
    <row r="275" spans="11:13" ht="12.75" customHeight="1" x14ac:dyDescent="0.3">
      <c r="K275" s="24"/>
      <c r="L275" s="24"/>
      <c r="M275" s="24"/>
    </row>
    <row r="276" spans="11:13" ht="12.75" customHeight="1" x14ac:dyDescent="0.3">
      <c r="K276" s="24"/>
      <c r="L276" s="24"/>
      <c r="M276" s="24"/>
    </row>
    <row r="277" spans="11:13" ht="12.75" customHeight="1" x14ac:dyDescent="0.3">
      <c r="K277" s="24"/>
      <c r="L277" s="24"/>
      <c r="M277" s="24"/>
    </row>
    <row r="278" spans="11:13" ht="12.75" customHeight="1" x14ac:dyDescent="0.3">
      <c r="K278" s="24"/>
      <c r="L278" s="24"/>
      <c r="M278" s="24"/>
    </row>
    <row r="279" spans="11:13" ht="12.75" customHeight="1" x14ac:dyDescent="0.3">
      <c r="K279" s="24"/>
      <c r="L279" s="24"/>
      <c r="M279" s="24"/>
    </row>
    <row r="280" spans="11:13" ht="12.75" customHeight="1" x14ac:dyDescent="0.3">
      <c r="K280" s="24"/>
      <c r="L280" s="24"/>
      <c r="M280" s="24"/>
    </row>
    <row r="281" spans="11:13" ht="12.75" customHeight="1" x14ac:dyDescent="0.3">
      <c r="K281" s="24"/>
      <c r="L281" s="24"/>
      <c r="M281" s="24"/>
    </row>
    <row r="282" spans="11:13" ht="12.75" customHeight="1" x14ac:dyDescent="0.3">
      <c r="K282" s="24"/>
      <c r="L282" s="24"/>
      <c r="M282" s="24"/>
    </row>
    <row r="283" spans="11:13" ht="12.75" customHeight="1" x14ac:dyDescent="0.3">
      <c r="K283" s="24"/>
      <c r="L283" s="24"/>
      <c r="M283" s="24"/>
    </row>
    <row r="284" spans="11:13" ht="12.75" customHeight="1" x14ac:dyDescent="0.3">
      <c r="K284" s="24"/>
      <c r="L284" s="24"/>
      <c r="M284" s="24"/>
    </row>
    <row r="285" spans="11:13" ht="12.75" customHeight="1" x14ac:dyDescent="0.3">
      <c r="K285" s="24"/>
      <c r="L285" s="24"/>
      <c r="M285" s="24"/>
    </row>
    <row r="286" spans="11:13" ht="12.75" customHeight="1" x14ac:dyDescent="0.3">
      <c r="K286" s="24"/>
      <c r="L286" s="24"/>
      <c r="M286" s="24"/>
    </row>
    <row r="287" spans="11:13" ht="12.75" customHeight="1" x14ac:dyDescent="0.3">
      <c r="K287" s="24"/>
      <c r="L287" s="24"/>
      <c r="M287" s="24"/>
    </row>
    <row r="288" spans="11:13" ht="12.75" customHeight="1" x14ac:dyDescent="0.3">
      <c r="K288" s="24"/>
      <c r="L288" s="24"/>
      <c r="M288" s="24"/>
    </row>
    <row r="289" spans="11:13" ht="12.75" customHeight="1" x14ac:dyDescent="0.3">
      <c r="K289" s="24"/>
      <c r="L289" s="24"/>
      <c r="M289" s="24"/>
    </row>
    <row r="290" spans="11:13" ht="12.75" customHeight="1" x14ac:dyDescent="0.3">
      <c r="K290" s="24"/>
      <c r="L290" s="24"/>
      <c r="M290" s="24"/>
    </row>
    <row r="291" spans="11:13" ht="12.75" customHeight="1" x14ac:dyDescent="0.3">
      <c r="K291" s="24"/>
      <c r="L291" s="24"/>
      <c r="M291" s="24"/>
    </row>
    <row r="292" spans="11:13" ht="12.75" customHeight="1" x14ac:dyDescent="0.3">
      <c r="K292" s="24"/>
      <c r="L292" s="24"/>
      <c r="M292" s="24"/>
    </row>
    <row r="293" spans="11:13" ht="12.75" customHeight="1" x14ac:dyDescent="0.3">
      <c r="K293" s="24"/>
      <c r="L293" s="24"/>
      <c r="M293" s="24"/>
    </row>
    <row r="294" spans="11:13" ht="12.75" customHeight="1" x14ac:dyDescent="0.3">
      <c r="K294" s="24"/>
      <c r="L294" s="24"/>
      <c r="M294" s="24"/>
    </row>
    <row r="295" spans="11:13" ht="12.75" customHeight="1" x14ac:dyDescent="0.3">
      <c r="K295" s="24"/>
      <c r="L295" s="24"/>
      <c r="M295" s="24"/>
    </row>
    <row r="296" spans="11:13" ht="12.75" customHeight="1" x14ac:dyDescent="0.3">
      <c r="K296" s="24"/>
      <c r="L296" s="24"/>
      <c r="M296" s="24"/>
    </row>
    <row r="297" spans="11:13" ht="12.75" customHeight="1" x14ac:dyDescent="0.3">
      <c r="K297" s="24"/>
      <c r="L297" s="24"/>
      <c r="M297" s="24"/>
    </row>
    <row r="298" spans="11:13" ht="12.75" customHeight="1" x14ac:dyDescent="0.3">
      <c r="K298" s="24"/>
      <c r="L298" s="24"/>
      <c r="M298" s="24"/>
    </row>
    <row r="299" spans="11:13" ht="12.75" customHeight="1" x14ac:dyDescent="0.3">
      <c r="K299" s="24"/>
      <c r="L299" s="24"/>
      <c r="M299" s="24"/>
    </row>
    <row r="300" spans="11:13" ht="12.75" customHeight="1" x14ac:dyDescent="0.3">
      <c r="K300" s="24"/>
      <c r="L300" s="24"/>
      <c r="M300" s="24"/>
    </row>
    <row r="301" spans="11:13" ht="12.75" customHeight="1" x14ac:dyDescent="0.3">
      <c r="K301" s="24"/>
      <c r="L301" s="24"/>
      <c r="M301" s="24"/>
    </row>
    <row r="302" spans="11:13" ht="12.75" customHeight="1" x14ac:dyDescent="0.3">
      <c r="K302" s="24"/>
      <c r="L302" s="24"/>
      <c r="M302" s="24"/>
    </row>
    <row r="303" spans="11:13" ht="12.75" customHeight="1" x14ac:dyDescent="0.3">
      <c r="K303" s="24"/>
      <c r="L303" s="24"/>
      <c r="M303" s="24"/>
    </row>
    <row r="304" spans="11:13" ht="12.75" customHeight="1" x14ac:dyDescent="0.3">
      <c r="K304" s="24"/>
      <c r="L304" s="24"/>
      <c r="M304" s="24"/>
    </row>
    <row r="305" spans="11:13" ht="12.75" customHeight="1" x14ac:dyDescent="0.3">
      <c r="K305" s="24"/>
      <c r="L305" s="24"/>
      <c r="M305" s="24"/>
    </row>
    <row r="306" spans="11:13" ht="12.75" customHeight="1" x14ac:dyDescent="0.3">
      <c r="K306" s="24"/>
      <c r="L306" s="24"/>
      <c r="M306" s="24"/>
    </row>
    <row r="307" spans="11:13" ht="12.75" customHeight="1" x14ac:dyDescent="0.3">
      <c r="K307" s="24"/>
      <c r="L307" s="24"/>
      <c r="M307" s="24"/>
    </row>
    <row r="308" spans="11:13" ht="12.75" customHeight="1" x14ac:dyDescent="0.3">
      <c r="K308" s="24"/>
      <c r="L308" s="24"/>
      <c r="M308" s="24"/>
    </row>
    <row r="309" spans="11:13" ht="12.75" customHeight="1" x14ac:dyDescent="0.3">
      <c r="K309" s="24"/>
      <c r="L309" s="24"/>
      <c r="M309" s="24"/>
    </row>
    <row r="310" spans="11:13" ht="12.75" customHeight="1" x14ac:dyDescent="0.3">
      <c r="K310" s="24"/>
      <c r="L310" s="24"/>
      <c r="M310" s="24"/>
    </row>
    <row r="311" spans="11:13" ht="12.75" customHeight="1" x14ac:dyDescent="0.3">
      <c r="K311" s="24"/>
      <c r="L311" s="24"/>
      <c r="M311" s="24"/>
    </row>
    <row r="312" spans="11:13" ht="12.75" customHeight="1" x14ac:dyDescent="0.3">
      <c r="K312" s="24"/>
      <c r="L312" s="24"/>
      <c r="M312" s="24"/>
    </row>
    <row r="313" spans="11:13" ht="12.75" customHeight="1" x14ac:dyDescent="0.3">
      <c r="K313" s="24"/>
      <c r="L313" s="24"/>
      <c r="M313" s="24"/>
    </row>
    <row r="314" spans="11:13" ht="12.75" customHeight="1" x14ac:dyDescent="0.3">
      <c r="K314" s="24"/>
      <c r="L314" s="24"/>
      <c r="M314" s="24"/>
    </row>
    <row r="315" spans="11:13" ht="12.75" customHeight="1" x14ac:dyDescent="0.3">
      <c r="K315" s="24"/>
      <c r="L315" s="24"/>
      <c r="M315" s="24"/>
    </row>
    <row r="316" spans="11:13" ht="12.75" customHeight="1" x14ac:dyDescent="0.3">
      <c r="K316" s="24"/>
      <c r="L316" s="24"/>
      <c r="M316" s="24"/>
    </row>
    <row r="317" spans="11:13" ht="12.75" customHeight="1" x14ac:dyDescent="0.3">
      <c r="K317" s="24"/>
      <c r="L317" s="24"/>
      <c r="M317" s="24"/>
    </row>
    <row r="318" spans="11:13" ht="12.75" customHeight="1" x14ac:dyDescent="0.3">
      <c r="K318" s="24"/>
      <c r="L318" s="24"/>
      <c r="M318" s="24"/>
    </row>
    <row r="319" spans="11:13" ht="12.75" customHeight="1" x14ac:dyDescent="0.3">
      <c r="K319" s="24"/>
      <c r="L319" s="24"/>
      <c r="M319" s="24"/>
    </row>
    <row r="320" spans="11:13" ht="12.75" customHeight="1" x14ac:dyDescent="0.3">
      <c r="K320" s="24"/>
      <c r="L320" s="24"/>
      <c r="M320" s="24"/>
    </row>
    <row r="321" spans="11:13" ht="12.75" customHeight="1" x14ac:dyDescent="0.3">
      <c r="K321" s="24"/>
      <c r="L321" s="24"/>
      <c r="M321" s="24"/>
    </row>
    <row r="322" spans="11:13" ht="12.75" customHeight="1" x14ac:dyDescent="0.3">
      <c r="K322" s="24"/>
      <c r="L322" s="24"/>
      <c r="M322" s="24"/>
    </row>
    <row r="323" spans="11:13" ht="12.75" customHeight="1" x14ac:dyDescent="0.3">
      <c r="K323" s="24"/>
      <c r="L323" s="24"/>
      <c r="M323" s="24"/>
    </row>
    <row r="324" spans="11:13" ht="12.75" customHeight="1" x14ac:dyDescent="0.3">
      <c r="K324" s="24"/>
      <c r="L324" s="24"/>
      <c r="M324" s="24"/>
    </row>
    <row r="325" spans="11:13" ht="12.75" customHeight="1" x14ac:dyDescent="0.3">
      <c r="K325" s="24"/>
      <c r="L325" s="24"/>
      <c r="M325" s="24"/>
    </row>
    <row r="326" spans="11:13" ht="12.75" customHeight="1" x14ac:dyDescent="0.3">
      <c r="K326" s="24"/>
      <c r="L326" s="24"/>
      <c r="M326" s="24"/>
    </row>
    <row r="327" spans="11:13" ht="12.75" customHeight="1" x14ac:dyDescent="0.3">
      <c r="K327" s="24"/>
      <c r="L327" s="24"/>
      <c r="M327" s="24"/>
    </row>
    <row r="328" spans="11:13" ht="12.75" customHeight="1" x14ac:dyDescent="0.3">
      <c r="K328" s="24"/>
      <c r="L328" s="24"/>
      <c r="M328" s="24"/>
    </row>
    <row r="329" spans="11:13" ht="12.75" customHeight="1" x14ac:dyDescent="0.3">
      <c r="K329" s="24"/>
      <c r="L329" s="24"/>
      <c r="M329" s="24"/>
    </row>
    <row r="330" spans="11:13" ht="12.75" customHeight="1" x14ac:dyDescent="0.3">
      <c r="K330" s="24"/>
      <c r="L330" s="24"/>
      <c r="M330" s="24"/>
    </row>
    <row r="331" spans="11:13" ht="12.75" customHeight="1" x14ac:dyDescent="0.3">
      <c r="K331" s="24"/>
      <c r="L331" s="24"/>
      <c r="M331" s="24"/>
    </row>
    <row r="332" spans="11:13" ht="12.75" customHeight="1" x14ac:dyDescent="0.3">
      <c r="K332" s="24"/>
      <c r="L332" s="24"/>
      <c r="M332" s="24"/>
    </row>
    <row r="333" spans="11:13" ht="12.75" customHeight="1" x14ac:dyDescent="0.3">
      <c r="K333" s="24"/>
      <c r="L333" s="24"/>
      <c r="M333" s="24"/>
    </row>
    <row r="334" spans="11:13" ht="12.75" customHeight="1" x14ac:dyDescent="0.3">
      <c r="K334" s="24"/>
      <c r="L334" s="24"/>
      <c r="M334" s="24"/>
    </row>
    <row r="335" spans="11:13" ht="12.75" customHeight="1" x14ac:dyDescent="0.3">
      <c r="K335" s="24"/>
      <c r="L335" s="24"/>
      <c r="M335" s="24"/>
    </row>
    <row r="336" spans="11:13" ht="12.75" customHeight="1" x14ac:dyDescent="0.3">
      <c r="K336" s="24"/>
      <c r="L336" s="24"/>
      <c r="M336" s="24"/>
    </row>
    <row r="337" spans="11:13" ht="12.75" customHeight="1" x14ac:dyDescent="0.3">
      <c r="K337" s="24"/>
      <c r="L337" s="24"/>
      <c r="M337" s="24"/>
    </row>
    <row r="338" spans="11:13" ht="12.75" customHeight="1" x14ac:dyDescent="0.3">
      <c r="K338" s="24"/>
      <c r="L338" s="24"/>
      <c r="M338" s="24"/>
    </row>
    <row r="339" spans="11:13" ht="12.75" customHeight="1" x14ac:dyDescent="0.3">
      <c r="K339" s="24"/>
      <c r="L339" s="24"/>
      <c r="M339" s="24"/>
    </row>
    <row r="340" spans="11:13" ht="12.75" customHeight="1" x14ac:dyDescent="0.3">
      <c r="K340" s="24"/>
      <c r="L340" s="24"/>
      <c r="M340" s="24"/>
    </row>
    <row r="341" spans="11:13" ht="12.75" customHeight="1" x14ac:dyDescent="0.3">
      <c r="K341" s="24"/>
      <c r="L341" s="24"/>
      <c r="M341" s="24"/>
    </row>
    <row r="342" spans="11:13" ht="12.75" customHeight="1" x14ac:dyDescent="0.3">
      <c r="K342" s="24"/>
      <c r="L342" s="24"/>
      <c r="M342" s="24"/>
    </row>
    <row r="343" spans="11:13" ht="12.75" customHeight="1" x14ac:dyDescent="0.3">
      <c r="K343" s="24"/>
      <c r="L343" s="24"/>
      <c r="M343" s="24"/>
    </row>
    <row r="344" spans="11:13" ht="12.75" customHeight="1" x14ac:dyDescent="0.3">
      <c r="K344" s="24"/>
      <c r="L344" s="24"/>
      <c r="M344" s="24"/>
    </row>
    <row r="345" spans="11:13" ht="12.75" customHeight="1" x14ac:dyDescent="0.3">
      <c r="K345" s="24"/>
      <c r="L345" s="24"/>
      <c r="M345" s="24"/>
    </row>
    <row r="346" spans="11:13" ht="12.75" customHeight="1" x14ac:dyDescent="0.3">
      <c r="K346" s="24"/>
      <c r="L346" s="24"/>
      <c r="M346" s="24"/>
    </row>
    <row r="347" spans="11:13" ht="12.75" customHeight="1" x14ac:dyDescent="0.3">
      <c r="K347" s="24"/>
      <c r="L347" s="24"/>
      <c r="M347" s="24"/>
    </row>
    <row r="348" spans="11:13" ht="12.75" customHeight="1" x14ac:dyDescent="0.3">
      <c r="K348" s="24"/>
      <c r="L348" s="24"/>
      <c r="M348" s="24"/>
    </row>
    <row r="349" spans="11:13" ht="12.75" customHeight="1" x14ac:dyDescent="0.3">
      <c r="K349" s="24"/>
      <c r="L349" s="24"/>
      <c r="M349" s="24"/>
    </row>
    <row r="350" spans="11:13" ht="12.75" customHeight="1" x14ac:dyDescent="0.3">
      <c r="K350" s="24"/>
      <c r="L350" s="24"/>
      <c r="M350" s="24"/>
    </row>
    <row r="351" spans="11:13" ht="12.75" customHeight="1" x14ac:dyDescent="0.3">
      <c r="K351" s="24"/>
      <c r="L351" s="24"/>
      <c r="M351" s="24"/>
    </row>
    <row r="352" spans="11:13" ht="12.75" customHeight="1" x14ac:dyDescent="0.3">
      <c r="K352" s="24"/>
      <c r="L352" s="24"/>
      <c r="M352" s="24"/>
    </row>
    <row r="353" spans="11:13" ht="12.75" customHeight="1" x14ac:dyDescent="0.3">
      <c r="K353" s="24"/>
      <c r="L353" s="24"/>
      <c r="M353" s="24"/>
    </row>
    <row r="354" spans="11:13" ht="12.75" customHeight="1" x14ac:dyDescent="0.3">
      <c r="K354" s="24"/>
      <c r="L354" s="24"/>
      <c r="M354" s="24"/>
    </row>
    <row r="355" spans="11:13" ht="12.75" customHeight="1" x14ac:dyDescent="0.3">
      <c r="K355" s="24"/>
      <c r="L355" s="24"/>
      <c r="M355" s="24"/>
    </row>
    <row r="356" spans="11:13" ht="12.75" customHeight="1" x14ac:dyDescent="0.3">
      <c r="K356" s="24"/>
      <c r="L356" s="24"/>
      <c r="M356" s="24"/>
    </row>
    <row r="357" spans="11:13" ht="12.75" customHeight="1" x14ac:dyDescent="0.3">
      <c r="K357" s="24"/>
      <c r="L357" s="24"/>
      <c r="M357" s="24"/>
    </row>
    <row r="358" spans="11:13" ht="12.75" customHeight="1" x14ac:dyDescent="0.3">
      <c r="K358" s="24"/>
      <c r="L358" s="24"/>
      <c r="M358" s="24"/>
    </row>
    <row r="359" spans="11:13" ht="12.75" customHeight="1" x14ac:dyDescent="0.3">
      <c r="K359" s="24"/>
      <c r="L359" s="24"/>
      <c r="M359" s="24"/>
    </row>
    <row r="360" spans="11:13" ht="12.75" customHeight="1" x14ac:dyDescent="0.3">
      <c r="K360" s="24"/>
      <c r="L360" s="24"/>
      <c r="M360" s="24"/>
    </row>
    <row r="361" spans="11:13" ht="12.75" customHeight="1" x14ac:dyDescent="0.3">
      <c r="K361" s="24"/>
      <c r="L361" s="24"/>
      <c r="M361" s="24"/>
    </row>
    <row r="362" spans="11:13" ht="12.75" customHeight="1" x14ac:dyDescent="0.3">
      <c r="K362" s="24"/>
      <c r="L362" s="24"/>
      <c r="M362" s="24"/>
    </row>
    <row r="363" spans="11:13" ht="12.75" customHeight="1" x14ac:dyDescent="0.3">
      <c r="K363" s="24"/>
      <c r="L363" s="24"/>
      <c r="M363" s="24"/>
    </row>
    <row r="364" spans="11:13" ht="12.75" customHeight="1" x14ac:dyDescent="0.3">
      <c r="K364" s="24"/>
      <c r="L364" s="24"/>
      <c r="M364" s="24"/>
    </row>
    <row r="365" spans="11:13" ht="12.75" customHeight="1" x14ac:dyDescent="0.3">
      <c r="K365" s="24"/>
      <c r="L365" s="24"/>
      <c r="M365" s="24"/>
    </row>
    <row r="366" spans="11:13" ht="12.75" customHeight="1" x14ac:dyDescent="0.3">
      <c r="K366" s="24"/>
      <c r="L366" s="24"/>
      <c r="M366" s="24"/>
    </row>
    <row r="367" spans="11:13" ht="12.75" customHeight="1" x14ac:dyDescent="0.3">
      <c r="K367" s="24"/>
      <c r="L367" s="24"/>
      <c r="M367" s="24"/>
    </row>
    <row r="368" spans="11:13" ht="12.75" customHeight="1" x14ac:dyDescent="0.3">
      <c r="K368" s="24"/>
      <c r="L368" s="24"/>
      <c r="M368" s="24"/>
    </row>
    <row r="369" spans="11:13" ht="12.75" customHeight="1" x14ac:dyDescent="0.3">
      <c r="K369" s="24"/>
      <c r="L369" s="24"/>
      <c r="M369" s="24"/>
    </row>
    <row r="370" spans="11:13" ht="12.75" customHeight="1" x14ac:dyDescent="0.3">
      <c r="K370" s="24"/>
      <c r="L370" s="24"/>
      <c r="M370" s="24"/>
    </row>
    <row r="371" spans="11:13" ht="12.75" customHeight="1" x14ac:dyDescent="0.3">
      <c r="K371" s="24"/>
      <c r="L371" s="24"/>
      <c r="M371" s="24"/>
    </row>
    <row r="372" spans="11:13" ht="12.75" customHeight="1" x14ac:dyDescent="0.3">
      <c r="K372" s="24"/>
      <c r="L372" s="24"/>
      <c r="M372" s="24"/>
    </row>
    <row r="373" spans="11:13" ht="12.75" customHeight="1" x14ac:dyDescent="0.3">
      <c r="K373" s="24"/>
      <c r="L373" s="24"/>
      <c r="M373" s="24"/>
    </row>
    <row r="374" spans="11:13" ht="12.75" customHeight="1" x14ac:dyDescent="0.3">
      <c r="K374" s="24"/>
      <c r="L374" s="24"/>
      <c r="M374" s="24"/>
    </row>
    <row r="375" spans="11:13" ht="12.75" customHeight="1" x14ac:dyDescent="0.3">
      <c r="K375" s="24"/>
      <c r="L375" s="24"/>
      <c r="M375" s="24"/>
    </row>
    <row r="376" spans="11:13" ht="12.75" customHeight="1" x14ac:dyDescent="0.3">
      <c r="K376" s="24"/>
      <c r="L376" s="24"/>
      <c r="M376" s="24"/>
    </row>
    <row r="377" spans="11:13" ht="12.75" customHeight="1" x14ac:dyDescent="0.3">
      <c r="K377" s="24"/>
      <c r="L377" s="24"/>
      <c r="M377" s="24"/>
    </row>
    <row r="378" spans="11:13" ht="12.75" customHeight="1" x14ac:dyDescent="0.3">
      <c r="K378" s="24"/>
      <c r="L378" s="24"/>
      <c r="M378" s="24"/>
    </row>
    <row r="379" spans="11:13" ht="12.75" customHeight="1" x14ac:dyDescent="0.3">
      <c r="K379" s="24"/>
      <c r="L379" s="24"/>
      <c r="M379" s="24"/>
    </row>
    <row r="380" spans="11:13" ht="12.75" customHeight="1" x14ac:dyDescent="0.3">
      <c r="K380" s="24"/>
      <c r="L380" s="24"/>
      <c r="M380" s="24"/>
    </row>
    <row r="381" spans="11:13" ht="12.75" customHeight="1" x14ac:dyDescent="0.3">
      <c r="K381" s="24"/>
      <c r="L381" s="24"/>
      <c r="M381" s="24"/>
    </row>
    <row r="382" spans="11:13" ht="12.75" customHeight="1" x14ac:dyDescent="0.3">
      <c r="K382" s="24"/>
      <c r="L382" s="24"/>
      <c r="M382" s="24"/>
    </row>
    <row r="383" spans="11:13" ht="12.75" customHeight="1" x14ac:dyDescent="0.3">
      <c r="K383" s="24"/>
      <c r="L383" s="24"/>
      <c r="M383" s="24"/>
    </row>
    <row r="384" spans="11:13" ht="12.75" customHeight="1" x14ac:dyDescent="0.3">
      <c r="K384" s="24"/>
      <c r="L384" s="24"/>
      <c r="M384" s="24"/>
    </row>
    <row r="385" spans="11:13" ht="12.75" customHeight="1" x14ac:dyDescent="0.3">
      <c r="K385" s="24"/>
      <c r="L385" s="24"/>
      <c r="M385" s="24"/>
    </row>
    <row r="386" spans="11:13" ht="12.75" customHeight="1" x14ac:dyDescent="0.3">
      <c r="K386" s="24"/>
      <c r="L386" s="24"/>
      <c r="M386" s="24"/>
    </row>
    <row r="387" spans="11:13" ht="12.75" customHeight="1" x14ac:dyDescent="0.3">
      <c r="K387" s="24"/>
      <c r="L387" s="24"/>
      <c r="M387" s="24"/>
    </row>
    <row r="388" spans="11:13" ht="12.75" customHeight="1" x14ac:dyDescent="0.3">
      <c r="K388" s="24"/>
      <c r="L388" s="24"/>
      <c r="M388" s="24"/>
    </row>
    <row r="389" spans="11:13" ht="12.75" customHeight="1" x14ac:dyDescent="0.3">
      <c r="K389" s="24"/>
      <c r="L389" s="24"/>
      <c r="M389" s="24"/>
    </row>
    <row r="390" spans="11:13" ht="12.75" customHeight="1" x14ac:dyDescent="0.3">
      <c r="K390" s="24"/>
      <c r="L390" s="24"/>
      <c r="M390" s="24"/>
    </row>
    <row r="391" spans="11:13" ht="12.75" customHeight="1" x14ac:dyDescent="0.3">
      <c r="K391" s="24"/>
      <c r="L391" s="24"/>
      <c r="M391" s="24"/>
    </row>
    <row r="392" spans="11:13" ht="12.75" customHeight="1" x14ac:dyDescent="0.3">
      <c r="K392" s="24"/>
      <c r="L392" s="24"/>
      <c r="M392" s="24"/>
    </row>
    <row r="393" spans="11:13" ht="12.75" customHeight="1" x14ac:dyDescent="0.3">
      <c r="K393" s="24"/>
      <c r="L393" s="24"/>
      <c r="M393" s="24"/>
    </row>
    <row r="394" spans="11:13" ht="12.75" customHeight="1" x14ac:dyDescent="0.3">
      <c r="K394" s="24"/>
      <c r="L394" s="24"/>
      <c r="M394" s="24"/>
    </row>
    <row r="395" spans="11:13" ht="12.75" customHeight="1" x14ac:dyDescent="0.3">
      <c r="K395" s="24"/>
      <c r="L395" s="24"/>
      <c r="M395" s="24"/>
    </row>
    <row r="396" spans="11:13" ht="12.75" customHeight="1" x14ac:dyDescent="0.3">
      <c r="K396" s="24"/>
      <c r="L396" s="24"/>
      <c r="M396" s="24"/>
    </row>
    <row r="397" spans="11:13" ht="12.75" customHeight="1" x14ac:dyDescent="0.3">
      <c r="K397" s="24"/>
      <c r="L397" s="24"/>
      <c r="M397" s="24"/>
    </row>
    <row r="398" spans="11:13" ht="12.75" customHeight="1" x14ac:dyDescent="0.3">
      <c r="K398" s="24"/>
      <c r="L398" s="24"/>
      <c r="M398" s="24"/>
    </row>
    <row r="399" spans="11:13" ht="12.75" customHeight="1" x14ac:dyDescent="0.3">
      <c r="K399" s="24"/>
      <c r="L399" s="24"/>
      <c r="M399" s="24"/>
    </row>
    <row r="400" spans="11:13" ht="12.75" customHeight="1" x14ac:dyDescent="0.3">
      <c r="K400" s="24"/>
      <c r="L400" s="24"/>
      <c r="M400" s="24"/>
    </row>
    <row r="401" spans="11:13" ht="12.75" customHeight="1" x14ac:dyDescent="0.3">
      <c r="K401" s="24"/>
      <c r="L401" s="24"/>
      <c r="M401" s="24"/>
    </row>
    <row r="402" spans="11:13" ht="12.75" customHeight="1" x14ac:dyDescent="0.3">
      <c r="K402" s="24"/>
      <c r="L402" s="24"/>
      <c r="M402" s="24"/>
    </row>
    <row r="403" spans="11:13" ht="12.75" customHeight="1" x14ac:dyDescent="0.3">
      <c r="K403" s="24"/>
      <c r="L403" s="24"/>
      <c r="M403" s="24"/>
    </row>
    <row r="404" spans="11:13" ht="12.75" customHeight="1" x14ac:dyDescent="0.3">
      <c r="K404" s="24"/>
      <c r="L404" s="24"/>
      <c r="M404" s="24"/>
    </row>
    <row r="405" spans="11:13" ht="12.75" customHeight="1" x14ac:dyDescent="0.3">
      <c r="K405" s="24"/>
      <c r="L405" s="24"/>
      <c r="M405" s="24"/>
    </row>
    <row r="406" spans="11:13" ht="12.75" customHeight="1" x14ac:dyDescent="0.3">
      <c r="K406" s="24"/>
      <c r="L406" s="24"/>
      <c r="M406" s="24"/>
    </row>
    <row r="407" spans="11:13" ht="12.75" customHeight="1" x14ac:dyDescent="0.3">
      <c r="K407" s="24"/>
      <c r="L407" s="24"/>
      <c r="M407" s="24"/>
    </row>
    <row r="408" spans="11:13" ht="12.75" customHeight="1" x14ac:dyDescent="0.3">
      <c r="K408" s="24"/>
      <c r="L408" s="24"/>
      <c r="M408" s="24"/>
    </row>
    <row r="409" spans="11:13" ht="12.75" customHeight="1" x14ac:dyDescent="0.3">
      <c r="K409" s="24"/>
      <c r="L409" s="24"/>
      <c r="M409" s="24"/>
    </row>
    <row r="410" spans="11:13" ht="12.75" customHeight="1" x14ac:dyDescent="0.3">
      <c r="K410" s="24"/>
      <c r="L410" s="24"/>
      <c r="M410" s="24"/>
    </row>
    <row r="411" spans="11:13" ht="12.75" customHeight="1" x14ac:dyDescent="0.3">
      <c r="K411" s="24"/>
      <c r="L411" s="24"/>
      <c r="M411" s="24"/>
    </row>
    <row r="412" spans="11:13" ht="12.75" customHeight="1" x14ac:dyDescent="0.3">
      <c r="K412" s="24"/>
      <c r="L412" s="24"/>
      <c r="M412" s="24"/>
    </row>
    <row r="413" spans="11:13" ht="12.75" customHeight="1" x14ac:dyDescent="0.3">
      <c r="K413" s="24"/>
      <c r="L413" s="24"/>
      <c r="M413" s="24"/>
    </row>
    <row r="414" spans="11:13" ht="12.75" customHeight="1" x14ac:dyDescent="0.3">
      <c r="K414" s="24"/>
      <c r="L414" s="24"/>
      <c r="M414" s="24"/>
    </row>
    <row r="415" spans="11:13" ht="12.75" customHeight="1" x14ac:dyDescent="0.3">
      <c r="K415" s="24"/>
      <c r="L415" s="24"/>
      <c r="M415" s="24"/>
    </row>
    <row r="416" spans="11:13" ht="12.75" customHeight="1" x14ac:dyDescent="0.3">
      <c r="K416" s="24"/>
      <c r="L416" s="24"/>
      <c r="M416" s="24"/>
    </row>
    <row r="417" spans="11:13" ht="12.75" customHeight="1" x14ac:dyDescent="0.3">
      <c r="K417" s="24"/>
      <c r="L417" s="24"/>
      <c r="M417" s="24"/>
    </row>
    <row r="418" spans="11:13" ht="12.75" customHeight="1" x14ac:dyDescent="0.3">
      <c r="K418" s="24"/>
      <c r="L418" s="24"/>
      <c r="M418" s="24"/>
    </row>
    <row r="419" spans="11:13" ht="12.75" customHeight="1" x14ac:dyDescent="0.3">
      <c r="K419" s="24"/>
      <c r="L419" s="24"/>
      <c r="M419" s="24"/>
    </row>
    <row r="420" spans="11:13" ht="12.75" customHeight="1" x14ac:dyDescent="0.3">
      <c r="K420" s="24"/>
      <c r="L420" s="24"/>
      <c r="M420" s="24"/>
    </row>
    <row r="421" spans="11:13" ht="12.75" customHeight="1" x14ac:dyDescent="0.3">
      <c r="K421" s="24"/>
      <c r="L421" s="24"/>
      <c r="M421" s="24"/>
    </row>
    <row r="422" spans="11:13" ht="12.75" customHeight="1" x14ac:dyDescent="0.3">
      <c r="K422" s="24"/>
      <c r="L422" s="24"/>
      <c r="M422" s="24"/>
    </row>
    <row r="423" spans="11:13" ht="12.75" customHeight="1" x14ac:dyDescent="0.3">
      <c r="K423" s="24"/>
      <c r="L423" s="24"/>
      <c r="M423" s="24"/>
    </row>
    <row r="424" spans="11:13" ht="12.75" customHeight="1" x14ac:dyDescent="0.3">
      <c r="K424" s="24"/>
      <c r="L424" s="24"/>
      <c r="M424" s="24"/>
    </row>
    <row r="425" spans="11:13" ht="12.75" customHeight="1" x14ac:dyDescent="0.3">
      <c r="K425" s="24"/>
      <c r="L425" s="24"/>
      <c r="M425" s="24"/>
    </row>
    <row r="426" spans="11:13" ht="12.75" customHeight="1" x14ac:dyDescent="0.3">
      <c r="K426" s="24"/>
      <c r="L426" s="24"/>
      <c r="M426" s="24"/>
    </row>
    <row r="427" spans="11:13" ht="12.75" customHeight="1" x14ac:dyDescent="0.3">
      <c r="K427" s="24"/>
      <c r="L427" s="24"/>
      <c r="M427" s="24"/>
    </row>
    <row r="428" spans="11:13" ht="12.75" customHeight="1" x14ac:dyDescent="0.3">
      <c r="K428" s="24"/>
      <c r="L428" s="24"/>
      <c r="M428" s="24"/>
    </row>
    <row r="429" spans="11:13" ht="12.75" customHeight="1" x14ac:dyDescent="0.3">
      <c r="K429" s="24"/>
      <c r="L429" s="24"/>
      <c r="M429" s="24"/>
    </row>
    <row r="430" spans="11:13" ht="12.75" customHeight="1" x14ac:dyDescent="0.3">
      <c r="K430" s="24"/>
      <c r="L430" s="24"/>
      <c r="M430" s="24"/>
    </row>
    <row r="431" spans="11:13" ht="12.75" customHeight="1" x14ac:dyDescent="0.3">
      <c r="K431" s="24"/>
      <c r="L431" s="24"/>
      <c r="M431" s="24"/>
    </row>
    <row r="432" spans="11:13" ht="12.75" customHeight="1" x14ac:dyDescent="0.3">
      <c r="K432" s="24"/>
      <c r="L432" s="24"/>
      <c r="M432" s="24"/>
    </row>
    <row r="433" spans="11:13" ht="12.75" customHeight="1" x14ac:dyDescent="0.3">
      <c r="K433" s="24"/>
      <c r="L433" s="24"/>
      <c r="M433" s="24"/>
    </row>
    <row r="434" spans="11:13" ht="12.75" customHeight="1" x14ac:dyDescent="0.3">
      <c r="K434" s="24"/>
      <c r="L434" s="24"/>
      <c r="M434" s="24"/>
    </row>
    <row r="435" spans="11:13" ht="12.75" customHeight="1" x14ac:dyDescent="0.3">
      <c r="K435" s="24"/>
      <c r="L435" s="24"/>
      <c r="M435" s="24"/>
    </row>
    <row r="436" spans="11:13" ht="12.75" customHeight="1" x14ac:dyDescent="0.3">
      <c r="K436" s="24"/>
      <c r="L436" s="24"/>
      <c r="M436" s="24"/>
    </row>
    <row r="437" spans="11:13" ht="12.75" customHeight="1" x14ac:dyDescent="0.3">
      <c r="K437" s="24"/>
      <c r="L437" s="24"/>
      <c r="M437" s="24"/>
    </row>
    <row r="438" spans="11:13" ht="12.75" customHeight="1" x14ac:dyDescent="0.3">
      <c r="K438" s="24"/>
      <c r="L438" s="24"/>
      <c r="M438" s="24"/>
    </row>
    <row r="439" spans="11:13" ht="12.75" customHeight="1" x14ac:dyDescent="0.3">
      <c r="K439" s="24"/>
      <c r="L439" s="24"/>
      <c r="M439" s="24"/>
    </row>
    <row r="440" spans="11:13" ht="12.75" customHeight="1" x14ac:dyDescent="0.3">
      <c r="K440" s="24"/>
      <c r="L440" s="24"/>
      <c r="M440" s="24"/>
    </row>
    <row r="441" spans="11:13" ht="12.75" customHeight="1" x14ac:dyDescent="0.3">
      <c r="K441" s="24"/>
      <c r="L441" s="24"/>
      <c r="M441" s="24"/>
    </row>
    <row r="442" spans="11:13" ht="12.75" customHeight="1" x14ac:dyDescent="0.3">
      <c r="K442" s="24"/>
      <c r="L442" s="24"/>
      <c r="M442" s="24"/>
    </row>
    <row r="443" spans="11:13" ht="12.75" customHeight="1" x14ac:dyDescent="0.3">
      <c r="K443" s="24"/>
      <c r="L443" s="24"/>
      <c r="M443" s="24"/>
    </row>
    <row r="444" spans="11:13" ht="12.75" customHeight="1" x14ac:dyDescent="0.3">
      <c r="K444" s="24"/>
      <c r="L444" s="24"/>
      <c r="M444" s="24"/>
    </row>
    <row r="445" spans="11:13" ht="12.75" customHeight="1" x14ac:dyDescent="0.3">
      <c r="K445" s="24"/>
      <c r="L445" s="24"/>
      <c r="M445" s="24"/>
    </row>
    <row r="446" spans="11:13" ht="12.75" customHeight="1" x14ac:dyDescent="0.3">
      <c r="K446" s="24"/>
      <c r="L446" s="24"/>
      <c r="M446" s="24"/>
    </row>
    <row r="447" spans="11:13" ht="12.75" customHeight="1" x14ac:dyDescent="0.3">
      <c r="K447" s="24"/>
      <c r="L447" s="24"/>
      <c r="M447" s="24"/>
    </row>
    <row r="448" spans="11:13" ht="12.75" customHeight="1" x14ac:dyDescent="0.3">
      <c r="K448" s="24"/>
      <c r="L448" s="24"/>
      <c r="M448" s="24"/>
    </row>
    <row r="449" spans="11:13" ht="12.75" customHeight="1" x14ac:dyDescent="0.3">
      <c r="K449" s="24"/>
      <c r="L449" s="24"/>
      <c r="M449" s="24"/>
    </row>
    <row r="450" spans="11:13" ht="12.75" customHeight="1" x14ac:dyDescent="0.3">
      <c r="K450" s="24"/>
      <c r="L450" s="24"/>
      <c r="M450" s="24"/>
    </row>
    <row r="451" spans="11:13" ht="12.75" customHeight="1" x14ac:dyDescent="0.3">
      <c r="K451" s="24"/>
      <c r="L451" s="24"/>
      <c r="M451" s="24"/>
    </row>
    <row r="452" spans="11:13" ht="12.75" customHeight="1" x14ac:dyDescent="0.3">
      <c r="K452" s="24"/>
      <c r="L452" s="24"/>
      <c r="M452" s="24"/>
    </row>
    <row r="453" spans="11:13" ht="12.75" customHeight="1" x14ac:dyDescent="0.3">
      <c r="K453" s="24"/>
      <c r="L453" s="24"/>
      <c r="M453" s="24"/>
    </row>
    <row r="454" spans="11:13" ht="12.75" customHeight="1" x14ac:dyDescent="0.3">
      <c r="K454" s="24"/>
      <c r="L454" s="24"/>
      <c r="M454" s="24"/>
    </row>
    <row r="455" spans="11:13" ht="12.75" customHeight="1" x14ac:dyDescent="0.3">
      <c r="K455" s="24"/>
      <c r="L455" s="24"/>
      <c r="M455" s="24"/>
    </row>
    <row r="456" spans="11:13" ht="12.75" customHeight="1" x14ac:dyDescent="0.3">
      <c r="K456" s="24"/>
      <c r="L456" s="24"/>
      <c r="M456" s="24"/>
    </row>
    <row r="457" spans="11:13" ht="12.75" customHeight="1" x14ac:dyDescent="0.3">
      <c r="K457" s="24"/>
      <c r="L457" s="24"/>
      <c r="M457" s="24"/>
    </row>
    <row r="458" spans="11:13" ht="12.75" customHeight="1" x14ac:dyDescent="0.3">
      <c r="K458" s="24"/>
      <c r="L458" s="24"/>
      <c r="M458" s="24"/>
    </row>
    <row r="459" spans="11:13" ht="12.75" customHeight="1" x14ac:dyDescent="0.3">
      <c r="K459" s="24"/>
      <c r="L459" s="24"/>
      <c r="M459" s="24"/>
    </row>
    <row r="460" spans="11:13" ht="12.75" customHeight="1" x14ac:dyDescent="0.3">
      <c r="K460" s="24"/>
      <c r="L460" s="24"/>
      <c r="M460" s="24"/>
    </row>
    <row r="461" spans="11:13" ht="12.75" customHeight="1" x14ac:dyDescent="0.3">
      <c r="K461" s="24"/>
      <c r="L461" s="24"/>
      <c r="M461" s="24"/>
    </row>
    <row r="462" spans="11:13" ht="12.75" customHeight="1" x14ac:dyDescent="0.3">
      <c r="K462" s="24"/>
      <c r="L462" s="24"/>
      <c r="M462" s="24"/>
    </row>
    <row r="463" spans="11:13" ht="12.75" customHeight="1" x14ac:dyDescent="0.3">
      <c r="K463" s="24"/>
      <c r="L463" s="24"/>
      <c r="M463" s="24"/>
    </row>
    <row r="464" spans="11:13" ht="12.75" customHeight="1" x14ac:dyDescent="0.3">
      <c r="K464" s="24"/>
      <c r="L464" s="24"/>
      <c r="M464" s="24"/>
    </row>
    <row r="465" spans="11:13" ht="12.75" customHeight="1" x14ac:dyDescent="0.3">
      <c r="K465" s="24"/>
      <c r="L465" s="24"/>
      <c r="M465" s="24"/>
    </row>
    <row r="466" spans="11:13" ht="12.75" customHeight="1" x14ac:dyDescent="0.3">
      <c r="K466" s="24"/>
      <c r="L466" s="24"/>
      <c r="M466" s="24"/>
    </row>
    <row r="467" spans="11:13" ht="12.75" customHeight="1" x14ac:dyDescent="0.3">
      <c r="K467" s="24"/>
      <c r="L467" s="24"/>
      <c r="M467" s="24"/>
    </row>
    <row r="468" spans="11:13" ht="12.75" customHeight="1" x14ac:dyDescent="0.3">
      <c r="K468" s="24"/>
      <c r="L468" s="24"/>
      <c r="M468" s="24"/>
    </row>
    <row r="469" spans="11:13" ht="12.75" customHeight="1" x14ac:dyDescent="0.3">
      <c r="K469" s="24"/>
      <c r="L469" s="24"/>
      <c r="M469" s="24"/>
    </row>
    <row r="470" spans="11:13" ht="12.75" customHeight="1" x14ac:dyDescent="0.3">
      <c r="K470" s="24"/>
      <c r="L470" s="24"/>
      <c r="M470" s="24"/>
    </row>
    <row r="471" spans="11:13" ht="12.75" customHeight="1" x14ac:dyDescent="0.3">
      <c r="K471" s="24"/>
      <c r="L471" s="24"/>
      <c r="M471" s="24"/>
    </row>
    <row r="472" spans="11:13" ht="12.75" customHeight="1" x14ac:dyDescent="0.3">
      <c r="K472" s="24"/>
      <c r="L472" s="24"/>
      <c r="M472" s="24"/>
    </row>
    <row r="473" spans="11:13" ht="12.75" customHeight="1" x14ac:dyDescent="0.3">
      <c r="K473" s="24"/>
      <c r="L473" s="24"/>
      <c r="M473" s="24"/>
    </row>
    <row r="474" spans="11:13" ht="12.75" customHeight="1" x14ac:dyDescent="0.3">
      <c r="K474" s="24"/>
      <c r="L474" s="24"/>
      <c r="M474" s="24"/>
    </row>
    <row r="475" spans="11:13" ht="12.75" customHeight="1" x14ac:dyDescent="0.3">
      <c r="K475" s="24"/>
      <c r="L475" s="24"/>
      <c r="M475" s="24"/>
    </row>
    <row r="476" spans="11:13" ht="12.75" customHeight="1" x14ac:dyDescent="0.3">
      <c r="K476" s="24"/>
      <c r="L476" s="24"/>
      <c r="M476" s="24"/>
    </row>
    <row r="477" spans="11:13" ht="12.75" customHeight="1" x14ac:dyDescent="0.3">
      <c r="K477" s="24"/>
      <c r="L477" s="24"/>
      <c r="M477" s="24"/>
    </row>
    <row r="478" spans="11:13" ht="12.75" customHeight="1" x14ac:dyDescent="0.3">
      <c r="K478" s="24"/>
      <c r="L478" s="24"/>
      <c r="M478" s="24"/>
    </row>
    <row r="479" spans="11:13" ht="12.75" customHeight="1" x14ac:dyDescent="0.3">
      <c r="K479" s="24"/>
      <c r="L479" s="24"/>
      <c r="M479" s="24"/>
    </row>
    <row r="480" spans="11:13" ht="12.75" customHeight="1" x14ac:dyDescent="0.3">
      <c r="K480" s="24"/>
      <c r="L480" s="24"/>
      <c r="M480" s="24"/>
    </row>
    <row r="481" spans="11:13" ht="12.75" customHeight="1" x14ac:dyDescent="0.3">
      <c r="K481" s="24"/>
      <c r="L481" s="24"/>
      <c r="M481" s="24"/>
    </row>
    <row r="482" spans="11:13" ht="12.75" customHeight="1" x14ac:dyDescent="0.3">
      <c r="K482" s="24"/>
      <c r="L482" s="24"/>
      <c r="M482" s="24"/>
    </row>
    <row r="483" spans="11:13" ht="12.75" customHeight="1" x14ac:dyDescent="0.3">
      <c r="K483" s="24"/>
      <c r="L483" s="24"/>
      <c r="M483" s="24"/>
    </row>
    <row r="484" spans="11:13" ht="12.75" customHeight="1" x14ac:dyDescent="0.3">
      <c r="K484" s="24"/>
      <c r="L484" s="24"/>
      <c r="M484" s="24"/>
    </row>
    <row r="485" spans="11:13" ht="12.75" customHeight="1" x14ac:dyDescent="0.3">
      <c r="K485" s="24"/>
      <c r="L485" s="24"/>
      <c r="M485" s="24"/>
    </row>
    <row r="486" spans="11:13" ht="12.75" customHeight="1" x14ac:dyDescent="0.3">
      <c r="K486" s="24"/>
      <c r="L486" s="24"/>
      <c r="M486" s="24"/>
    </row>
    <row r="487" spans="11:13" ht="12.75" customHeight="1" x14ac:dyDescent="0.3">
      <c r="K487" s="24"/>
      <c r="L487" s="24"/>
      <c r="M487" s="24"/>
    </row>
    <row r="488" spans="11:13" ht="12.75" customHeight="1" x14ac:dyDescent="0.3">
      <c r="K488" s="24"/>
      <c r="L488" s="24"/>
      <c r="M488" s="24"/>
    </row>
    <row r="489" spans="11:13" ht="12.75" customHeight="1" x14ac:dyDescent="0.3">
      <c r="K489" s="24"/>
      <c r="L489" s="24"/>
      <c r="M489" s="24"/>
    </row>
    <row r="490" spans="11:13" ht="12.75" customHeight="1" x14ac:dyDescent="0.3">
      <c r="K490" s="24"/>
      <c r="L490" s="24"/>
      <c r="M490" s="24"/>
    </row>
    <row r="491" spans="11:13" ht="12.75" customHeight="1" x14ac:dyDescent="0.3">
      <c r="K491" s="24"/>
      <c r="L491" s="24"/>
      <c r="M491" s="24"/>
    </row>
    <row r="492" spans="11:13" ht="12.75" customHeight="1" x14ac:dyDescent="0.3">
      <c r="K492" s="24"/>
      <c r="L492" s="24"/>
      <c r="M492" s="24"/>
    </row>
    <row r="493" spans="11:13" ht="12.75" customHeight="1" x14ac:dyDescent="0.3">
      <c r="K493" s="24"/>
      <c r="L493" s="24"/>
      <c r="M493" s="24"/>
    </row>
    <row r="494" spans="11:13" ht="12.75" customHeight="1" x14ac:dyDescent="0.3">
      <c r="K494" s="24"/>
      <c r="L494" s="24"/>
      <c r="M494" s="24"/>
    </row>
    <row r="495" spans="11:13" ht="12.75" customHeight="1" x14ac:dyDescent="0.3">
      <c r="K495" s="24"/>
      <c r="L495" s="24"/>
      <c r="M495" s="24"/>
    </row>
    <row r="496" spans="11:13" ht="12.75" customHeight="1" x14ac:dyDescent="0.3">
      <c r="K496" s="24"/>
      <c r="L496" s="24"/>
      <c r="M496" s="24"/>
    </row>
    <row r="497" spans="11:13" ht="12.75" customHeight="1" x14ac:dyDescent="0.3">
      <c r="K497" s="24"/>
      <c r="L497" s="24"/>
      <c r="M497" s="24"/>
    </row>
    <row r="498" spans="11:13" ht="12.75" customHeight="1" x14ac:dyDescent="0.3">
      <c r="K498" s="24"/>
      <c r="L498" s="24"/>
      <c r="M498" s="24"/>
    </row>
    <row r="499" spans="11:13" ht="12.75" customHeight="1" x14ac:dyDescent="0.3">
      <c r="K499" s="24"/>
      <c r="L499" s="24"/>
      <c r="M499" s="24"/>
    </row>
    <row r="500" spans="11:13" ht="12.75" customHeight="1" x14ac:dyDescent="0.3">
      <c r="K500" s="24"/>
      <c r="L500" s="24"/>
      <c r="M500" s="24"/>
    </row>
    <row r="501" spans="11:13" ht="12.75" customHeight="1" x14ac:dyDescent="0.3">
      <c r="K501" s="24"/>
      <c r="L501" s="24"/>
      <c r="M501" s="24"/>
    </row>
    <row r="502" spans="11:13" ht="12.75" customHeight="1" x14ac:dyDescent="0.3">
      <c r="K502" s="24"/>
      <c r="L502" s="24"/>
      <c r="M502" s="24"/>
    </row>
    <row r="503" spans="11:13" ht="12.75" customHeight="1" x14ac:dyDescent="0.3">
      <c r="K503" s="24"/>
      <c r="L503" s="24"/>
      <c r="M503" s="24"/>
    </row>
    <row r="504" spans="11:13" ht="12.75" customHeight="1" x14ac:dyDescent="0.3">
      <c r="K504" s="24"/>
      <c r="L504" s="24"/>
      <c r="M504" s="24"/>
    </row>
    <row r="505" spans="11:13" ht="12.75" customHeight="1" x14ac:dyDescent="0.3">
      <c r="K505" s="24"/>
      <c r="L505" s="24"/>
      <c r="M505" s="24"/>
    </row>
    <row r="506" spans="11:13" ht="12.75" customHeight="1" x14ac:dyDescent="0.3">
      <c r="K506" s="24"/>
      <c r="L506" s="24"/>
      <c r="M506" s="24"/>
    </row>
    <row r="507" spans="11:13" ht="12.75" customHeight="1" x14ac:dyDescent="0.3">
      <c r="K507" s="24"/>
      <c r="L507" s="24"/>
      <c r="M507" s="24"/>
    </row>
    <row r="508" spans="11:13" ht="12.75" customHeight="1" x14ac:dyDescent="0.3">
      <c r="K508" s="24"/>
      <c r="L508" s="24"/>
      <c r="M508" s="24"/>
    </row>
    <row r="509" spans="11:13" ht="12.75" customHeight="1" x14ac:dyDescent="0.3">
      <c r="K509" s="24"/>
      <c r="L509" s="24"/>
      <c r="M509" s="24"/>
    </row>
    <row r="510" spans="11:13" ht="12.75" customHeight="1" x14ac:dyDescent="0.3">
      <c r="K510" s="24"/>
      <c r="L510" s="24"/>
      <c r="M510" s="24"/>
    </row>
    <row r="511" spans="11:13" ht="12.75" customHeight="1" x14ac:dyDescent="0.3">
      <c r="K511" s="24"/>
      <c r="L511" s="24"/>
      <c r="M511" s="24"/>
    </row>
    <row r="512" spans="11:13" ht="12.75" customHeight="1" x14ac:dyDescent="0.3">
      <c r="K512" s="24"/>
      <c r="L512" s="24"/>
      <c r="M512" s="24"/>
    </row>
    <row r="513" spans="11:13" ht="12.75" customHeight="1" x14ac:dyDescent="0.3">
      <c r="K513" s="24"/>
      <c r="L513" s="24"/>
      <c r="M513" s="24"/>
    </row>
    <row r="514" spans="11:13" ht="12.75" customHeight="1" x14ac:dyDescent="0.3">
      <c r="K514" s="24"/>
      <c r="L514" s="24"/>
      <c r="M514" s="24"/>
    </row>
    <row r="515" spans="11:13" ht="12.75" customHeight="1" x14ac:dyDescent="0.3">
      <c r="K515" s="24"/>
      <c r="L515" s="24"/>
      <c r="M515" s="24"/>
    </row>
    <row r="516" spans="11:13" ht="12.75" customHeight="1" x14ac:dyDescent="0.3">
      <c r="K516" s="24"/>
      <c r="L516" s="24"/>
      <c r="M516" s="24"/>
    </row>
    <row r="517" spans="11:13" ht="12.75" customHeight="1" x14ac:dyDescent="0.3">
      <c r="K517" s="24"/>
      <c r="L517" s="24"/>
      <c r="M517" s="24"/>
    </row>
    <row r="518" spans="11:13" ht="12.75" customHeight="1" x14ac:dyDescent="0.3">
      <c r="K518" s="24"/>
      <c r="L518" s="24"/>
      <c r="M518" s="24"/>
    </row>
    <row r="519" spans="11:13" ht="12.75" customHeight="1" x14ac:dyDescent="0.3">
      <c r="K519" s="24"/>
      <c r="L519" s="24"/>
      <c r="M519" s="24"/>
    </row>
    <row r="520" spans="11:13" ht="12.75" customHeight="1" x14ac:dyDescent="0.3">
      <c r="K520" s="24"/>
      <c r="L520" s="24"/>
      <c r="M520" s="24"/>
    </row>
    <row r="521" spans="11:13" ht="12.75" customHeight="1" x14ac:dyDescent="0.3">
      <c r="K521" s="24"/>
      <c r="L521" s="24"/>
      <c r="M521" s="24"/>
    </row>
    <row r="522" spans="11:13" ht="12.75" customHeight="1" x14ac:dyDescent="0.3">
      <c r="K522" s="24"/>
      <c r="L522" s="24"/>
      <c r="M522" s="24"/>
    </row>
    <row r="523" spans="11:13" ht="12.75" customHeight="1" x14ac:dyDescent="0.3">
      <c r="K523" s="24"/>
      <c r="L523" s="24"/>
      <c r="M523" s="24"/>
    </row>
    <row r="524" spans="11:13" ht="12.75" customHeight="1" x14ac:dyDescent="0.3">
      <c r="K524" s="24"/>
      <c r="L524" s="24"/>
      <c r="M524" s="24"/>
    </row>
    <row r="525" spans="11:13" ht="12.75" customHeight="1" x14ac:dyDescent="0.3">
      <c r="K525" s="24"/>
      <c r="L525" s="24"/>
      <c r="M525" s="24"/>
    </row>
    <row r="526" spans="11:13" ht="12.75" customHeight="1" x14ac:dyDescent="0.3">
      <c r="K526" s="24"/>
      <c r="L526" s="24"/>
      <c r="M526" s="24"/>
    </row>
    <row r="527" spans="11:13" ht="12.75" customHeight="1" x14ac:dyDescent="0.3">
      <c r="K527" s="24"/>
      <c r="L527" s="24"/>
      <c r="M527" s="24"/>
    </row>
    <row r="528" spans="11:13" ht="12.75" customHeight="1" x14ac:dyDescent="0.3">
      <c r="K528" s="24"/>
      <c r="L528" s="24"/>
      <c r="M528" s="24"/>
    </row>
    <row r="529" spans="11:13" ht="12.75" customHeight="1" x14ac:dyDescent="0.3">
      <c r="K529" s="24"/>
      <c r="L529" s="24"/>
      <c r="M529" s="24"/>
    </row>
    <row r="530" spans="11:13" ht="12.75" customHeight="1" x14ac:dyDescent="0.3">
      <c r="K530" s="24"/>
      <c r="L530" s="24"/>
      <c r="M530" s="24"/>
    </row>
    <row r="531" spans="11:13" ht="12.75" customHeight="1" x14ac:dyDescent="0.3">
      <c r="K531" s="24"/>
      <c r="L531" s="24"/>
      <c r="M531" s="24"/>
    </row>
    <row r="532" spans="11:13" ht="12.75" customHeight="1" x14ac:dyDescent="0.3">
      <c r="K532" s="24"/>
      <c r="L532" s="24"/>
      <c r="M532" s="24"/>
    </row>
    <row r="533" spans="11:13" ht="12.75" customHeight="1" x14ac:dyDescent="0.3">
      <c r="K533" s="24"/>
      <c r="L533" s="24"/>
      <c r="M533" s="24"/>
    </row>
    <row r="534" spans="11:13" ht="12.75" customHeight="1" x14ac:dyDescent="0.3">
      <c r="K534" s="24"/>
      <c r="L534" s="24"/>
      <c r="M534" s="24"/>
    </row>
    <row r="535" spans="11:13" ht="12.75" customHeight="1" x14ac:dyDescent="0.3">
      <c r="K535" s="24"/>
      <c r="L535" s="24"/>
      <c r="M535" s="24"/>
    </row>
    <row r="536" spans="11:13" ht="12.75" customHeight="1" x14ac:dyDescent="0.3">
      <c r="K536" s="24"/>
      <c r="L536" s="24"/>
      <c r="M536" s="24"/>
    </row>
    <row r="537" spans="11:13" ht="12.75" customHeight="1" x14ac:dyDescent="0.3">
      <c r="K537" s="24"/>
      <c r="L537" s="24"/>
      <c r="M537" s="24"/>
    </row>
    <row r="538" spans="11:13" ht="12.75" customHeight="1" x14ac:dyDescent="0.3">
      <c r="K538" s="24"/>
      <c r="L538" s="24"/>
      <c r="M538" s="24"/>
    </row>
    <row r="539" spans="11:13" ht="12.75" customHeight="1" x14ac:dyDescent="0.3">
      <c r="K539" s="24"/>
      <c r="L539" s="24"/>
      <c r="M539" s="24"/>
    </row>
    <row r="540" spans="11:13" ht="12.75" customHeight="1" x14ac:dyDescent="0.3">
      <c r="K540" s="24"/>
      <c r="L540" s="24"/>
      <c r="M540" s="24"/>
    </row>
    <row r="541" spans="11:13" ht="12.75" customHeight="1" x14ac:dyDescent="0.3">
      <c r="K541" s="24"/>
      <c r="L541" s="24"/>
      <c r="M541" s="24"/>
    </row>
    <row r="542" spans="11:13" ht="12.75" customHeight="1" x14ac:dyDescent="0.3">
      <c r="K542" s="24"/>
      <c r="L542" s="24"/>
      <c r="M542" s="24"/>
    </row>
    <row r="543" spans="11:13" ht="12.75" customHeight="1" x14ac:dyDescent="0.3">
      <c r="K543" s="24"/>
      <c r="L543" s="24"/>
      <c r="M543" s="24"/>
    </row>
    <row r="544" spans="11:13" ht="12.75" customHeight="1" x14ac:dyDescent="0.3">
      <c r="K544" s="24"/>
      <c r="L544" s="24"/>
      <c r="M544" s="24"/>
    </row>
    <row r="545" spans="11:13" ht="12.75" customHeight="1" x14ac:dyDescent="0.3">
      <c r="K545" s="24"/>
      <c r="L545" s="24"/>
      <c r="M545" s="24"/>
    </row>
    <row r="546" spans="11:13" ht="12.75" customHeight="1" x14ac:dyDescent="0.3">
      <c r="K546" s="24"/>
      <c r="L546" s="24"/>
      <c r="M546" s="24"/>
    </row>
    <row r="547" spans="11:13" ht="12.75" customHeight="1" x14ac:dyDescent="0.3">
      <c r="K547" s="24"/>
      <c r="L547" s="24"/>
      <c r="M547" s="24"/>
    </row>
    <row r="548" spans="11:13" ht="12.75" customHeight="1" x14ac:dyDescent="0.3">
      <c r="K548" s="24"/>
      <c r="L548" s="24"/>
      <c r="M548" s="24"/>
    </row>
    <row r="549" spans="11:13" ht="12.75" customHeight="1" x14ac:dyDescent="0.3">
      <c r="K549" s="24"/>
      <c r="L549" s="24"/>
      <c r="M549" s="24"/>
    </row>
    <row r="550" spans="11:13" ht="12.75" customHeight="1" x14ac:dyDescent="0.3">
      <c r="K550" s="24"/>
      <c r="L550" s="24"/>
      <c r="M550" s="24"/>
    </row>
    <row r="551" spans="11:13" ht="12.75" customHeight="1" x14ac:dyDescent="0.3">
      <c r="K551" s="24"/>
      <c r="L551" s="24"/>
      <c r="M551" s="24"/>
    </row>
    <row r="552" spans="11:13" ht="12.75" customHeight="1" x14ac:dyDescent="0.3">
      <c r="K552" s="24"/>
      <c r="L552" s="24"/>
      <c r="M552" s="24"/>
    </row>
    <row r="553" spans="11:13" ht="12.75" customHeight="1" x14ac:dyDescent="0.3">
      <c r="K553" s="24"/>
      <c r="L553" s="24"/>
      <c r="M553" s="24"/>
    </row>
    <row r="554" spans="11:13" ht="12.75" customHeight="1" x14ac:dyDescent="0.3">
      <c r="K554" s="24"/>
      <c r="L554" s="24"/>
      <c r="M554" s="24"/>
    </row>
    <row r="555" spans="11:13" ht="12.75" customHeight="1" x14ac:dyDescent="0.3">
      <c r="K555" s="24"/>
      <c r="L555" s="24"/>
      <c r="M555" s="24"/>
    </row>
    <row r="556" spans="11:13" ht="12.75" customHeight="1" x14ac:dyDescent="0.3">
      <c r="K556" s="24"/>
      <c r="L556" s="24"/>
      <c r="M556" s="24"/>
    </row>
    <row r="557" spans="11:13" ht="12.75" customHeight="1" x14ac:dyDescent="0.3">
      <c r="K557" s="24"/>
      <c r="L557" s="24"/>
      <c r="M557" s="24"/>
    </row>
    <row r="558" spans="11:13" ht="12.75" customHeight="1" x14ac:dyDescent="0.3">
      <c r="K558" s="24"/>
      <c r="L558" s="24"/>
      <c r="M558" s="24"/>
    </row>
    <row r="559" spans="11:13" ht="12.75" customHeight="1" x14ac:dyDescent="0.3">
      <c r="K559" s="24"/>
      <c r="L559" s="24"/>
      <c r="M559" s="24"/>
    </row>
    <row r="560" spans="11:13" ht="12.75" customHeight="1" x14ac:dyDescent="0.3">
      <c r="K560" s="24"/>
      <c r="L560" s="24"/>
      <c r="M560" s="24"/>
    </row>
    <row r="561" spans="11:13" ht="12.75" customHeight="1" x14ac:dyDescent="0.3">
      <c r="K561" s="24"/>
      <c r="L561" s="24"/>
      <c r="M561" s="24"/>
    </row>
    <row r="562" spans="11:13" ht="12.75" customHeight="1" x14ac:dyDescent="0.3">
      <c r="K562" s="24"/>
      <c r="L562" s="24"/>
      <c r="M562" s="24"/>
    </row>
    <row r="563" spans="11:13" ht="12.75" customHeight="1" x14ac:dyDescent="0.3">
      <c r="K563" s="24"/>
      <c r="L563" s="24"/>
      <c r="M563" s="24"/>
    </row>
    <row r="564" spans="11:13" ht="12.75" customHeight="1" x14ac:dyDescent="0.3">
      <c r="K564" s="24"/>
      <c r="L564" s="24"/>
      <c r="M564" s="24"/>
    </row>
    <row r="565" spans="11:13" ht="12.75" customHeight="1" x14ac:dyDescent="0.3">
      <c r="K565" s="24"/>
      <c r="L565" s="24"/>
      <c r="M565" s="24"/>
    </row>
    <row r="566" spans="11:13" ht="12.75" customHeight="1" x14ac:dyDescent="0.3">
      <c r="K566" s="24"/>
      <c r="L566" s="24"/>
      <c r="M566" s="24"/>
    </row>
    <row r="567" spans="11:13" ht="12.75" customHeight="1" x14ac:dyDescent="0.3">
      <c r="K567" s="24"/>
      <c r="L567" s="24"/>
      <c r="M567" s="24"/>
    </row>
    <row r="568" spans="11:13" ht="12.75" customHeight="1" x14ac:dyDescent="0.3">
      <c r="K568" s="24"/>
      <c r="L568" s="24"/>
      <c r="M568" s="24"/>
    </row>
    <row r="569" spans="11:13" ht="12.75" customHeight="1" x14ac:dyDescent="0.3">
      <c r="K569" s="24"/>
      <c r="L569" s="24"/>
      <c r="M569" s="24"/>
    </row>
    <row r="570" spans="11:13" ht="12.75" customHeight="1" x14ac:dyDescent="0.3">
      <c r="K570" s="24"/>
      <c r="L570" s="24"/>
      <c r="M570" s="24"/>
    </row>
    <row r="571" spans="11:13" ht="12.75" customHeight="1" x14ac:dyDescent="0.3">
      <c r="K571" s="24"/>
      <c r="L571" s="24"/>
      <c r="M571" s="24"/>
    </row>
    <row r="572" spans="11:13" ht="12.75" customHeight="1" x14ac:dyDescent="0.3">
      <c r="K572" s="24"/>
      <c r="L572" s="24"/>
      <c r="M572" s="24"/>
    </row>
    <row r="573" spans="11:13" ht="12.75" customHeight="1" x14ac:dyDescent="0.3">
      <c r="K573" s="24"/>
      <c r="L573" s="24"/>
      <c r="M573" s="24"/>
    </row>
    <row r="574" spans="11:13" ht="12.75" customHeight="1" x14ac:dyDescent="0.3">
      <c r="K574" s="24"/>
      <c r="L574" s="24"/>
      <c r="M574" s="24"/>
    </row>
    <row r="575" spans="11:13" ht="12.75" customHeight="1" x14ac:dyDescent="0.3">
      <c r="K575" s="24"/>
      <c r="L575" s="24"/>
      <c r="M575" s="24"/>
    </row>
    <row r="576" spans="11:13" ht="12.75" customHeight="1" x14ac:dyDescent="0.3">
      <c r="K576" s="24"/>
      <c r="L576" s="24"/>
      <c r="M576" s="24"/>
    </row>
    <row r="577" spans="11:13" ht="12.75" customHeight="1" x14ac:dyDescent="0.3">
      <c r="K577" s="24"/>
      <c r="L577" s="24"/>
      <c r="M577" s="24"/>
    </row>
    <row r="578" spans="11:13" ht="12.75" customHeight="1" x14ac:dyDescent="0.3">
      <c r="K578" s="24"/>
      <c r="L578" s="24"/>
      <c r="M578" s="24"/>
    </row>
    <row r="579" spans="11:13" ht="12.75" customHeight="1" x14ac:dyDescent="0.3">
      <c r="K579" s="24"/>
      <c r="L579" s="24"/>
      <c r="M579" s="24"/>
    </row>
    <row r="580" spans="11:13" ht="12.75" customHeight="1" x14ac:dyDescent="0.3">
      <c r="K580" s="24"/>
      <c r="L580" s="24"/>
      <c r="M580" s="24"/>
    </row>
    <row r="581" spans="11:13" ht="12.75" customHeight="1" x14ac:dyDescent="0.3">
      <c r="K581" s="24"/>
      <c r="L581" s="24"/>
      <c r="M581" s="24"/>
    </row>
    <row r="582" spans="11:13" ht="12.75" customHeight="1" x14ac:dyDescent="0.3">
      <c r="K582" s="24"/>
      <c r="L582" s="24"/>
      <c r="M582" s="24"/>
    </row>
    <row r="583" spans="11:13" ht="12.75" customHeight="1" x14ac:dyDescent="0.3">
      <c r="K583" s="24"/>
      <c r="L583" s="24"/>
      <c r="M583" s="24"/>
    </row>
    <row r="584" spans="11:13" ht="12.75" customHeight="1" x14ac:dyDescent="0.3">
      <c r="K584" s="24"/>
      <c r="L584" s="24"/>
      <c r="M584" s="24"/>
    </row>
    <row r="585" spans="11:13" ht="12.75" customHeight="1" x14ac:dyDescent="0.3">
      <c r="K585" s="24"/>
      <c r="L585" s="24"/>
      <c r="M585" s="24"/>
    </row>
    <row r="586" spans="11:13" ht="12.75" customHeight="1" x14ac:dyDescent="0.3">
      <c r="K586" s="24"/>
      <c r="L586" s="24"/>
      <c r="M586" s="24"/>
    </row>
    <row r="587" spans="11:13" ht="12.75" customHeight="1" x14ac:dyDescent="0.3">
      <c r="K587" s="24"/>
      <c r="L587" s="24"/>
      <c r="M587" s="24"/>
    </row>
    <row r="588" spans="11:13" ht="12.75" customHeight="1" x14ac:dyDescent="0.3">
      <c r="K588" s="24"/>
      <c r="L588" s="24"/>
      <c r="M588" s="24"/>
    </row>
    <row r="589" spans="11:13" ht="12.75" customHeight="1" x14ac:dyDescent="0.3">
      <c r="K589" s="24"/>
      <c r="L589" s="24"/>
      <c r="M589" s="24"/>
    </row>
    <row r="590" spans="11:13" ht="12.75" customHeight="1" x14ac:dyDescent="0.3">
      <c r="K590" s="24"/>
      <c r="L590" s="24"/>
      <c r="M590" s="24"/>
    </row>
    <row r="591" spans="11:13" ht="12.75" customHeight="1" x14ac:dyDescent="0.3">
      <c r="K591" s="24"/>
      <c r="L591" s="24"/>
      <c r="M591" s="24"/>
    </row>
    <row r="592" spans="11:13" ht="12.75" customHeight="1" x14ac:dyDescent="0.3">
      <c r="K592" s="24"/>
      <c r="L592" s="24"/>
      <c r="M592" s="24"/>
    </row>
    <row r="593" spans="11:13" ht="12.75" customHeight="1" x14ac:dyDescent="0.3">
      <c r="K593" s="24"/>
      <c r="L593" s="24"/>
      <c r="M593" s="24"/>
    </row>
    <row r="594" spans="11:13" ht="12.75" customHeight="1" x14ac:dyDescent="0.3">
      <c r="K594" s="24"/>
      <c r="L594" s="24"/>
      <c r="M594" s="24"/>
    </row>
    <row r="595" spans="11:13" ht="12.75" customHeight="1" x14ac:dyDescent="0.3">
      <c r="K595" s="24"/>
      <c r="L595" s="24"/>
      <c r="M595" s="24"/>
    </row>
    <row r="596" spans="11:13" ht="12.75" customHeight="1" x14ac:dyDescent="0.3">
      <c r="K596" s="24"/>
      <c r="L596" s="24"/>
      <c r="M596" s="24"/>
    </row>
    <row r="597" spans="11:13" ht="12.75" customHeight="1" x14ac:dyDescent="0.3">
      <c r="K597" s="24"/>
      <c r="L597" s="24"/>
      <c r="M597" s="24"/>
    </row>
    <row r="598" spans="11:13" ht="12.75" customHeight="1" x14ac:dyDescent="0.3">
      <c r="K598" s="24"/>
      <c r="L598" s="24"/>
      <c r="M598" s="24"/>
    </row>
    <row r="599" spans="11:13" ht="12.75" customHeight="1" x14ac:dyDescent="0.3">
      <c r="K599" s="24"/>
      <c r="L599" s="24"/>
      <c r="M599" s="24"/>
    </row>
    <row r="600" spans="11:13" ht="12.75" customHeight="1" x14ac:dyDescent="0.3">
      <c r="K600" s="24"/>
      <c r="L600" s="24"/>
      <c r="M600" s="24"/>
    </row>
    <row r="601" spans="11:13" ht="12.75" customHeight="1" x14ac:dyDescent="0.3">
      <c r="K601" s="24"/>
      <c r="L601" s="24"/>
      <c r="M601" s="24"/>
    </row>
    <row r="602" spans="11:13" ht="12.75" customHeight="1" x14ac:dyDescent="0.3">
      <c r="K602" s="24"/>
      <c r="L602" s="24"/>
      <c r="M602" s="24"/>
    </row>
    <row r="603" spans="11:13" ht="12.75" customHeight="1" x14ac:dyDescent="0.3">
      <c r="K603" s="24"/>
      <c r="L603" s="24"/>
      <c r="M603" s="24"/>
    </row>
    <row r="604" spans="11:13" ht="12.75" customHeight="1" x14ac:dyDescent="0.3">
      <c r="K604" s="24"/>
      <c r="L604" s="24"/>
      <c r="M604" s="24"/>
    </row>
    <row r="605" spans="11:13" ht="12.75" customHeight="1" x14ac:dyDescent="0.3">
      <c r="K605" s="24"/>
      <c r="L605" s="24"/>
      <c r="M605" s="24"/>
    </row>
    <row r="606" spans="11:13" ht="12.75" customHeight="1" x14ac:dyDescent="0.3">
      <c r="K606" s="24"/>
      <c r="L606" s="24"/>
      <c r="M606" s="24"/>
    </row>
    <row r="607" spans="11:13" ht="12.75" customHeight="1" x14ac:dyDescent="0.3">
      <c r="K607" s="24"/>
      <c r="L607" s="24"/>
      <c r="M607" s="24"/>
    </row>
    <row r="608" spans="11:13" ht="12.75" customHeight="1" x14ac:dyDescent="0.3">
      <c r="K608" s="24"/>
      <c r="L608" s="24"/>
      <c r="M608" s="24"/>
    </row>
    <row r="609" spans="11:13" ht="12.75" customHeight="1" x14ac:dyDescent="0.3">
      <c r="K609" s="24"/>
      <c r="L609" s="24"/>
      <c r="M609" s="24"/>
    </row>
    <row r="610" spans="11:13" ht="12.75" customHeight="1" x14ac:dyDescent="0.3">
      <c r="K610" s="24"/>
      <c r="L610" s="24"/>
      <c r="M610" s="24"/>
    </row>
    <row r="611" spans="11:13" ht="12.75" customHeight="1" x14ac:dyDescent="0.3">
      <c r="K611" s="24"/>
      <c r="L611" s="24"/>
      <c r="M611" s="24"/>
    </row>
    <row r="612" spans="11:13" ht="12.75" customHeight="1" x14ac:dyDescent="0.3">
      <c r="K612" s="24"/>
      <c r="L612" s="24"/>
      <c r="M612" s="24"/>
    </row>
    <row r="613" spans="11:13" ht="12.75" customHeight="1" x14ac:dyDescent="0.3">
      <c r="K613" s="24"/>
      <c r="L613" s="24"/>
      <c r="M613" s="24"/>
    </row>
    <row r="614" spans="11:13" ht="12.75" customHeight="1" x14ac:dyDescent="0.3">
      <c r="K614" s="24"/>
      <c r="L614" s="24"/>
      <c r="M614" s="24"/>
    </row>
    <row r="615" spans="11:13" ht="12.75" customHeight="1" x14ac:dyDescent="0.3">
      <c r="K615" s="24"/>
      <c r="L615" s="24"/>
      <c r="M615" s="24"/>
    </row>
    <row r="616" spans="11:13" ht="12.75" customHeight="1" x14ac:dyDescent="0.3">
      <c r="K616" s="24"/>
      <c r="L616" s="24"/>
      <c r="M616" s="24"/>
    </row>
    <row r="617" spans="11:13" ht="12.75" customHeight="1" x14ac:dyDescent="0.3">
      <c r="K617" s="24"/>
      <c r="L617" s="24"/>
      <c r="M617" s="24"/>
    </row>
    <row r="618" spans="11:13" ht="12.75" customHeight="1" x14ac:dyDescent="0.3">
      <c r="K618" s="24"/>
      <c r="L618" s="24"/>
      <c r="M618" s="24"/>
    </row>
    <row r="619" spans="11:13" ht="12.75" customHeight="1" x14ac:dyDescent="0.3">
      <c r="K619" s="24"/>
      <c r="L619" s="24"/>
      <c r="M619" s="24"/>
    </row>
    <row r="620" spans="11:13" ht="12.75" customHeight="1" x14ac:dyDescent="0.3">
      <c r="K620" s="24"/>
      <c r="L620" s="24"/>
      <c r="M620" s="24"/>
    </row>
    <row r="621" spans="11:13" ht="12.75" customHeight="1" x14ac:dyDescent="0.3">
      <c r="K621" s="24"/>
      <c r="L621" s="24"/>
      <c r="M621" s="24"/>
    </row>
    <row r="622" spans="11:13" ht="12.75" customHeight="1" x14ac:dyDescent="0.3">
      <c r="K622" s="24"/>
      <c r="L622" s="24"/>
      <c r="M622" s="24"/>
    </row>
    <row r="623" spans="11:13" ht="12.75" customHeight="1" x14ac:dyDescent="0.3">
      <c r="K623" s="24"/>
      <c r="L623" s="24"/>
      <c r="M623" s="24"/>
    </row>
    <row r="624" spans="11:13" ht="12.75" customHeight="1" x14ac:dyDescent="0.3">
      <c r="K624" s="24"/>
      <c r="L624" s="24"/>
      <c r="M624" s="24"/>
    </row>
    <row r="625" spans="11:13" ht="12.75" customHeight="1" x14ac:dyDescent="0.3">
      <c r="K625" s="24"/>
      <c r="L625" s="24"/>
      <c r="M625" s="24"/>
    </row>
    <row r="626" spans="11:13" ht="12.75" customHeight="1" x14ac:dyDescent="0.3">
      <c r="K626" s="24"/>
      <c r="L626" s="24"/>
      <c r="M626" s="24"/>
    </row>
    <row r="627" spans="11:13" ht="12.75" customHeight="1" x14ac:dyDescent="0.3">
      <c r="K627" s="24"/>
      <c r="L627" s="24"/>
      <c r="M627" s="24"/>
    </row>
    <row r="628" spans="11:13" ht="12.75" customHeight="1" x14ac:dyDescent="0.3">
      <c r="K628" s="24"/>
      <c r="L628" s="24"/>
      <c r="M628" s="24"/>
    </row>
    <row r="629" spans="11:13" ht="12.75" customHeight="1" x14ac:dyDescent="0.3">
      <c r="K629" s="24"/>
      <c r="L629" s="24"/>
      <c r="M629" s="24"/>
    </row>
    <row r="630" spans="11:13" ht="12.75" customHeight="1" x14ac:dyDescent="0.3">
      <c r="K630" s="24"/>
      <c r="L630" s="24"/>
      <c r="M630" s="24"/>
    </row>
    <row r="631" spans="11:13" ht="12.75" customHeight="1" x14ac:dyDescent="0.3">
      <c r="K631" s="24"/>
      <c r="L631" s="24"/>
      <c r="M631" s="24"/>
    </row>
    <row r="632" spans="11:13" ht="12.75" customHeight="1" x14ac:dyDescent="0.3">
      <c r="K632" s="24"/>
      <c r="L632" s="24"/>
      <c r="M632" s="24"/>
    </row>
    <row r="633" spans="11:13" ht="12.75" customHeight="1" x14ac:dyDescent="0.3">
      <c r="K633" s="24"/>
      <c r="L633" s="24"/>
      <c r="M633" s="24"/>
    </row>
    <row r="634" spans="11:13" ht="12.75" customHeight="1" x14ac:dyDescent="0.3">
      <c r="K634" s="24"/>
      <c r="L634" s="24"/>
      <c r="M634" s="24"/>
    </row>
    <row r="635" spans="11:13" ht="12.75" customHeight="1" x14ac:dyDescent="0.3">
      <c r="K635" s="24"/>
      <c r="L635" s="24"/>
      <c r="M635" s="24"/>
    </row>
    <row r="636" spans="11:13" ht="12.75" customHeight="1" x14ac:dyDescent="0.3">
      <c r="K636" s="24"/>
      <c r="L636" s="24"/>
      <c r="M636" s="24"/>
    </row>
    <row r="637" spans="11:13" ht="12.75" customHeight="1" x14ac:dyDescent="0.3">
      <c r="K637" s="24"/>
      <c r="L637" s="24"/>
      <c r="M637" s="24"/>
    </row>
    <row r="638" spans="11:13" ht="12.75" customHeight="1" x14ac:dyDescent="0.3">
      <c r="K638" s="24"/>
      <c r="L638" s="24"/>
      <c r="M638" s="24"/>
    </row>
    <row r="639" spans="11:13" ht="12.75" customHeight="1" x14ac:dyDescent="0.3">
      <c r="K639" s="24"/>
      <c r="L639" s="24"/>
      <c r="M639" s="24"/>
    </row>
    <row r="640" spans="11:13" ht="12.75" customHeight="1" x14ac:dyDescent="0.3">
      <c r="K640" s="24"/>
      <c r="L640" s="24"/>
      <c r="M640" s="24"/>
    </row>
    <row r="641" spans="11:13" ht="12.75" customHeight="1" x14ac:dyDescent="0.3">
      <c r="K641" s="24"/>
      <c r="L641" s="24"/>
      <c r="M641" s="24"/>
    </row>
    <row r="642" spans="11:13" ht="12.75" customHeight="1" x14ac:dyDescent="0.3">
      <c r="K642" s="24"/>
      <c r="L642" s="24"/>
      <c r="M642" s="24"/>
    </row>
    <row r="643" spans="11:13" ht="12.75" customHeight="1" x14ac:dyDescent="0.3">
      <c r="K643" s="24"/>
      <c r="L643" s="24"/>
      <c r="M643" s="24"/>
    </row>
    <row r="644" spans="11:13" ht="12.75" customHeight="1" x14ac:dyDescent="0.3">
      <c r="K644" s="24"/>
      <c r="L644" s="24"/>
      <c r="M644" s="24"/>
    </row>
    <row r="645" spans="11:13" ht="12.75" customHeight="1" x14ac:dyDescent="0.3">
      <c r="K645" s="24"/>
      <c r="L645" s="24"/>
      <c r="M645" s="24"/>
    </row>
    <row r="646" spans="11:13" ht="12.75" customHeight="1" x14ac:dyDescent="0.3">
      <c r="K646" s="24"/>
      <c r="L646" s="24"/>
      <c r="M646" s="24"/>
    </row>
    <row r="647" spans="11:13" ht="12.75" customHeight="1" x14ac:dyDescent="0.3">
      <c r="K647" s="24"/>
      <c r="L647" s="24"/>
      <c r="M647" s="24"/>
    </row>
    <row r="648" spans="11:13" ht="12.75" customHeight="1" x14ac:dyDescent="0.3">
      <c r="K648" s="24"/>
      <c r="L648" s="24"/>
      <c r="M648" s="24"/>
    </row>
    <row r="649" spans="11:13" ht="12.75" customHeight="1" x14ac:dyDescent="0.3">
      <c r="K649" s="24"/>
      <c r="L649" s="24"/>
      <c r="M649" s="24"/>
    </row>
    <row r="650" spans="11:13" ht="12.75" customHeight="1" x14ac:dyDescent="0.3">
      <c r="K650" s="24"/>
      <c r="L650" s="24"/>
      <c r="M650" s="24"/>
    </row>
    <row r="651" spans="11:13" ht="12.75" customHeight="1" x14ac:dyDescent="0.3">
      <c r="K651" s="24"/>
      <c r="L651" s="24"/>
      <c r="M651" s="24"/>
    </row>
    <row r="652" spans="11:13" ht="12.75" customHeight="1" x14ac:dyDescent="0.3">
      <c r="K652" s="24"/>
      <c r="L652" s="24"/>
      <c r="M652" s="24"/>
    </row>
    <row r="653" spans="11:13" ht="12.75" customHeight="1" x14ac:dyDescent="0.3">
      <c r="K653" s="24"/>
      <c r="L653" s="24"/>
      <c r="M653" s="24"/>
    </row>
    <row r="654" spans="11:13" ht="12.75" customHeight="1" x14ac:dyDescent="0.3">
      <c r="K654" s="24"/>
      <c r="L654" s="24"/>
      <c r="M654" s="24"/>
    </row>
    <row r="655" spans="11:13" ht="12.75" customHeight="1" x14ac:dyDescent="0.3">
      <c r="K655" s="24"/>
      <c r="L655" s="24"/>
      <c r="M655" s="24"/>
    </row>
    <row r="656" spans="11:13" ht="12.75" customHeight="1" x14ac:dyDescent="0.3">
      <c r="K656" s="24"/>
      <c r="L656" s="24"/>
      <c r="M656" s="24"/>
    </row>
    <row r="657" spans="11:13" ht="12.75" customHeight="1" x14ac:dyDescent="0.3">
      <c r="K657" s="24"/>
      <c r="L657" s="24"/>
      <c r="M657" s="24"/>
    </row>
    <row r="658" spans="11:13" ht="12.75" customHeight="1" x14ac:dyDescent="0.3">
      <c r="K658" s="24"/>
      <c r="L658" s="24"/>
      <c r="M658" s="24"/>
    </row>
    <row r="659" spans="11:13" ht="12.75" customHeight="1" x14ac:dyDescent="0.3">
      <c r="K659" s="24"/>
      <c r="L659" s="24"/>
      <c r="M659" s="24"/>
    </row>
    <row r="660" spans="11:13" ht="12.75" customHeight="1" x14ac:dyDescent="0.3">
      <c r="K660" s="24"/>
      <c r="L660" s="24"/>
      <c r="M660" s="24"/>
    </row>
    <row r="661" spans="11:13" ht="12.75" customHeight="1" x14ac:dyDescent="0.3">
      <c r="K661" s="24"/>
      <c r="L661" s="24"/>
      <c r="M661" s="24"/>
    </row>
    <row r="662" spans="11:13" ht="12.75" customHeight="1" x14ac:dyDescent="0.3">
      <c r="K662" s="24"/>
      <c r="L662" s="24"/>
      <c r="M662" s="24"/>
    </row>
    <row r="663" spans="11:13" ht="12.75" customHeight="1" x14ac:dyDescent="0.3">
      <c r="K663" s="24"/>
      <c r="L663" s="24"/>
      <c r="M663" s="24"/>
    </row>
    <row r="664" spans="11:13" ht="12.75" customHeight="1" x14ac:dyDescent="0.3">
      <c r="K664" s="24"/>
      <c r="L664" s="24"/>
      <c r="M664" s="24"/>
    </row>
    <row r="665" spans="11:13" ht="12.75" customHeight="1" x14ac:dyDescent="0.3">
      <c r="K665" s="24"/>
      <c r="L665" s="24"/>
      <c r="M665" s="24"/>
    </row>
    <row r="666" spans="11:13" ht="12.75" customHeight="1" x14ac:dyDescent="0.3">
      <c r="K666" s="24"/>
      <c r="L666" s="24"/>
      <c r="M666" s="24"/>
    </row>
    <row r="667" spans="11:13" ht="12.75" customHeight="1" x14ac:dyDescent="0.3">
      <c r="K667" s="24"/>
      <c r="L667" s="24"/>
      <c r="M667" s="24"/>
    </row>
    <row r="668" spans="11:13" ht="12.75" customHeight="1" x14ac:dyDescent="0.3">
      <c r="K668" s="24"/>
      <c r="L668" s="24"/>
      <c r="M668" s="24"/>
    </row>
    <row r="669" spans="11:13" ht="12.75" customHeight="1" x14ac:dyDescent="0.3">
      <c r="K669" s="24"/>
      <c r="L669" s="24"/>
      <c r="M669" s="24"/>
    </row>
    <row r="670" spans="11:13" ht="12.75" customHeight="1" x14ac:dyDescent="0.3">
      <c r="K670" s="24"/>
      <c r="L670" s="24"/>
      <c r="M670" s="24"/>
    </row>
    <row r="671" spans="11:13" ht="12.75" customHeight="1" x14ac:dyDescent="0.3">
      <c r="K671" s="24"/>
      <c r="L671" s="24"/>
      <c r="M671" s="24"/>
    </row>
    <row r="672" spans="11:13" ht="12.75" customHeight="1" x14ac:dyDescent="0.3">
      <c r="K672" s="24"/>
      <c r="L672" s="24"/>
      <c r="M672" s="24"/>
    </row>
    <row r="673" spans="11:13" ht="12.75" customHeight="1" x14ac:dyDescent="0.3">
      <c r="K673" s="24"/>
      <c r="L673" s="24"/>
      <c r="M673" s="24"/>
    </row>
    <row r="674" spans="11:13" ht="12.75" customHeight="1" x14ac:dyDescent="0.3">
      <c r="K674" s="24"/>
      <c r="L674" s="24"/>
      <c r="M674" s="24"/>
    </row>
    <row r="675" spans="11:13" ht="12.75" customHeight="1" x14ac:dyDescent="0.3">
      <c r="K675" s="24"/>
      <c r="L675" s="24"/>
      <c r="M675" s="24"/>
    </row>
    <row r="676" spans="11:13" ht="12.75" customHeight="1" x14ac:dyDescent="0.3">
      <c r="K676" s="24"/>
      <c r="L676" s="24"/>
      <c r="M676" s="24"/>
    </row>
    <row r="677" spans="11:13" ht="12.75" customHeight="1" x14ac:dyDescent="0.3">
      <c r="K677" s="24"/>
      <c r="L677" s="24"/>
      <c r="M677" s="24"/>
    </row>
    <row r="678" spans="11:13" ht="12.75" customHeight="1" x14ac:dyDescent="0.3">
      <c r="K678" s="24"/>
      <c r="L678" s="24"/>
      <c r="M678" s="24"/>
    </row>
    <row r="679" spans="11:13" ht="12.75" customHeight="1" x14ac:dyDescent="0.3">
      <c r="K679" s="24"/>
      <c r="L679" s="24"/>
      <c r="M679" s="24"/>
    </row>
    <row r="680" spans="11:13" ht="12.75" customHeight="1" x14ac:dyDescent="0.3">
      <c r="K680" s="24"/>
      <c r="L680" s="24"/>
      <c r="M680" s="24"/>
    </row>
    <row r="681" spans="11:13" ht="12.75" customHeight="1" x14ac:dyDescent="0.3">
      <c r="K681" s="24"/>
      <c r="L681" s="24"/>
      <c r="M681" s="24"/>
    </row>
    <row r="682" spans="11:13" ht="12.75" customHeight="1" x14ac:dyDescent="0.3">
      <c r="K682" s="24"/>
      <c r="L682" s="24"/>
      <c r="M682" s="24"/>
    </row>
    <row r="683" spans="11:13" ht="12.75" customHeight="1" x14ac:dyDescent="0.3">
      <c r="K683" s="24"/>
      <c r="L683" s="24"/>
      <c r="M683" s="24"/>
    </row>
    <row r="684" spans="11:13" ht="12.75" customHeight="1" x14ac:dyDescent="0.3">
      <c r="K684" s="24"/>
      <c r="L684" s="24"/>
      <c r="M684" s="24"/>
    </row>
    <row r="685" spans="11:13" ht="12.75" customHeight="1" x14ac:dyDescent="0.3">
      <c r="K685" s="24"/>
      <c r="L685" s="24"/>
      <c r="M685" s="24"/>
    </row>
    <row r="686" spans="11:13" ht="12.75" customHeight="1" x14ac:dyDescent="0.3">
      <c r="K686" s="24"/>
      <c r="L686" s="24"/>
      <c r="M686" s="24"/>
    </row>
    <row r="687" spans="11:13" ht="12.75" customHeight="1" x14ac:dyDescent="0.3">
      <c r="K687" s="24"/>
      <c r="L687" s="24"/>
      <c r="M687" s="24"/>
    </row>
    <row r="688" spans="11:13" ht="12.75" customHeight="1" x14ac:dyDescent="0.3">
      <c r="K688" s="24"/>
      <c r="L688" s="24"/>
      <c r="M688" s="24"/>
    </row>
    <row r="689" spans="11:13" ht="12.75" customHeight="1" x14ac:dyDescent="0.3">
      <c r="K689" s="24"/>
      <c r="L689" s="24"/>
      <c r="M689" s="24"/>
    </row>
    <row r="690" spans="11:13" ht="12.75" customHeight="1" x14ac:dyDescent="0.3">
      <c r="K690" s="24"/>
      <c r="L690" s="24"/>
      <c r="M690" s="24"/>
    </row>
    <row r="691" spans="11:13" ht="12.75" customHeight="1" x14ac:dyDescent="0.3">
      <c r="K691" s="24"/>
      <c r="L691" s="24"/>
      <c r="M691" s="24"/>
    </row>
    <row r="692" spans="11:13" ht="12.75" customHeight="1" x14ac:dyDescent="0.3">
      <c r="K692" s="24"/>
      <c r="L692" s="24"/>
      <c r="M692" s="24"/>
    </row>
    <row r="693" spans="11:13" ht="12.75" customHeight="1" x14ac:dyDescent="0.3">
      <c r="K693" s="24"/>
      <c r="L693" s="24"/>
      <c r="M693" s="24"/>
    </row>
    <row r="694" spans="11:13" ht="12.75" customHeight="1" x14ac:dyDescent="0.3">
      <c r="K694" s="24"/>
      <c r="L694" s="24"/>
      <c r="M694" s="24"/>
    </row>
    <row r="695" spans="11:13" ht="12.75" customHeight="1" x14ac:dyDescent="0.3">
      <c r="K695" s="24"/>
      <c r="L695" s="24"/>
      <c r="M695" s="24"/>
    </row>
    <row r="696" spans="11:13" ht="12.75" customHeight="1" x14ac:dyDescent="0.3">
      <c r="K696" s="24"/>
      <c r="L696" s="24"/>
      <c r="M696" s="24"/>
    </row>
    <row r="697" spans="11:13" ht="12.75" customHeight="1" x14ac:dyDescent="0.3">
      <c r="K697" s="24"/>
      <c r="L697" s="24"/>
      <c r="M697" s="24"/>
    </row>
    <row r="698" spans="11:13" ht="12.75" customHeight="1" x14ac:dyDescent="0.3">
      <c r="K698" s="24"/>
      <c r="L698" s="24"/>
      <c r="M698" s="24"/>
    </row>
    <row r="699" spans="11:13" ht="12.75" customHeight="1" x14ac:dyDescent="0.3">
      <c r="K699" s="24"/>
      <c r="L699" s="24"/>
      <c r="M699" s="24"/>
    </row>
    <row r="700" spans="11:13" ht="12.75" customHeight="1" x14ac:dyDescent="0.3">
      <c r="K700" s="24"/>
      <c r="L700" s="24"/>
      <c r="M700" s="24"/>
    </row>
    <row r="701" spans="11:13" ht="12.75" customHeight="1" x14ac:dyDescent="0.3">
      <c r="K701" s="24"/>
      <c r="L701" s="24"/>
      <c r="M701" s="24"/>
    </row>
    <row r="702" spans="11:13" ht="12.75" customHeight="1" x14ac:dyDescent="0.3">
      <c r="K702" s="24"/>
      <c r="L702" s="24"/>
      <c r="M702" s="24"/>
    </row>
    <row r="703" spans="11:13" ht="12.75" customHeight="1" x14ac:dyDescent="0.3">
      <c r="K703" s="24"/>
      <c r="L703" s="24"/>
      <c r="M703" s="24"/>
    </row>
    <row r="704" spans="11:13" ht="12.75" customHeight="1" x14ac:dyDescent="0.3">
      <c r="K704" s="24"/>
      <c r="L704" s="24"/>
      <c r="M704" s="24"/>
    </row>
    <row r="705" spans="11:13" ht="12.75" customHeight="1" x14ac:dyDescent="0.3">
      <c r="K705" s="24"/>
      <c r="L705" s="24"/>
      <c r="M705" s="24"/>
    </row>
    <row r="706" spans="11:13" ht="12.75" customHeight="1" x14ac:dyDescent="0.3">
      <c r="K706" s="24"/>
      <c r="L706" s="24"/>
      <c r="M706" s="24"/>
    </row>
    <row r="707" spans="11:13" ht="12.75" customHeight="1" x14ac:dyDescent="0.3">
      <c r="K707" s="24"/>
      <c r="L707" s="24"/>
      <c r="M707" s="24"/>
    </row>
    <row r="708" spans="11:13" ht="12.75" customHeight="1" x14ac:dyDescent="0.3">
      <c r="K708" s="24"/>
      <c r="L708" s="24"/>
      <c r="M708" s="24"/>
    </row>
    <row r="709" spans="11:13" ht="12.75" customHeight="1" x14ac:dyDescent="0.3">
      <c r="K709" s="24"/>
      <c r="L709" s="24"/>
      <c r="M709" s="24"/>
    </row>
    <row r="710" spans="11:13" ht="12.75" customHeight="1" x14ac:dyDescent="0.3">
      <c r="K710" s="24"/>
      <c r="L710" s="24"/>
      <c r="M710" s="24"/>
    </row>
    <row r="711" spans="11:13" ht="12.75" customHeight="1" x14ac:dyDescent="0.3">
      <c r="K711" s="24"/>
      <c r="L711" s="24"/>
      <c r="M711" s="24"/>
    </row>
    <row r="712" spans="11:13" ht="12.75" customHeight="1" x14ac:dyDescent="0.3">
      <c r="K712" s="24"/>
      <c r="L712" s="24"/>
      <c r="M712" s="24"/>
    </row>
    <row r="713" spans="11:13" ht="12.75" customHeight="1" x14ac:dyDescent="0.3">
      <c r="K713" s="24"/>
      <c r="L713" s="24"/>
      <c r="M713" s="24"/>
    </row>
    <row r="714" spans="11:13" ht="12.75" customHeight="1" x14ac:dyDescent="0.3">
      <c r="K714" s="24"/>
      <c r="L714" s="24"/>
      <c r="M714" s="24"/>
    </row>
    <row r="715" spans="11:13" ht="12.75" customHeight="1" x14ac:dyDescent="0.3">
      <c r="K715" s="24"/>
      <c r="L715" s="24"/>
      <c r="M715" s="24"/>
    </row>
    <row r="716" spans="11:13" ht="12.75" customHeight="1" x14ac:dyDescent="0.3">
      <c r="K716" s="24"/>
      <c r="L716" s="24"/>
      <c r="M716" s="24"/>
    </row>
    <row r="717" spans="11:13" ht="12.75" customHeight="1" x14ac:dyDescent="0.3">
      <c r="K717" s="24"/>
      <c r="L717" s="24"/>
      <c r="M717" s="24"/>
    </row>
    <row r="718" spans="11:13" ht="12.75" customHeight="1" x14ac:dyDescent="0.3">
      <c r="K718" s="24"/>
      <c r="L718" s="24"/>
      <c r="M718" s="24"/>
    </row>
    <row r="719" spans="11:13" ht="12.75" customHeight="1" x14ac:dyDescent="0.3">
      <c r="K719" s="24"/>
      <c r="L719" s="24"/>
      <c r="M719" s="24"/>
    </row>
    <row r="720" spans="11:13" ht="12.75" customHeight="1" x14ac:dyDescent="0.3">
      <c r="K720" s="24"/>
      <c r="L720" s="24"/>
      <c r="M720" s="24"/>
    </row>
    <row r="721" spans="11:13" ht="12.75" customHeight="1" x14ac:dyDescent="0.3">
      <c r="K721" s="24"/>
      <c r="L721" s="24"/>
      <c r="M721" s="24"/>
    </row>
    <row r="722" spans="11:13" ht="12.75" customHeight="1" x14ac:dyDescent="0.3">
      <c r="K722" s="24"/>
      <c r="L722" s="24"/>
      <c r="M722" s="24"/>
    </row>
    <row r="723" spans="11:13" ht="12.75" customHeight="1" x14ac:dyDescent="0.3">
      <c r="K723" s="24"/>
      <c r="L723" s="24"/>
      <c r="M723" s="24"/>
    </row>
    <row r="724" spans="11:13" ht="12.75" customHeight="1" x14ac:dyDescent="0.3">
      <c r="K724" s="24"/>
      <c r="L724" s="24"/>
      <c r="M724" s="24"/>
    </row>
    <row r="725" spans="11:13" ht="12.75" customHeight="1" x14ac:dyDescent="0.3">
      <c r="K725" s="24"/>
      <c r="L725" s="24"/>
      <c r="M725" s="24"/>
    </row>
    <row r="726" spans="11:13" ht="12.75" customHeight="1" x14ac:dyDescent="0.3">
      <c r="K726" s="24"/>
      <c r="L726" s="24"/>
      <c r="M726" s="24"/>
    </row>
    <row r="727" spans="11:13" ht="12.75" customHeight="1" x14ac:dyDescent="0.3">
      <c r="K727" s="24"/>
      <c r="L727" s="24"/>
      <c r="M727" s="24"/>
    </row>
    <row r="728" spans="11:13" ht="12.75" customHeight="1" x14ac:dyDescent="0.3">
      <c r="K728" s="24"/>
      <c r="L728" s="24"/>
      <c r="M728" s="24"/>
    </row>
    <row r="729" spans="11:13" ht="12.75" customHeight="1" x14ac:dyDescent="0.3">
      <c r="K729" s="24"/>
      <c r="L729" s="24"/>
      <c r="M729" s="24"/>
    </row>
    <row r="730" spans="11:13" ht="12.75" customHeight="1" x14ac:dyDescent="0.3">
      <c r="K730" s="24"/>
      <c r="L730" s="24"/>
      <c r="M730" s="24"/>
    </row>
    <row r="731" spans="11:13" ht="12.75" customHeight="1" x14ac:dyDescent="0.3">
      <c r="K731" s="24"/>
      <c r="L731" s="24"/>
      <c r="M731" s="24"/>
    </row>
    <row r="732" spans="11:13" ht="12.75" customHeight="1" x14ac:dyDescent="0.3">
      <c r="K732" s="24"/>
      <c r="L732" s="24"/>
      <c r="M732" s="24"/>
    </row>
    <row r="733" spans="11:13" ht="12.75" customHeight="1" x14ac:dyDescent="0.3">
      <c r="K733" s="24"/>
      <c r="L733" s="24"/>
      <c r="M733" s="24"/>
    </row>
    <row r="734" spans="11:13" ht="12.75" customHeight="1" x14ac:dyDescent="0.3">
      <c r="K734" s="24"/>
      <c r="L734" s="24"/>
      <c r="M734" s="24"/>
    </row>
    <row r="735" spans="11:13" ht="12.75" customHeight="1" x14ac:dyDescent="0.3">
      <c r="K735" s="24"/>
      <c r="L735" s="24"/>
      <c r="M735" s="24"/>
    </row>
    <row r="736" spans="11:13" ht="12.75" customHeight="1" x14ac:dyDescent="0.3">
      <c r="K736" s="24"/>
      <c r="L736" s="24"/>
      <c r="M736" s="24"/>
    </row>
    <row r="737" spans="11:13" ht="12.75" customHeight="1" x14ac:dyDescent="0.3">
      <c r="K737" s="24"/>
      <c r="L737" s="24"/>
      <c r="M737" s="24"/>
    </row>
    <row r="738" spans="11:13" ht="12.75" customHeight="1" x14ac:dyDescent="0.3">
      <c r="K738" s="24"/>
      <c r="L738" s="24"/>
      <c r="M738" s="24"/>
    </row>
    <row r="739" spans="11:13" ht="12.75" customHeight="1" x14ac:dyDescent="0.3">
      <c r="K739" s="24"/>
      <c r="L739" s="24"/>
      <c r="M739" s="24"/>
    </row>
    <row r="740" spans="11:13" ht="12.75" customHeight="1" x14ac:dyDescent="0.3">
      <c r="K740" s="24"/>
      <c r="L740" s="24"/>
      <c r="M740" s="24"/>
    </row>
    <row r="741" spans="11:13" ht="12.75" customHeight="1" x14ac:dyDescent="0.3">
      <c r="K741" s="24"/>
      <c r="L741" s="24"/>
      <c r="M741" s="24"/>
    </row>
    <row r="742" spans="11:13" ht="12.75" customHeight="1" x14ac:dyDescent="0.3">
      <c r="K742" s="24"/>
      <c r="L742" s="24"/>
      <c r="M742" s="24"/>
    </row>
    <row r="743" spans="11:13" ht="12.75" customHeight="1" x14ac:dyDescent="0.3">
      <c r="K743" s="24"/>
      <c r="L743" s="24"/>
      <c r="M743" s="24"/>
    </row>
    <row r="744" spans="11:13" ht="12.75" customHeight="1" x14ac:dyDescent="0.3">
      <c r="K744" s="24"/>
      <c r="L744" s="24"/>
      <c r="M744" s="24"/>
    </row>
    <row r="745" spans="11:13" ht="12.75" customHeight="1" x14ac:dyDescent="0.3">
      <c r="K745" s="24"/>
      <c r="L745" s="24"/>
      <c r="M745" s="24"/>
    </row>
    <row r="746" spans="11:13" ht="12.75" customHeight="1" x14ac:dyDescent="0.3">
      <c r="K746" s="24"/>
      <c r="L746" s="24"/>
      <c r="M746" s="24"/>
    </row>
    <row r="747" spans="11:13" ht="12.75" customHeight="1" x14ac:dyDescent="0.3">
      <c r="K747" s="24"/>
      <c r="L747" s="24"/>
      <c r="M747" s="24"/>
    </row>
    <row r="748" spans="11:13" ht="12.75" customHeight="1" x14ac:dyDescent="0.3">
      <c r="K748" s="24"/>
      <c r="L748" s="24"/>
      <c r="M748" s="24"/>
    </row>
    <row r="749" spans="11:13" ht="12.75" customHeight="1" x14ac:dyDescent="0.3">
      <c r="K749" s="24"/>
      <c r="L749" s="24"/>
      <c r="M749" s="24"/>
    </row>
    <row r="750" spans="11:13" ht="12.75" customHeight="1" x14ac:dyDescent="0.3">
      <c r="K750" s="24"/>
      <c r="L750" s="24"/>
      <c r="M750" s="24"/>
    </row>
    <row r="751" spans="11:13" ht="12.75" customHeight="1" x14ac:dyDescent="0.3">
      <c r="K751" s="24"/>
      <c r="L751" s="24"/>
      <c r="M751" s="24"/>
    </row>
    <row r="752" spans="11:13" ht="12.75" customHeight="1" x14ac:dyDescent="0.3">
      <c r="K752" s="24"/>
      <c r="L752" s="24"/>
      <c r="M752" s="24"/>
    </row>
    <row r="753" spans="11:13" ht="12.75" customHeight="1" x14ac:dyDescent="0.3">
      <c r="K753" s="24"/>
      <c r="L753" s="24"/>
      <c r="M753" s="24"/>
    </row>
    <row r="754" spans="11:13" ht="12.75" customHeight="1" x14ac:dyDescent="0.3">
      <c r="K754" s="24"/>
      <c r="L754" s="24"/>
      <c r="M754" s="24"/>
    </row>
    <row r="755" spans="11:13" ht="12.75" customHeight="1" x14ac:dyDescent="0.3">
      <c r="K755" s="24"/>
      <c r="L755" s="24"/>
      <c r="M755" s="24"/>
    </row>
    <row r="756" spans="11:13" ht="12.75" customHeight="1" x14ac:dyDescent="0.3">
      <c r="K756" s="24"/>
      <c r="L756" s="24"/>
      <c r="M756" s="24"/>
    </row>
    <row r="757" spans="11:13" ht="12.75" customHeight="1" x14ac:dyDescent="0.3">
      <c r="K757" s="24"/>
      <c r="L757" s="24"/>
      <c r="M757" s="24"/>
    </row>
    <row r="758" spans="11:13" ht="12.75" customHeight="1" x14ac:dyDescent="0.3">
      <c r="K758" s="24"/>
      <c r="L758" s="24"/>
      <c r="M758" s="24"/>
    </row>
    <row r="759" spans="11:13" ht="12.75" customHeight="1" x14ac:dyDescent="0.3">
      <c r="K759" s="24"/>
      <c r="L759" s="24"/>
      <c r="M759" s="24"/>
    </row>
    <row r="760" spans="11:13" ht="12.75" customHeight="1" x14ac:dyDescent="0.3">
      <c r="K760" s="24"/>
      <c r="L760" s="24"/>
      <c r="M760" s="24"/>
    </row>
    <row r="761" spans="11:13" ht="12.75" customHeight="1" x14ac:dyDescent="0.3">
      <c r="K761" s="24"/>
      <c r="L761" s="24"/>
      <c r="M761" s="24"/>
    </row>
    <row r="762" spans="11:13" ht="12.75" customHeight="1" x14ac:dyDescent="0.3">
      <c r="K762" s="24"/>
      <c r="L762" s="24"/>
      <c r="M762" s="24"/>
    </row>
    <row r="763" spans="11:13" ht="12.75" customHeight="1" x14ac:dyDescent="0.3">
      <c r="K763" s="24"/>
      <c r="L763" s="24"/>
      <c r="M763" s="24"/>
    </row>
    <row r="764" spans="11:13" ht="12.75" customHeight="1" x14ac:dyDescent="0.3">
      <c r="K764" s="24"/>
      <c r="L764" s="24"/>
      <c r="M764" s="24"/>
    </row>
    <row r="765" spans="11:13" ht="12.75" customHeight="1" x14ac:dyDescent="0.3">
      <c r="K765" s="24"/>
      <c r="L765" s="24"/>
      <c r="M765" s="24"/>
    </row>
    <row r="766" spans="11:13" ht="12.75" customHeight="1" x14ac:dyDescent="0.3">
      <c r="K766" s="24"/>
      <c r="L766" s="24"/>
      <c r="M766" s="24"/>
    </row>
    <row r="767" spans="11:13" ht="12.75" customHeight="1" x14ac:dyDescent="0.3">
      <c r="K767" s="24"/>
      <c r="L767" s="24"/>
      <c r="M767" s="24"/>
    </row>
    <row r="768" spans="11:13" ht="12.75" customHeight="1" x14ac:dyDescent="0.3">
      <c r="K768" s="24"/>
      <c r="L768" s="24"/>
      <c r="M768" s="24"/>
    </row>
    <row r="769" spans="11:13" ht="12.75" customHeight="1" x14ac:dyDescent="0.3">
      <c r="K769" s="24"/>
      <c r="L769" s="24"/>
      <c r="M769" s="24"/>
    </row>
    <row r="770" spans="11:13" ht="12.75" customHeight="1" x14ac:dyDescent="0.3">
      <c r="K770" s="24"/>
      <c r="L770" s="24"/>
      <c r="M770" s="24"/>
    </row>
    <row r="771" spans="11:13" ht="12.75" customHeight="1" x14ac:dyDescent="0.3">
      <c r="K771" s="24"/>
      <c r="L771" s="24"/>
      <c r="M771" s="24"/>
    </row>
    <row r="772" spans="11:13" ht="12.75" customHeight="1" x14ac:dyDescent="0.3">
      <c r="K772" s="24"/>
      <c r="L772" s="24"/>
      <c r="M772" s="24"/>
    </row>
    <row r="773" spans="11:13" ht="12.75" customHeight="1" x14ac:dyDescent="0.3">
      <c r="K773" s="24"/>
      <c r="L773" s="24"/>
      <c r="M773" s="24"/>
    </row>
    <row r="774" spans="11:13" ht="12.75" customHeight="1" x14ac:dyDescent="0.3">
      <c r="K774" s="24"/>
      <c r="L774" s="24"/>
      <c r="M774" s="24"/>
    </row>
    <row r="775" spans="11:13" ht="12.75" customHeight="1" x14ac:dyDescent="0.3">
      <c r="K775" s="24"/>
      <c r="L775" s="24"/>
      <c r="M775" s="24"/>
    </row>
    <row r="776" spans="11:13" ht="12.75" customHeight="1" x14ac:dyDescent="0.3">
      <c r="K776" s="24"/>
      <c r="L776" s="24"/>
      <c r="M776" s="24"/>
    </row>
    <row r="777" spans="11:13" ht="12.75" customHeight="1" x14ac:dyDescent="0.3">
      <c r="K777" s="24"/>
      <c r="L777" s="24"/>
      <c r="M777" s="24"/>
    </row>
    <row r="778" spans="11:13" ht="12.75" customHeight="1" x14ac:dyDescent="0.3">
      <c r="K778" s="24"/>
      <c r="L778" s="24"/>
      <c r="M778" s="24"/>
    </row>
    <row r="779" spans="11:13" ht="12.75" customHeight="1" x14ac:dyDescent="0.3">
      <c r="K779" s="24"/>
      <c r="L779" s="24"/>
      <c r="M779" s="24"/>
    </row>
    <row r="780" spans="11:13" ht="12.75" customHeight="1" x14ac:dyDescent="0.3">
      <c r="K780" s="24"/>
      <c r="L780" s="24"/>
      <c r="M780" s="24"/>
    </row>
    <row r="781" spans="11:13" ht="12.75" customHeight="1" x14ac:dyDescent="0.3">
      <c r="K781" s="24"/>
      <c r="L781" s="24"/>
      <c r="M781" s="24"/>
    </row>
    <row r="782" spans="11:13" ht="12.75" customHeight="1" x14ac:dyDescent="0.3">
      <c r="K782" s="24"/>
      <c r="L782" s="24"/>
      <c r="M782" s="24"/>
    </row>
    <row r="783" spans="11:13" ht="12.75" customHeight="1" x14ac:dyDescent="0.3">
      <c r="K783" s="24"/>
      <c r="L783" s="24"/>
      <c r="M783" s="24"/>
    </row>
    <row r="784" spans="11:13" ht="12.75" customHeight="1" x14ac:dyDescent="0.3">
      <c r="K784" s="24"/>
      <c r="L784" s="24"/>
      <c r="M784" s="24"/>
    </row>
    <row r="785" spans="11:13" ht="12.75" customHeight="1" x14ac:dyDescent="0.3">
      <c r="K785" s="24"/>
      <c r="L785" s="24"/>
      <c r="M785" s="24"/>
    </row>
    <row r="786" spans="11:13" ht="12.75" customHeight="1" x14ac:dyDescent="0.3">
      <c r="K786" s="24"/>
      <c r="L786" s="24"/>
      <c r="M786" s="24"/>
    </row>
    <row r="787" spans="11:13" ht="12.75" customHeight="1" x14ac:dyDescent="0.3">
      <c r="K787" s="24"/>
      <c r="L787" s="24"/>
      <c r="M787" s="24"/>
    </row>
    <row r="788" spans="11:13" ht="12.75" customHeight="1" x14ac:dyDescent="0.3">
      <c r="K788" s="24"/>
      <c r="L788" s="24"/>
      <c r="M788" s="24"/>
    </row>
    <row r="789" spans="11:13" ht="12.75" customHeight="1" x14ac:dyDescent="0.3">
      <c r="K789" s="24"/>
      <c r="L789" s="24"/>
      <c r="M789" s="24"/>
    </row>
    <row r="790" spans="11:13" ht="12.75" customHeight="1" x14ac:dyDescent="0.3">
      <c r="K790" s="24"/>
      <c r="L790" s="24"/>
      <c r="M790" s="24"/>
    </row>
    <row r="791" spans="11:13" ht="12.75" customHeight="1" x14ac:dyDescent="0.3">
      <c r="K791" s="24"/>
      <c r="L791" s="24"/>
      <c r="M791" s="24"/>
    </row>
    <row r="792" spans="11:13" ht="12.75" customHeight="1" x14ac:dyDescent="0.3">
      <c r="K792" s="24"/>
      <c r="L792" s="24"/>
      <c r="M792" s="24"/>
    </row>
    <row r="793" spans="11:13" ht="12.75" customHeight="1" x14ac:dyDescent="0.3">
      <c r="K793" s="24"/>
      <c r="L793" s="24"/>
      <c r="M793" s="24"/>
    </row>
    <row r="794" spans="11:13" ht="12.75" customHeight="1" x14ac:dyDescent="0.3">
      <c r="K794" s="24"/>
      <c r="L794" s="24"/>
      <c r="M794" s="24"/>
    </row>
    <row r="795" spans="11:13" ht="12.75" customHeight="1" x14ac:dyDescent="0.3">
      <c r="K795" s="24"/>
      <c r="L795" s="24"/>
      <c r="M795" s="24"/>
    </row>
    <row r="796" spans="11:13" ht="12.75" customHeight="1" x14ac:dyDescent="0.3">
      <c r="K796" s="24"/>
      <c r="L796" s="24"/>
      <c r="M796" s="24"/>
    </row>
    <row r="797" spans="11:13" ht="12.75" customHeight="1" x14ac:dyDescent="0.3">
      <c r="K797" s="24"/>
      <c r="L797" s="24"/>
      <c r="M797" s="24"/>
    </row>
    <row r="798" spans="11:13" ht="12.75" customHeight="1" x14ac:dyDescent="0.3">
      <c r="K798" s="24"/>
      <c r="L798" s="24"/>
      <c r="M798" s="24"/>
    </row>
    <row r="799" spans="11:13" ht="12.75" customHeight="1" x14ac:dyDescent="0.3">
      <c r="K799" s="24"/>
      <c r="L799" s="24"/>
      <c r="M799" s="24"/>
    </row>
    <row r="800" spans="11:13" ht="12.75" customHeight="1" x14ac:dyDescent="0.3">
      <c r="K800" s="24"/>
      <c r="L800" s="24"/>
      <c r="M800" s="24"/>
    </row>
    <row r="801" spans="11:13" ht="12.75" customHeight="1" x14ac:dyDescent="0.3">
      <c r="K801" s="24"/>
      <c r="L801" s="24"/>
      <c r="M801" s="24"/>
    </row>
    <row r="802" spans="11:13" ht="12.75" customHeight="1" x14ac:dyDescent="0.3">
      <c r="K802" s="24"/>
      <c r="L802" s="24"/>
      <c r="M802" s="24"/>
    </row>
    <row r="803" spans="11:13" ht="12.75" customHeight="1" x14ac:dyDescent="0.3">
      <c r="K803" s="24"/>
      <c r="L803" s="24"/>
      <c r="M803" s="24"/>
    </row>
    <row r="804" spans="11:13" ht="12.75" customHeight="1" x14ac:dyDescent="0.3">
      <c r="K804" s="24"/>
      <c r="L804" s="24"/>
      <c r="M804" s="24"/>
    </row>
    <row r="805" spans="11:13" ht="12.75" customHeight="1" x14ac:dyDescent="0.3">
      <c r="K805" s="24"/>
      <c r="L805" s="24"/>
      <c r="M805" s="24"/>
    </row>
    <row r="806" spans="11:13" ht="12.75" customHeight="1" x14ac:dyDescent="0.3">
      <c r="K806" s="24"/>
      <c r="L806" s="24"/>
      <c r="M806" s="24"/>
    </row>
    <row r="807" spans="11:13" ht="12.75" customHeight="1" x14ac:dyDescent="0.3">
      <c r="K807" s="24"/>
      <c r="L807" s="24"/>
      <c r="M807" s="24"/>
    </row>
    <row r="808" spans="11:13" ht="12.75" customHeight="1" x14ac:dyDescent="0.3">
      <c r="K808" s="24"/>
      <c r="L808" s="24"/>
      <c r="M808" s="24"/>
    </row>
    <row r="809" spans="11:13" ht="12.75" customHeight="1" x14ac:dyDescent="0.3">
      <c r="K809" s="24"/>
      <c r="L809" s="24"/>
      <c r="M809" s="24"/>
    </row>
    <row r="810" spans="11:13" ht="12.75" customHeight="1" x14ac:dyDescent="0.3">
      <c r="K810" s="24"/>
      <c r="L810" s="24"/>
      <c r="M810" s="24"/>
    </row>
    <row r="811" spans="11:13" ht="12.75" customHeight="1" x14ac:dyDescent="0.3">
      <c r="K811" s="24"/>
      <c r="L811" s="24"/>
      <c r="M811" s="24"/>
    </row>
    <row r="812" spans="11:13" ht="12.75" customHeight="1" x14ac:dyDescent="0.3">
      <c r="K812" s="24"/>
      <c r="L812" s="24"/>
      <c r="M812" s="24"/>
    </row>
    <row r="813" spans="11:13" ht="12.75" customHeight="1" x14ac:dyDescent="0.3">
      <c r="K813" s="24"/>
      <c r="L813" s="24"/>
      <c r="M813" s="24"/>
    </row>
    <row r="814" spans="11:13" ht="12.75" customHeight="1" x14ac:dyDescent="0.3">
      <c r="K814" s="24"/>
      <c r="L814" s="24"/>
      <c r="M814" s="24"/>
    </row>
    <row r="815" spans="11:13" ht="12.75" customHeight="1" x14ac:dyDescent="0.3">
      <c r="K815" s="24"/>
      <c r="L815" s="24"/>
      <c r="M815" s="24"/>
    </row>
    <row r="816" spans="11:13" ht="12.75" customHeight="1" x14ac:dyDescent="0.3">
      <c r="K816" s="24"/>
      <c r="L816" s="24"/>
      <c r="M816" s="24"/>
    </row>
    <row r="817" spans="11:13" ht="12.75" customHeight="1" x14ac:dyDescent="0.3">
      <c r="K817" s="24"/>
      <c r="L817" s="24"/>
      <c r="M817" s="24"/>
    </row>
    <row r="818" spans="11:13" ht="12.75" customHeight="1" x14ac:dyDescent="0.3">
      <c r="K818" s="24"/>
      <c r="L818" s="24"/>
      <c r="M818" s="24"/>
    </row>
    <row r="819" spans="11:13" ht="12.75" customHeight="1" x14ac:dyDescent="0.3">
      <c r="K819" s="24"/>
      <c r="L819" s="24"/>
      <c r="M819" s="24"/>
    </row>
    <row r="820" spans="11:13" ht="12.75" customHeight="1" x14ac:dyDescent="0.3">
      <c r="K820" s="24"/>
      <c r="L820" s="24"/>
      <c r="M820" s="24"/>
    </row>
    <row r="821" spans="11:13" ht="12.75" customHeight="1" x14ac:dyDescent="0.3">
      <c r="K821" s="24"/>
      <c r="L821" s="24"/>
      <c r="M821" s="24"/>
    </row>
    <row r="822" spans="11:13" ht="12.75" customHeight="1" x14ac:dyDescent="0.3">
      <c r="K822" s="24"/>
      <c r="L822" s="24"/>
      <c r="M822" s="24"/>
    </row>
    <row r="823" spans="11:13" ht="12.75" customHeight="1" x14ac:dyDescent="0.3">
      <c r="K823" s="24"/>
      <c r="L823" s="24"/>
      <c r="M823" s="24"/>
    </row>
    <row r="824" spans="11:13" ht="12.75" customHeight="1" x14ac:dyDescent="0.3">
      <c r="K824" s="24"/>
      <c r="L824" s="24"/>
      <c r="M824" s="24"/>
    </row>
    <row r="825" spans="11:13" ht="12.75" customHeight="1" x14ac:dyDescent="0.3">
      <c r="K825" s="24"/>
      <c r="L825" s="24"/>
      <c r="M825" s="24"/>
    </row>
    <row r="826" spans="11:13" ht="12.75" customHeight="1" x14ac:dyDescent="0.3">
      <c r="K826" s="24"/>
      <c r="L826" s="24"/>
      <c r="M826" s="24"/>
    </row>
    <row r="827" spans="11:13" ht="12.75" customHeight="1" x14ac:dyDescent="0.3">
      <c r="K827" s="24"/>
      <c r="L827" s="24"/>
      <c r="M827" s="24"/>
    </row>
    <row r="828" spans="11:13" ht="12.75" customHeight="1" x14ac:dyDescent="0.3">
      <c r="K828" s="24"/>
      <c r="L828" s="24"/>
      <c r="M828" s="24"/>
    </row>
    <row r="829" spans="11:13" ht="12.75" customHeight="1" x14ac:dyDescent="0.3">
      <c r="K829" s="24"/>
      <c r="L829" s="24"/>
      <c r="M829" s="24"/>
    </row>
    <row r="830" spans="11:13" ht="12.75" customHeight="1" x14ac:dyDescent="0.3">
      <c r="K830" s="24"/>
      <c r="L830" s="24"/>
      <c r="M830" s="24"/>
    </row>
    <row r="831" spans="11:13" ht="12.75" customHeight="1" x14ac:dyDescent="0.3">
      <c r="K831" s="24"/>
      <c r="L831" s="24"/>
      <c r="M831" s="24"/>
    </row>
    <row r="832" spans="11:13" ht="12.75" customHeight="1" x14ac:dyDescent="0.3">
      <c r="K832" s="24"/>
      <c r="L832" s="24"/>
      <c r="M832" s="24"/>
    </row>
    <row r="833" spans="11:13" ht="12.75" customHeight="1" x14ac:dyDescent="0.3">
      <c r="K833" s="24"/>
      <c r="L833" s="24"/>
      <c r="M833" s="24"/>
    </row>
    <row r="834" spans="11:13" ht="12.75" customHeight="1" x14ac:dyDescent="0.3">
      <c r="K834" s="24"/>
      <c r="L834" s="24"/>
      <c r="M834" s="24"/>
    </row>
    <row r="835" spans="11:13" ht="12.75" customHeight="1" x14ac:dyDescent="0.3">
      <c r="K835" s="24"/>
      <c r="L835" s="24"/>
      <c r="M835" s="24"/>
    </row>
    <row r="836" spans="11:13" ht="12.75" customHeight="1" x14ac:dyDescent="0.3">
      <c r="K836" s="24"/>
      <c r="L836" s="24"/>
      <c r="M836" s="24"/>
    </row>
    <row r="837" spans="11:13" ht="12.75" customHeight="1" x14ac:dyDescent="0.3">
      <c r="K837" s="24"/>
      <c r="L837" s="24"/>
      <c r="M837" s="24"/>
    </row>
    <row r="838" spans="11:13" ht="12.75" customHeight="1" x14ac:dyDescent="0.3">
      <c r="K838" s="24"/>
      <c r="L838" s="24"/>
      <c r="M838" s="24"/>
    </row>
    <row r="839" spans="11:13" ht="12.75" customHeight="1" x14ac:dyDescent="0.3">
      <c r="K839" s="24"/>
      <c r="L839" s="24"/>
      <c r="M839" s="24"/>
    </row>
    <row r="840" spans="11:13" ht="12.75" customHeight="1" x14ac:dyDescent="0.3">
      <c r="K840" s="24"/>
      <c r="L840" s="24"/>
      <c r="M840" s="24"/>
    </row>
    <row r="841" spans="11:13" ht="12.75" customHeight="1" x14ac:dyDescent="0.3">
      <c r="K841" s="24"/>
      <c r="L841" s="24"/>
      <c r="M841" s="24"/>
    </row>
    <row r="842" spans="11:13" ht="12.75" customHeight="1" x14ac:dyDescent="0.3">
      <c r="K842" s="24"/>
      <c r="L842" s="24"/>
      <c r="M842" s="24"/>
    </row>
    <row r="843" spans="11:13" ht="12.75" customHeight="1" x14ac:dyDescent="0.3">
      <c r="K843" s="24"/>
      <c r="L843" s="24"/>
      <c r="M843" s="24"/>
    </row>
    <row r="844" spans="11:13" ht="12.75" customHeight="1" x14ac:dyDescent="0.3">
      <c r="K844" s="24"/>
      <c r="L844" s="24"/>
      <c r="M844" s="24"/>
    </row>
    <row r="845" spans="11:13" ht="12.75" customHeight="1" x14ac:dyDescent="0.3">
      <c r="K845" s="24"/>
      <c r="L845" s="24"/>
      <c r="M845" s="24"/>
    </row>
    <row r="846" spans="11:13" ht="12.75" customHeight="1" x14ac:dyDescent="0.3">
      <c r="K846" s="24"/>
      <c r="L846" s="24"/>
      <c r="M846" s="24"/>
    </row>
    <row r="847" spans="11:13" ht="12.75" customHeight="1" x14ac:dyDescent="0.3">
      <c r="K847" s="24"/>
      <c r="L847" s="24"/>
      <c r="M847" s="24"/>
    </row>
    <row r="848" spans="11:13" ht="12.75" customHeight="1" x14ac:dyDescent="0.3">
      <c r="K848" s="24"/>
      <c r="L848" s="24"/>
      <c r="M848" s="24"/>
    </row>
    <row r="849" spans="11:13" ht="12.75" customHeight="1" x14ac:dyDescent="0.3">
      <c r="K849" s="24"/>
      <c r="L849" s="24"/>
      <c r="M849" s="24"/>
    </row>
    <row r="850" spans="11:13" ht="12.75" customHeight="1" x14ac:dyDescent="0.3">
      <c r="K850" s="24"/>
      <c r="L850" s="24"/>
      <c r="M850" s="24"/>
    </row>
    <row r="851" spans="11:13" ht="12.75" customHeight="1" x14ac:dyDescent="0.3">
      <c r="K851" s="24"/>
      <c r="L851" s="24"/>
      <c r="M851" s="24"/>
    </row>
    <row r="852" spans="11:13" ht="12.75" customHeight="1" x14ac:dyDescent="0.3">
      <c r="K852" s="24"/>
      <c r="L852" s="24"/>
      <c r="M852" s="24"/>
    </row>
    <row r="853" spans="11:13" ht="12.75" customHeight="1" x14ac:dyDescent="0.3">
      <c r="K853" s="24"/>
      <c r="L853" s="24"/>
      <c r="M853" s="24"/>
    </row>
    <row r="854" spans="11:13" ht="12.75" customHeight="1" x14ac:dyDescent="0.3">
      <c r="K854" s="24"/>
      <c r="L854" s="24"/>
      <c r="M854" s="24"/>
    </row>
    <row r="855" spans="11:13" ht="12.75" customHeight="1" x14ac:dyDescent="0.3">
      <c r="K855" s="24"/>
      <c r="L855" s="24"/>
      <c r="M855" s="24"/>
    </row>
    <row r="856" spans="11:13" ht="12.75" customHeight="1" x14ac:dyDescent="0.3">
      <c r="K856" s="24"/>
      <c r="L856" s="24"/>
      <c r="M856" s="24"/>
    </row>
    <row r="857" spans="11:13" ht="12.75" customHeight="1" x14ac:dyDescent="0.3">
      <c r="K857" s="24"/>
      <c r="L857" s="24"/>
      <c r="M857" s="24"/>
    </row>
    <row r="858" spans="11:13" ht="12.75" customHeight="1" x14ac:dyDescent="0.3">
      <c r="K858" s="24"/>
      <c r="L858" s="24"/>
      <c r="M858" s="24"/>
    </row>
    <row r="859" spans="11:13" ht="12.75" customHeight="1" x14ac:dyDescent="0.3">
      <c r="K859" s="24"/>
      <c r="L859" s="24"/>
      <c r="M859" s="24"/>
    </row>
    <row r="860" spans="11:13" ht="12.75" customHeight="1" x14ac:dyDescent="0.3">
      <c r="K860" s="24"/>
      <c r="L860" s="24"/>
      <c r="M860" s="24"/>
    </row>
    <row r="861" spans="11:13" ht="12.75" customHeight="1" x14ac:dyDescent="0.3">
      <c r="K861" s="24"/>
      <c r="L861" s="24"/>
      <c r="M861" s="24"/>
    </row>
    <row r="862" spans="11:13" ht="12.75" customHeight="1" x14ac:dyDescent="0.3">
      <c r="K862" s="24"/>
      <c r="L862" s="24"/>
      <c r="M862" s="24"/>
    </row>
    <row r="863" spans="11:13" ht="12.75" customHeight="1" x14ac:dyDescent="0.3">
      <c r="K863" s="24"/>
      <c r="L863" s="24"/>
      <c r="M863" s="24"/>
    </row>
    <row r="864" spans="11:13" ht="12.75" customHeight="1" x14ac:dyDescent="0.3">
      <c r="K864" s="24"/>
      <c r="L864" s="24"/>
      <c r="M864" s="24"/>
    </row>
    <row r="865" spans="11:13" ht="12.75" customHeight="1" x14ac:dyDescent="0.3">
      <c r="K865" s="24"/>
      <c r="L865" s="24"/>
      <c r="M865" s="24"/>
    </row>
    <row r="866" spans="11:13" ht="12.75" customHeight="1" x14ac:dyDescent="0.3">
      <c r="K866" s="24"/>
      <c r="L866" s="24"/>
      <c r="M866" s="24"/>
    </row>
    <row r="867" spans="11:13" ht="12.75" customHeight="1" x14ac:dyDescent="0.3">
      <c r="K867" s="24"/>
      <c r="L867" s="24"/>
      <c r="M867" s="24"/>
    </row>
    <row r="868" spans="11:13" ht="12.75" customHeight="1" x14ac:dyDescent="0.3">
      <c r="K868" s="24"/>
      <c r="L868" s="24"/>
      <c r="M868" s="24"/>
    </row>
    <row r="869" spans="11:13" ht="12.75" customHeight="1" x14ac:dyDescent="0.3">
      <c r="K869" s="24"/>
      <c r="L869" s="24"/>
      <c r="M869" s="24"/>
    </row>
    <row r="870" spans="11:13" ht="12.75" customHeight="1" x14ac:dyDescent="0.3">
      <c r="K870" s="24"/>
      <c r="L870" s="24"/>
      <c r="M870" s="24"/>
    </row>
    <row r="871" spans="11:13" ht="12.75" customHeight="1" x14ac:dyDescent="0.3">
      <c r="K871" s="24"/>
      <c r="L871" s="24"/>
      <c r="M871" s="24"/>
    </row>
    <row r="872" spans="11:13" ht="12.75" customHeight="1" x14ac:dyDescent="0.3">
      <c r="K872" s="24"/>
      <c r="L872" s="24"/>
      <c r="M872" s="24"/>
    </row>
    <row r="873" spans="11:13" ht="12.75" customHeight="1" x14ac:dyDescent="0.3">
      <c r="K873" s="24"/>
      <c r="L873" s="24"/>
      <c r="M873" s="24"/>
    </row>
    <row r="874" spans="11:13" ht="12.75" customHeight="1" x14ac:dyDescent="0.3">
      <c r="K874" s="24"/>
      <c r="L874" s="24"/>
      <c r="M874" s="24"/>
    </row>
    <row r="875" spans="11:13" ht="12.75" customHeight="1" x14ac:dyDescent="0.3">
      <c r="K875" s="24"/>
      <c r="L875" s="24"/>
      <c r="M875" s="24"/>
    </row>
    <row r="876" spans="11:13" ht="12.75" customHeight="1" x14ac:dyDescent="0.3">
      <c r="K876" s="24"/>
      <c r="L876" s="24"/>
      <c r="M876" s="24"/>
    </row>
    <row r="877" spans="11:13" ht="12.75" customHeight="1" x14ac:dyDescent="0.3">
      <c r="K877" s="24"/>
      <c r="L877" s="24"/>
      <c r="M877" s="24"/>
    </row>
    <row r="878" spans="11:13" ht="12.75" customHeight="1" x14ac:dyDescent="0.3">
      <c r="K878" s="24"/>
      <c r="L878" s="24"/>
      <c r="M878" s="24"/>
    </row>
    <row r="879" spans="11:13" ht="12.75" customHeight="1" x14ac:dyDescent="0.3">
      <c r="K879" s="24"/>
      <c r="L879" s="24"/>
      <c r="M879" s="24"/>
    </row>
    <row r="880" spans="11:13" ht="12.75" customHeight="1" x14ac:dyDescent="0.3">
      <c r="K880" s="24"/>
      <c r="L880" s="24"/>
      <c r="M880" s="24"/>
    </row>
    <row r="881" spans="11:13" ht="12.75" customHeight="1" x14ac:dyDescent="0.3">
      <c r="K881" s="24"/>
      <c r="L881" s="24"/>
      <c r="M881" s="24"/>
    </row>
    <row r="882" spans="11:13" ht="12.75" customHeight="1" x14ac:dyDescent="0.3">
      <c r="K882" s="24"/>
      <c r="L882" s="24"/>
      <c r="M882" s="24"/>
    </row>
    <row r="883" spans="11:13" ht="12.75" customHeight="1" x14ac:dyDescent="0.3">
      <c r="K883" s="24"/>
      <c r="L883" s="24"/>
      <c r="M883" s="24"/>
    </row>
    <row r="884" spans="11:13" ht="12.75" customHeight="1" x14ac:dyDescent="0.3">
      <c r="K884" s="24"/>
      <c r="L884" s="24"/>
      <c r="M884" s="24"/>
    </row>
    <row r="885" spans="11:13" ht="12.75" customHeight="1" x14ac:dyDescent="0.3">
      <c r="K885" s="24"/>
      <c r="L885" s="24"/>
      <c r="M885" s="24"/>
    </row>
    <row r="886" spans="11:13" ht="12.75" customHeight="1" x14ac:dyDescent="0.3">
      <c r="K886" s="24"/>
      <c r="L886" s="24"/>
      <c r="M886" s="24"/>
    </row>
    <row r="887" spans="11:13" ht="12.75" customHeight="1" x14ac:dyDescent="0.3">
      <c r="K887" s="24"/>
      <c r="L887" s="24"/>
      <c r="M887" s="24"/>
    </row>
    <row r="888" spans="11:13" ht="12.75" customHeight="1" x14ac:dyDescent="0.3">
      <c r="K888" s="24"/>
      <c r="L888" s="24"/>
      <c r="M888" s="24"/>
    </row>
    <row r="889" spans="11:13" ht="12.75" customHeight="1" x14ac:dyDescent="0.3">
      <c r="K889" s="24"/>
      <c r="L889" s="24"/>
      <c r="M889" s="24"/>
    </row>
    <row r="890" spans="11:13" ht="12.75" customHeight="1" x14ac:dyDescent="0.3">
      <c r="K890" s="24"/>
      <c r="L890" s="24"/>
      <c r="M890" s="24"/>
    </row>
    <row r="891" spans="11:13" ht="12.75" customHeight="1" x14ac:dyDescent="0.3">
      <c r="K891" s="24"/>
      <c r="L891" s="24"/>
      <c r="M891" s="24"/>
    </row>
    <row r="892" spans="11:13" ht="12.75" customHeight="1" x14ac:dyDescent="0.3">
      <c r="K892" s="24"/>
      <c r="L892" s="24"/>
      <c r="M892" s="24"/>
    </row>
    <row r="893" spans="11:13" ht="12.75" customHeight="1" x14ac:dyDescent="0.3">
      <c r="K893" s="24"/>
      <c r="L893" s="24"/>
      <c r="M893" s="24"/>
    </row>
    <row r="894" spans="11:13" ht="12.75" customHeight="1" x14ac:dyDescent="0.3">
      <c r="K894" s="24"/>
      <c r="L894" s="24"/>
      <c r="M894" s="24"/>
    </row>
    <row r="895" spans="11:13" ht="12.75" customHeight="1" x14ac:dyDescent="0.3">
      <c r="K895" s="24"/>
      <c r="L895" s="24"/>
      <c r="M895" s="24"/>
    </row>
    <row r="896" spans="11:13" ht="12.75" customHeight="1" x14ac:dyDescent="0.3">
      <c r="K896" s="24"/>
      <c r="L896" s="24"/>
      <c r="M896" s="24"/>
    </row>
    <row r="897" spans="11:13" ht="12.75" customHeight="1" x14ac:dyDescent="0.3">
      <c r="K897" s="24"/>
      <c r="L897" s="24"/>
      <c r="M897" s="24"/>
    </row>
    <row r="898" spans="11:13" ht="12.75" customHeight="1" x14ac:dyDescent="0.3">
      <c r="K898" s="24"/>
      <c r="L898" s="24"/>
      <c r="M898" s="24"/>
    </row>
    <row r="899" spans="11:13" ht="12.75" customHeight="1" x14ac:dyDescent="0.3">
      <c r="K899" s="24"/>
      <c r="L899" s="24"/>
      <c r="M899" s="24"/>
    </row>
    <row r="900" spans="11:13" ht="12.75" customHeight="1" x14ac:dyDescent="0.3">
      <c r="K900" s="24"/>
      <c r="L900" s="24"/>
      <c r="M900" s="24"/>
    </row>
    <row r="901" spans="11:13" ht="12.75" customHeight="1" x14ac:dyDescent="0.3">
      <c r="K901" s="24"/>
      <c r="L901" s="24"/>
      <c r="M901" s="24"/>
    </row>
    <row r="902" spans="11:13" ht="12.75" customHeight="1" x14ac:dyDescent="0.3">
      <c r="K902" s="24"/>
      <c r="L902" s="24"/>
      <c r="M902" s="24"/>
    </row>
    <row r="903" spans="11:13" ht="12.75" customHeight="1" x14ac:dyDescent="0.3">
      <c r="K903" s="24"/>
      <c r="L903" s="24"/>
      <c r="M903" s="24"/>
    </row>
    <row r="904" spans="11:13" ht="12.75" customHeight="1" x14ac:dyDescent="0.3">
      <c r="K904" s="24"/>
      <c r="L904" s="24"/>
      <c r="M904" s="24"/>
    </row>
    <row r="905" spans="11:13" ht="12.75" customHeight="1" x14ac:dyDescent="0.3">
      <c r="K905" s="24"/>
      <c r="L905" s="24"/>
      <c r="M905" s="24"/>
    </row>
    <row r="906" spans="11:13" ht="12.75" customHeight="1" x14ac:dyDescent="0.3">
      <c r="K906" s="24"/>
      <c r="L906" s="24"/>
      <c r="M906" s="24"/>
    </row>
    <row r="907" spans="11:13" ht="12.75" customHeight="1" x14ac:dyDescent="0.3">
      <c r="K907" s="24"/>
      <c r="L907" s="24"/>
      <c r="M907" s="24"/>
    </row>
    <row r="908" spans="11:13" ht="12.75" customHeight="1" x14ac:dyDescent="0.3">
      <c r="K908" s="24"/>
      <c r="L908" s="24"/>
      <c r="M908" s="24"/>
    </row>
    <row r="909" spans="11:13" ht="12.75" customHeight="1" x14ac:dyDescent="0.3">
      <c r="K909" s="24"/>
      <c r="L909" s="24"/>
      <c r="M909" s="24"/>
    </row>
    <row r="910" spans="11:13" ht="12.75" customHeight="1" x14ac:dyDescent="0.3">
      <c r="K910" s="24"/>
      <c r="L910" s="24"/>
      <c r="M910" s="24"/>
    </row>
    <row r="911" spans="11:13" ht="12.75" customHeight="1" x14ac:dyDescent="0.3">
      <c r="K911" s="24"/>
      <c r="L911" s="24"/>
      <c r="M911" s="24"/>
    </row>
    <row r="912" spans="11:13" ht="12.75" customHeight="1" x14ac:dyDescent="0.3">
      <c r="K912" s="24"/>
      <c r="L912" s="24"/>
      <c r="M912" s="24"/>
    </row>
    <row r="913" spans="11:13" ht="12.75" customHeight="1" x14ac:dyDescent="0.3">
      <c r="K913" s="24"/>
      <c r="L913" s="24"/>
      <c r="M913" s="24"/>
    </row>
    <row r="914" spans="11:13" ht="12.75" customHeight="1" x14ac:dyDescent="0.3">
      <c r="K914" s="24"/>
      <c r="L914" s="24"/>
      <c r="M914" s="24"/>
    </row>
    <row r="915" spans="11:13" ht="12.75" customHeight="1" x14ac:dyDescent="0.3">
      <c r="K915" s="24"/>
      <c r="L915" s="24"/>
      <c r="M915" s="24"/>
    </row>
    <row r="916" spans="11:13" ht="12.75" customHeight="1" x14ac:dyDescent="0.3">
      <c r="K916" s="24"/>
      <c r="L916" s="24"/>
      <c r="M916" s="24"/>
    </row>
    <row r="917" spans="11:13" ht="12.75" customHeight="1" x14ac:dyDescent="0.3">
      <c r="K917" s="24"/>
      <c r="L917" s="24"/>
      <c r="M917" s="24"/>
    </row>
    <row r="918" spans="11:13" ht="12.75" customHeight="1" x14ac:dyDescent="0.3">
      <c r="K918" s="24"/>
      <c r="L918" s="24"/>
      <c r="M918" s="24"/>
    </row>
    <row r="919" spans="11:13" ht="12.75" customHeight="1" x14ac:dyDescent="0.3">
      <c r="K919" s="24"/>
      <c r="L919" s="24"/>
      <c r="M919" s="24"/>
    </row>
    <row r="920" spans="11:13" ht="12.75" customHeight="1" x14ac:dyDescent="0.3">
      <c r="K920" s="24"/>
      <c r="L920" s="24"/>
      <c r="M920" s="24"/>
    </row>
    <row r="921" spans="11:13" ht="12.75" customHeight="1" x14ac:dyDescent="0.3">
      <c r="K921" s="24"/>
      <c r="L921" s="24"/>
      <c r="M921" s="24"/>
    </row>
    <row r="922" spans="11:13" ht="12.75" customHeight="1" x14ac:dyDescent="0.3">
      <c r="K922" s="24"/>
      <c r="L922" s="24"/>
      <c r="M922" s="24"/>
    </row>
    <row r="923" spans="11:13" ht="12.75" customHeight="1" x14ac:dyDescent="0.3">
      <c r="K923" s="24"/>
      <c r="L923" s="24"/>
      <c r="M923" s="24"/>
    </row>
    <row r="924" spans="11:13" ht="12.75" customHeight="1" x14ac:dyDescent="0.3">
      <c r="K924" s="24"/>
      <c r="L924" s="24"/>
      <c r="M924" s="24"/>
    </row>
    <row r="925" spans="11:13" ht="12.75" customHeight="1" x14ac:dyDescent="0.3">
      <c r="K925" s="24"/>
      <c r="L925" s="24"/>
      <c r="M925" s="24"/>
    </row>
    <row r="926" spans="11:13" ht="12.75" customHeight="1" x14ac:dyDescent="0.3">
      <c r="K926" s="24"/>
      <c r="L926" s="24"/>
      <c r="M926" s="24"/>
    </row>
    <row r="927" spans="11:13" ht="12.75" customHeight="1" x14ac:dyDescent="0.3">
      <c r="K927" s="24"/>
      <c r="L927" s="24"/>
      <c r="M927" s="24"/>
    </row>
    <row r="928" spans="11:13" ht="12.75" customHeight="1" x14ac:dyDescent="0.3">
      <c r="K928" s="24"/>
      <c r="L928" s="24"/>
      <c r="M928" s="24"/>
    </row>
    <row r="929" spans="11:13" ht="12.75" customHeight="1" x14ac:dyDescent="0.3">
      <c r="K929" s="24"/>
      <c r="L929" s="24"/>
      <c r="M929" s="24"/>
    </row>
    <row r="930" spans="11:13" ht="12.75" customHeight="1" x14ac:dyDescent="0.3">
      <c r="K930" s="24"/>
      <c r="L930" s="24"/>
      <c r="M930" s="24"/>
    </row>
    <row r="931" spans="11:13" ht="12.75" customHeight="1" x14ac:dyDescent="0.3">
      <c r="K931" s="24"/>
      <c r="L931" s="24"/>
      <c r="M931" s="24"/>
    </row>
    <row r="932" spans="11:13" ht="12.75" customHeight="1" x14ac:dyDescent="0.3">
      <c r="K932" s="24"/>
      <c r="L932" s="24"/>
      <c r="M932" s="24"/>
    </row>
    <row r="933" spans="11:13" ht="12.75" customHeight="1" x14ac:dyDescent="0.3">
      <c r="K933" s="24"/>
      <c r="L933" s="24"/>
      <c r="M933" s="24"/>
    </row>
    <row r="934" spans="11:13" ht="12.75" customHeight="1" x14ac:dyDescent="0.3">
      <c r="K934" s="24"/>
      <c r="L934" s="24"/>
      <c r="M934" s="24"/>
    </row>
    <row r="935" spans="11:13" ht="12.75" customHeight="1" x14ac:dyDescent="0.3">
      <c r="K935" s="24"/>
      <c r="L935" s="24"/>
      <c r="M935" s="24"/>
    </row>
    <row r="936" spans="11:13" ht="12.75" customHeight="1" x14ac:dyDescent="0.3">
      <c r="K936" s="24"/>
      <c r="L936" s="24"/>
      <c r="M936" s="24"/>
    </row>
    <row r="937" spans="11:13" ht="12.75" customHeight="1" x14ac:dyDescent="0.3">
      <c r="K937" s="24"/>
      <c r="L937" s="24"/>
      <c r="M937" s="24"/>
    </row>
    <row r="938" spans="11:13" ht="12.75" customHeight="1" x14ac:dyDescent="0.3">
      <c r="K938" s="24"/>
      <c r="L938" s="24"/>
      <c r="M938" s="24"/>
    </row>
    <row r="939" spans="11:13" ht="12.75" customHeight="1" x14ac:dyDescent="0.3">
      <c r="K939" s="24"/>
      <c r="L939" s="24"/>
      <c r="M939" s="24"/>
    </row>
    <row r="940" spans="11:13" ht="12.75" customHeight="1" x14ac:dyDescent="0.3">
      <c r="K940" s="24"/>
      <c r="L940" s="24"/>
      <c r="M940" s="24"/>
    </row>
    <row r="941" spans="11:13" ht="12.75" customHeight="1" x14ac:dyDescent="0.3">
      <c r="K941" s="24"/>
      <c r="L941" s="24"/>
      <c r="M941" s="24"/>
    </row>
    <row r="942" spans="11:13" ht="12.75" customHeight="1" x14ac:dyDescent="0.3">
      <c r="K942" s="24"/>
      <c r="L942" s="24"/>
      <c r="M942" s="24"/>
    </row>
    <row r="943" spans="11:13" ht="12.75" customHeight="1" x14ac:dyDescent="0.3">
      <c r="K943" s="24"/>
      <c r="L943" s="24"/>
      <c r="M943" s="24"/>
    </row>
    <row r="944" spans="11:13" ht="12.75" customHeight="1" x14ac:dyDescent="0.3">
      <c r="K944" s="24"/>
      <c r="L944" s="24"/>
      <c r="M944" s="24"/>
    </row>
    <row r="945" spans="11:13" ht="12.75" customHeight="1" x14ac:dyDescent="0.3">
      <c r="K945" s="24"/>
      <c r="L945" s="24"/>
      <c r="M945" s="24"/>
    </row>
    <row r="946" spans="11:13" ht="12.75" customHeight="1" x14ac:dyDescent="0.3">
      <c r="K946" s="24"/>
      <c r="L946" s="24"/>
      <c r="M946" s="24"/>
    </row>
    <row r="947" spans="11:13" ht="12.75" customHeight="1" x14ac:dyDescent="0.3">
      <c r="K947" s="24"/>
      <c r="L947" s="24"/>
      <c r="M947" s="24"/>
    </row>
    <row r="948" spans="11:13" ht="12.75" customHeight="1" x14ac:dyDescent="0.3">
      <c r="K948" s="24"/>
      <c r="L948" s="24"/>
      <c r="M948" s="24"/>
    </row>
    <row r="949" spans="11:13" ht="12.75" customHeight="1" x14ac:dyDescent="0.3">
      <c r="K949" s="24"/>
      <c r="L949" s="24"/>
      <c r="M949" s="24"/>
    </row>
    <row r="950" spans="11:13" ht="12.75" customHeight="1" x14ac:dyDescent="0.3">
      <c r="K950" s="24"/>
      <c r="L950" s="24"/>
      <c r="M950" s="24"/>
    </row>
    <row r="951" spans="11:13" ht="12.75" customHeight="1" x14ac:dyDescent="0.3">
      <c r="K951" s="24"/>
      <c r="L951" s="24"/>
      <c r="M951" s="24"/>
    </row>
    <row r="952" spans="11:13" ht="12.75" customHeight="1" x14ac:dyDescent="0.3">
      <c r="K952" s="24"/>
      <c r="L952" s="24"/>
      <c r="M952" s="24"/>
    </row>
    <row r="953" spans="11:13" ht="12.75" customHeight="1" x14ac:dyDescent="0.3">
      <c r="K953" s="24"/>
      <c r="L953" s="24"/>
      <c r="M953" s="24"/>
    </row>
    <row r="954" spans="11:13" ht="12.75" customHeight="1" x14ac:dyDescent="0.3">
      <c r="K954" s="24"/>
      <c r="L954" s="24"/>
      <c r="M954" s="24"/>
    </row>
    <row r="955" spans="11:13" ht="12.75" customHeight="1" x14ac:dyDescent="0.3">
      <c r="K955" s="24"/>
      <c r="L955" s="24"/>
      <c r="M955" s="24"/>
    </row>
    <row r="956" spans="11:13" ht="12.75" customHeight="1" x14ac:dyDescent="0.3">
      <c r="K956" s="24"/>
      <c r="L956" s="24"/>
      <c r="M956" s="24"/>
    </row>
    <row r="957" spans="11:13" ht="12.75" customHeight="1" x14ac:dyDescent="0.3">
      <c r="K957" s="24"/>
      <c r="L957" s="24"/>
      <c r="M957" s="24"/>
    </row>
    <row r="958" spans="11:13" ht="12.75" customHeight="1" x14ac:dyDescent="0.3">
      <c r="K958" s="24"/>
      <c r="L958" s="24"/>
      <c r="M958" s="24"/>
    </row>
    <row r="959" spans="11:13" ht="12.75" customHeight="1" x14ac:dyDescent="0.3">
      <c r="K959" s="24"/>
      <c r="L959" s="24"/>
      <c r="M959" s="24"/>
    </row>
    <row r="960" spans="11:13" ht="12.75" customHeight="1" x14ac:dyDescent="0.3">
      <c r="K960" s="24"/>
      <c r="L960" s="24"/>
      <c r="M960" s="24"/>
    </row>
    <row r="961" spans="11:13" ht="12.75" customHeight="1" x14ac:dyDescent="0.3">
      <c r="K961" s="24"/>
      <c r="L961" s="24"/>
      <c r="M961" s="24"/>
    </row>
    <row r="962" spans="11:13" ht="12.75" customHeight="1" x14ac:dyDescent="0.3">
      <c r="K962" s="24"/>
      <c r="L962" s="24"/>
      <c r="M962" s="24"/>
    </row>
    <row r="963" spans="11:13" ht="12.75" customHeight="1" x14ac:dyDescent="0.3">
      <c r="K963" s="24"/>
      <c r="L963" s="24"/>
      <c r="M963" s="24"/>
    </row>
    <row r="964" spans="11:13" ht="12.75" customHeight="1" x14ac:dyDescent="0.3">
      <c r="K964" s="24"/>
      <c r="L964" s="24"/>
      <c r="M964" s="24"/>
    </row>
    <row r="965" spans="11:13" ht="12.75" customHeight="1" x14ac:dyDescent="0.3">
      <c r="K965" s="24"/>
      <c r="L965" s="24"/>
      <c r="M965" s="24"/>
    </row>
    <row r="966" spans="11:13" ht="12.75" customHeight="1" x14ac:dyDescent="0.3">
      <c r="K966" s="24"/>
      <c r="L966" s="24"/>
      <c r="M966" s="24"/>
    </row>
    <row r="967" spans="11:13" ht="12.75" customHeight="1" x14ac:dyDescent="0.3">
      <c r="K967" s="24"/>
      <c r="L967" s="24"/>
      <c r="M967" s="24"/>
    </row>
    <row r="968" spans="11:13" ht="12.75" customHeight="1" x14ac:dyDescent="0.3">
      <c r="K968" s="24"/>
      <c r="L968" s="24"/>
      <c r="M968" s="24"/>
    </row>
    <row r="969" spans="11:13" ht="12.75" customHeight="1" x14ac:dyDescent="0.3">
      <c r="K969" s="24"/>
      <c r="L969" s="24"/>
      <c r="M969" s="24"/>
    </row>
    <row r="970" spans="11:13" ht="12.75" customHeight="1" x14ac:dyDescent="0.3">
      <c r="K970" s="24"/>
      <c r="L970" s="24"/>
      <c r="M970" s="24"/>
    </row>
    <row r="971" spans="11:13" ht="12.75" customHeight="1" x14ac:dyDescent="0.3">
      <c r="K971" s="24"/>
      <c r="L971" s="24"/>
      <c r="M971" s="24"/>
    </row>
    <row r="972" spans="11:13" ht="12.75" customHeight="1" x14ac:dyDescent="0.3">
      <c r="K972" s="24"/>
      <c r="L972" s="24"/>
      <c r="M972" s="24"/>
    </row>
    <row r="973" spans="11:13" ht="12.75" customHeight="1" x14ac:dyDescent="0.3">
      <c r="K973" s="24"/>
      <c r="L973" s="24"/>
      <c r="M973" s="24"/>
    </row>
    <row r="974" spans="11:13" ht="12.75" customHeight="1" x14ac:dyDescent="0.3">
      <c r="K974" s="24"/>
      <c r="L974" s="24"/>
      <c r="M974" s="24"/>
    </row>
    <row r="975" spans="11:13" ht="12.75" customHeight="1" x14ac:dyDescent="0.3">
      <c r="K975" s="24"/>
      <c r="L975" s="24"/>
      <c r="M975" s="24"/>
    </row>
    <row r="976" spans="11:13" ht="12.75" customHeight="1" x14ac:dyDescent="0.3">
      <c r="K976" s="24"/>
      <c r="L976" s="24"/>
      <c r="M976" s="24"/>
    </row>
    <row r="977" spans="11:13" ht="12.75" customHeight="1" x14ac:dyDescent="0.3">
      <c r="K977" s="24"/>
      <c r="L977" s="24"/>
      <c r="M977" s="24"/>
    </row>
    <row r="978" spans="11:13" ht="12.75" customHeight="1" x14ac:dyDescent="0.3">
      <c r="K978" s="24"/>
      <c r="L978" s="24"/>
      <c r="M978" s="24"/>
    </row>
    <row r="979" spans="11:13" ht="12.75" customHeight="1" x14ac:dyDescent="0.3">
      <c r="K979" s="24"/>
      <c r="L979" s="24"/>
      <c r="M979" s="24"/>
    </row>
    <row r="980" spans="11:13" ht="12.75" customHeight="1" x14ac:dyDescent="0.3">
      <c r="K980" s="24"/>
      <c r="L980" s="24"/>
      <c r="M980" s="24"/>
    </row>
    <row r="981" spans="11:13" ht="12.75" customHeight="1" x14ac:dyDescent="0.3">
      <c r="K981" s="24"/>
      <c r="L981" s="24"/>
      <c r="M981" s="24"/>
    </row>
    <row r="982" spans="11:13" ht="12.75" customHeight="1" x14ac:dyDescent="0.3">
      <c r="K982" s="24"/>
      <c r="L982" s="24"/>
      <c r="M982" s="24"/>
    </row>
    <row r="983" spans="11:13" ht="12.75" customHeight="1" x14ac:dyDescent="0.3">
      <c r="K983" s="24"/>
      <c r="L983" s="24"/>
      <c r="M983" s="24"/>
    </row>
  </sheetData>
  <mergeCells count="10">
    <mergeCell ref="G2:M2"/>
    <mergeCell ref="G3:M3"/>
    <mergeCell ref="G4:M4"/>
    <mergeCell ref="B11:O11"/>
    <mergeCell ref="M47:M49"/>
    <mergeCell ref="B50:N51"/>
    <mergeCell ref="B32:C32"/>
    <mergeCell ref="B34:N35"/>
    <mergeCell ref="B36:N36"/>
    <mergeCell ref="C41:I41"/>
  </mergeCells>
  <hyperlinks>
    <hyperlink ref="D7" r:id="rId1" xr:uid="{00000000-0004-0000-0200-000000000000}"/>
    <hyperlink ref="D8" r:id="rId2" xr:uid="{00000000-0004-0000-0200-000001000000}"/>
    <hyperlink ref="D9" r:id="rId3" xr:uid="{00000000-0004-0000-0200-000002000000}"/>
  </hyperlinks>
  <pageMargins left="0.7" right="0.7" top="0.75" bottom="0.75" header="0" footer="0"/>
  <pageSetup orientation="landscape"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B1:P988"/>
  <sheetViews>
    <sheetView showGridLines="0" topLeftCell="A55" workbookViewId="0">
      <selection activeCell="L61" sqref="L61:L64"/>
    </sheetView>
  </sheetViews>
  <sheetFormatPr baseColWidth="10" defaultColWidth="14.44140625" defaultRowHeight="15" customHeight="1" x14ac:dyDescent="0.3"/>
  <cols>
    <col min="1" max="1" width="10" style="1" customWidth="1"/>
    <col min="2" max="2" width="37.109375" style="1" customWidth="1"/>
    <col min="3" max="3" width="46.33203125" style="1" customWidth="1"/>
    <col min="4" max="6" width="11.44140625" style="1" customWidth="1"/>
    <col min="7" max="8" width="16.109375" style="1" customWidth="1"/>
    <col min="9" max="13" width="10" style="1" customWidth="1"/>
    <col min="14" max="14" width="14.44140625" style="1" customWidth="1"/>
    <col min="15" max="20" width="10" style="1" customWidth="1"/>
    <col min="21" max="16384" width="14.44140625" style="1"/>
  </cols>
  <sheetData>
    <row r="1" spans="2:16" ht="13.8" x14ac:dyDescent="0.3">
      <c r="B1" s="2"/>
      <c r="C1" s="2"/>
      <c r="D1" s="2"/>
      <c r="E1" s="2"/>
      <c r="F1" s="2"/>
    </row>
    <row r="2" spans="2:16" ht="15" customHeight="1" x14ac:dyDescent="0.3">
      <c r="G2" s="814" t="s">
        <v>0</v>
      </c>
      <c r="H2" s="814"/>
      <c r="I2" s="814"/>
      <c r="J2" s="814"/>
      <c r="K2" s="814"/>
      <c r="L2" s="814"/>
    </row>
    <row r="3" spans="2:16" ht="14.25" customHeight="1" x14ac:dyDescent="0.3">
      <c r="G3" s="815" t="s">
        <v>1</v>
      </c>
      <c r="H3" s="815"/>
      <c r="I3" s="815"/>
      <c r="J3" s="815"/>
      <c r="K3" s="815"/>
      <c r="L3" s="815"/>
    </row>
    <row r="4" spans="2:16" ht="13.8" x14ac:dyDescent="0.3">
      <c r="G4" s="816" t="s">
        <v>435</v>
      </c>
      <c r="H4" s="816"/>
      <c r="I4" s="816"/>
      <c r="J4" s="816"/>
      <c r="K4" s="816"/>
      <c r="L4" s="816"/>
    </row>
    <row r="5" spans="2:16" ht="13.8" x14ac:dyDescent="0.3">
      <c r="G5" s="26"/>
    </row>
    <row r="6" spans="2:16" ht="13.8" x14ac:dyDescent="0.3">
      <c r="B6" s="47" t="s">
        <v>100</v>
      </c>
      <c r="C6" s="48" t="s">
        <v>99</v>
      </c>
      <c r="G6" s="26"/>
    </row>
    <row r="7" spans="2:16" ht="13.8" x14ac:dyDescent="0.3">
      <c r="B7" s="47" t="s">
        <v>100</v>
      </c>
      <c r="C7" s="48" t="s">
        <v>73</v>
      </c>
      <c r="G7" s="26"/>
    </row>
    <row r="8" spans="2:16" ht="13.8" x14ac:dyDescent="0.3">
      <c r="G8" s="26"/>
    </row>
    <row r="9" spans="2:16" ht="13.8" x14ac:dyDescent="0.3">
      <c r="G9" s="12"/>
      <c r="H9" s="12"/>
    </row>
    <row r="10" spans="2:16" ht="39.6" x14ac:dyDescent="0.3">
      <c r="B10" s="41" t="s">
        <v>48</v>
      </c>
      <c r="C10" s="829" t="s">
        <v>49</v>
      </c>
      <c r="D10" s="830"/>
      <c r="E10" s="830"/>
      <c r="F10" s="831"/>
      <c r="G10" s="680" t="s">
        <v>540</v>
      </c>
      <c r="H10" s="829" t="s">
        <v>541</v>
      </c>
      <c r="I10" s="831"/>
      <c r="J10" s="680" t="s">
        <v>538</v>
      </c>
      <c r="K10" s="829" t="s">
        <v>542</v>
      </c>
      <c r="L10" s="830"/>
      <c r="M10" s="831"/>
      <c r="N10" s="697" t="s">
        <v>50</v>
      </c>
      <c r="O10" s="827" t="s">
        <v>56</v>
      </c>
      <c r="P10" s="822" t="s">
        <v>46</v>
      </c>
    </row>
    <row r="11" spans="2:16" ht="39.6" x14ac:dyDescent="0.3">
      <c r="B11" s="41" t="s">
        <v>48</v>
      </c>
      <c r="C11" s="680" t="s">
        <v>51</v>
      </c>
      <c r="D11" s="680" t="s">
        <v>52</v>
      </c>
      <c r="E11" s="680" t="s">
        <v>53</v>
      </c>
      <c r="F11" s="680" t="s">
        <v>54</v>
      </c>
      <c r="G11" s="680" t="s">
        <v>543</v>
      </c>
      <c r="H11" s="680" t="s">
        <v>544</v>
      </c>
      <c r="I11" s="680" t="s">
        <v>545</v>
      </c>
      <c r="J11" s="680" t="s">
        <v>539</v>
      </c>
      <c r="K11" s="680" t="s">
        <v>546</v>
      </c>
      <c r="L11" s="680" t="s">
        <v>547</v>
      </c>
      <c r="M11" s="680" t="s">
        <v>548</v>
      </c>
      <c r="N11" s="697" t="s">
        <v>55</v>
      </c>
      <c r="O11" s="828"/>
      <c r="P11" s="822"/>
    </row>
    <row r="12" spans="2:16" ht="13.8" x14ac:dyDescent="0.3">
      <c r="B12" s="384" t="s">
        <v>57</v>
      </c>
      <c r="C12" s="698">
        <v>11272</v>
      </c>
      <c r="D12" s="698">
        <v>13147</v>
      </c>
      <c r="E12" s="698">
        <v>6554</v>
      </c>
      <c r="F12" s="698">
        <v>34013</v>
      </c>
      <c r="G12" s="323">
        <v>12117</v>
      </c>
      <c r="H12" s="323">
        <v>11889</v>
      </c>
      <c r="I12" s="323">
        <v>1567</v>
      </c>
      <c r="J12" s="323">
        <v>13408</v>
      </c>
      <c r="K12" s="323">
        <v>14885</v>
      </c>
      <c r="L12" s="323">
        <v>14539</v>
      </c>
      <c r="M12" s="323">
        <v>1268</v>
      </c>
      <c r="N12" s="323">
        <v>8809</v>
      </c>
      <c r="O12" s="385">
        <v>2518</v>
      </c>
      <c r="P12" s="386">
        <v>143259</v>
      </c>
    </row>
    <row r="13" spans="2:16" ht="13.8" x14ac:dyDescent="0.3">
      <c r="B13" s="384" t="s">
        <v>708</v>
      </c>
      <c r="C13" s="698">
        <v>1626</v>
      </c>
      <c r="D13" s="699">
        <v>30</v>
      </c>
      <c r="E13" s="699">
        <v>45</v>
      </c>
      <c r="F13" s="699">
        <v>791</v>
      </c>
      <c r="G13" s="324">
        <v>446</v>
      </c>
      <c r="H13" s="324">
        <v>382</v>
      </c>
      <c r="I13" s="324">
        <v>0</v>
      </c>
      <c r="J13" s="324">
        <v>504</v>
      </c>
      <c r="K13" s="324">
        <v>413</v>
      </c>
      <c r="L13" s="324">
        <v>546</v>
      </c>
      <c r="M13" s="324">
        <v>10</v>
      </c>
      <c r="N13" s="324">
        <v>54</v>
      </c>
      <c r="O13" s="323">
        <v>1259</v>
      </c>
      <c r="P13" s="386">
        <v>6141</v>
      </c>
    </row>
    <row r="14" spans="2:16" ht="13.8" x14ac:dyDescent="0.3">
      <c r="B14" s="384" t="s">
        <v>709</v>
      </c>
      <c r="C14" s="698">
        <v>19365</v>
      </c>
      <c r="D14" s="699">
        <v>16</v>
      </c>
      <c r="E14" s="699">
        <v>39</v>
      </c>
      <c r="F14" s="699"/>
      <c r="G14" s="323"/>
      <c r="H14" s="323">
        <v>1507</v>
      </c>
      <c r="I14" s="324">
        <v>0</v>
      </c>
      <c r="J14" s="323"/>
      <c r="K14" s="323">
        <v>6098</v>
      </c>
      <c r="L14" s="324">
        <v>32</v>
      </c>
      <c r="M14" s="324">
        <v>30</v>
      </c>
      <c r="N14" s="323">
        <v>9</v>
      </c>
      <c r="O14" s="324"/>
      <c r="P14" s="386">
        <v>34450</v>
      </c>
    </row>
    <row r="15" spans="2:16" ht="13.8" x14ac:dyDescent="0.3">
      <c r="B15" s="384" t="s">
        <v>58</v>
      </c>
      <c r="C15" s="698">
        <v>4584</v>
      </c>
      <c r="D15" s="699"/>
      <c r="E15" s="699"/>
      <c r="F15" s="699"/>
      <c r="G15" s="324"/>
      <c r="H15" s="323">
        <v>168</v>
      </c>
      <c r="I15" s="324"/>
      <c r="J15" s="324"/>
      <c r="K15" s="324"/>
      <c r="L15" s="323">
        <v>21876</v>
      </c>
      <c r="M15" s="324"/>
      <c r="N15" s="324"/>
      <c r="O15" s="324"/>
      <c r="P15" s="386">
        <v>27812</v>
      </c>
    </row>
    <row r="16" spans="2:16" ht="13.8" x14ac:dyDescent="0.3">
      <c r="B16" s="384" t="s">
        <v>706</v>
      </c>
      <c r="C16" s="698">
        <v>1277</v>
      </c>
      <c r="D16" s="699">
        <v>88</v>
      </c>
      <c r="E16" s="699">
        <v>331</v>
      </c>
      <c r="F16" s="699">
        <v>737</v>
      </c>
      <c r="G16" s="324">
        <v>242</v>
      </c>
      <c r="H16" s="324">
        <v>316</v>
      </c>
      <c r="I16" s="324"/>
      <c r="J16" s="324">
        <v>245</v>
      </c>
      <c r="K16" s="324">
        <v>784</v>
      </c>
      <c r="L16" s="324">
        <v>466</v>
      </c>
      <c r="M16" s="324">
        <v>16</v>
      </c>
      <c r="N16" s="324">
        <v>402</v>
      </c>
      <c r="O16" s="324"/>
      <c r="P16" s="386">
        <v>4918</v>
      </c>
    </row>
    <row r="17" spans="2:16" ht="13.8" x14ac:dyDescent="0.3">
      <c r="B17" s="384" t="s">
        <v>710</v>
      </c>
      <c r="C17" s="699"/>
      <c r="D17" s="699"/>
      <c r="E17" s="699"/>
      <c r="F17" s="699"/>
      <c r="G17" s="324"/>
      <c r="H17" s="324"/>
      <c r="I17" s="323">
        <v>39573</v>
      </c>
      <c r="J17" s="324"/>
      <c r="K17" s="324"/>
      <c r="L17" s="324"/>
      <c r="M17" s="324"/>
      <c r="N17" s="324"/>
      <c r="O17" s="324"/>
      <c r="P17" s="386">
        <v>39573</v>
      </c>
    </row>
    <row r="18" spans="2:16" ht="13.8" x14ac:dyDescent="0.3">
      <c r="B18" s="43" t="s">
        <v>46</v>
      </c>
      <c r="C18" s="44">
        <f>+SUM(C12:C17)</f>
        <v>38124</v>
      </c>
      <c r="D18" s="44">
        <f t="shared" ref="D18:O18" si="0">+SUM(D12:D17)</f>
        <v>13281</v>
      </c>
      <c r="E18" s="44">
        <f t="shared" si="0"/>
        <v>6969</v>
      </c>
      <c r="F18" s="44">
        <f t="shared" si="0"/>
        <v>35541</v>
      </c>
      <c r="G18" s="44">
        <f t="shared" si="0"/>
        <v>12805</v>
      </c>
      <c r="H18" s="44">
        <f t="shared" si="0"/>
        <v>14262</v>
      </c>
      <c r="I18" s="44">
        <f t="shared" si="0"/>
        <v>41140</v>
      </c>
      <c r="J18" s="44">
        <f t="shared" si="0"/>
        <v>14157</v>
      </c>
      <c r="K18" s="44">
        <f t="shared" si="0"/>
        <v>22180</v>
      </c>
      <c r="L18" s="44">
        <f t="shared" si="0"/>
        <v>37459</v>
      </c>
      <c r="M18" s="44">
        <f t="shared" si="0"/>
        <v>1324</v>
      </c>
      <c r="N18" s="44">
        <f t="shared" si="0"/>
        <v>9274</v>
      </c>
      <c r="O18" s="44">
        <f t="shared" si="0"/>
        <v>3777</v>
      </c>
      <c r="P18" s="42">
        <f t="shared" ref="P18" si="1">+SUM(C18:O18)</f>
        <v>250293</v>
      </c>
    </row>
    <row r="19" spans="2:16" ht="13.8" x14ac:dyDescent="0.3">
      <c r="B19" s="45" t="s">
        <v>59</v>
      </c>
      <c r="C19" s="46">
        <f t="shared" ref="C19:P19" si="2">+C18/$P$18</f>
        <v>0.15231748390885883</v>
      </c>
      <c r="D19" s="46">
        <f t="shared" si="2"/>
        <v>5.3061811556855368E-2</v>
      </c>
      <c r="E19" s="46">
        <f t="shared" si="2"/>
        <v>2.7843367573204204E-2</v>
      </c>
      <c r="F19" s="46">
        <f t="shared" si="2"/>
        <v>0.14199757883760233</v>
      </c>
      <c r="G19" s="46">
        <f t="shared" si="2"/>
        <v>5.1160040432612977E-2</v>
      </c>
      <c r="H19" s="46">
        <f t="shared" si="2"/>
        <v>5.6981218012489364E-2</v>
      </c>
      <c r="I19" s="46">
        <f t="shared" si="2"/>
        <v>0.16436736145237782</v>
      </c>
      <c r="J19" s="46">
        <f t="shared" si="2"/>
        <v>5.6561709676259425E-2</v>
      </c>
      <c r="K19" s="46">
        <f t="shared" si="2"/>
        <v>8.8616141881714627E-2</v>
      </c>
      <c r="L19" s="234">
        <f t="shared" si="2"/>
        <v>0.14966059777940255</v>
      </c>
      <c r="M19" s="46">
        <f t="shared" si="2"/>
        <v>5.2898003539851293E-3</v>
      </c>
      <c r="N19" s="46">
        <f t="shared" si="2"/>
        <v>3.7052574382823333E-2</v>
      </c>
      <c r="O19" s="46">
        <f t="shared" si="2"/>
        <v>1.5090314151814074E-2</v>
      </c>
      <c r="P19" s="46">
        <f t="shared" si="2"/>
        <v>1</v>
      </c>
    </row>
    <row r="20" spans="2:16" ht="33.75" customHeight="1" x14ac:dyDescent="0.3">
      <c r="B20" s="823" t="s">
        <v>1338</v>
      </c>
      <c r="C20" s="824"/>
      <c r="D20" s="824"/>
      <c r="E20" s="824"/>
      <c r="F20" s="824"/>
      <c r="G20" s="824"/>
      <c r="H20" s="824"/>
      <c r="I20" s="824"/>
      <c r="J20" s="824"/>
      <c r="K20" s="824"/>
      <c r="L20" s="824"/>
      <c r="M20" s="824"/>
      <c r="N20" s="824"/>
      <c r="O20" s="824"/>
      <c r="P20" s="824"/>
    </row>
    <row r="21" spans="2:16" ht="47.25" customHeight="1" x14ac:dyDescent="0.3">
      <c r="B21" s="809"/>
      <c r="C21" s="809"/>
      <c r="D21" s="809"/>
      <c r="E21" s="809"/>
      <c r="F21" s="809"/>
      <c r="G21" s="809"/>
      <c r="H21" s="809"/>
      <c r="I21" s="809"/>
      <c r="J21" s="809"/>
      <c r="K21" s="809"/>
      <c r="L21" s="809"/>
      <c r="M21" s="809"/>
      <c r="N21" s="809"/>
      <c r="O21" s="809"/>
      <c r="P21" s="809"/>
    </row>
    <row r="22" spans="2:16" ht="28.2" customHeight="1" x14ac:dyDescent="0.3">
      <c r="B22" s="808" t="s">
        <v>1339</v>
      </c>
      <c r="C22" s="808"/>
      <c r="D22" s="808"/>
      <c r="E22" s="808"/>
      <c r="F22" s="808"/>
      <c r="G22" s="808"/>
      <c r="H22" s="808"/>
      <c r="I22" s="808"/>
      <c r="J22" s="808"/>
      <c r="K22" s="808"/>
      <c r="L22" s="808"/>
      <c r="M22" s="808"/>
      <c r="N22" s="808"/>
      <c r="O22" s="808"/>
      <c r="P22" s="808"/>
    </row>
    <row r="23" spans="2:16" ht="13.8" x14ac:dyDescent="0.3">
      <c r="G23" s="12"/>
      <c r="H23" s="12"/>
    </row>
    <row r="24" spans="2:16" ht="13.8" x14ac:dyDescent="0.3">
      <c r="G24" s="12"/>
      <c r="H24" s="12"/>
    </row>
    <row r="25" spans="2:16" ht="15.75" customHeight="1" x14ac:dyDescent="0.3"/>
    <row r="26" spans="2:16" ht="15.75" customHeight="1" x14ac:dyDescent="0.3"/>
    <row r="27" spans="2:16" ht="19.5" customHeight="1" x14ac:dyDescent="0.3">
      <c r="B27" s="825" t="s">
        <v>1244</v>
      </c>
      <c r="C27" s="825"/>
      <c r="D27" s="825"/>
      <c r="E27" s="825"/>
      <c r="F27" s="825"/>
      <c r="G27" s="825"/>
      <c r="H27" s="825"/>
      <c r="I27" s="825"/>
      <c r="J27" s="825"/>
      <c r="K27" s="825"/>
    </row>
    <row r="28" spans="2:16" ht="15.75" customHeight="1" x14ac:dyDescent="0.3"/>
    <row r="29" spans="2:16" ht="15.75" customHeight="1" x14ac:dyDescent="0.3"/>
    <row r="30" spans="2:16" ht="15.75" customHeight="1" x14ac:dyDescent="0.3">
      <c r="B30" s="826" t="s">
        <v>1247</v>
      </c>
      <c r="C30" s="826"/>
      <c r="D30" s="826"/>
      <c r="E30" s="826"/>
      <c r="F30" s="826"/>
      <c r="G30" s="826"/>
      <c r="H30" s="826"/>
      <c r="I30" s="826"/>
      <c r="J30" s="826"/>
      <c r="K30" s="826"/>
      <c r="L30" s="826"/>
    </row>
    <row r="31" spans="2:16" ht="15.75" customHeight="1" x14ac:dyDescent="0.3">
      <c r="B31" s="161" t="s">
        <v>437</v>
      </c>
      <c r="C31" s="162">
        <v>2018</v>
      </c>
      <c r="D31" s="163">
        <v>2019</v>
      </c>
      <c r="E31" s="163">
        <v>2020</v>
      </c>
      <c r="F31" s="163">
        <v>2021</v>
      </c>
      <c r="G31" s="163">
        <v>2022</v>
      </c>
      <c r="H31" s="163" t="s">
        <v>443</v>
      </c>
      <c r="I31" s="587">
        <v>2024</v>
      </c>
      <c r="J31" s="587">
        <v>2025</v>
      </c>
      <c r="K31" s="587">
        <v>2026</v>
      </c>
      <c r="L31" s="164" t="s">
        <v>46</v>
      </c>
    </row>
    <row r="32" spans="2:16" s="12" customFormat="1" ht="15.75" customHeight="1" x14ac:dyDescent="0.3">
      <c r="B32" s="950" t="s">
        <v>1529</v>
      </c>
      <c r="C32" s="951">
        <v>5739</v>
      </c>
      <c r="D32" s="951">
        <v>5682</v>
      </c>
      <c r="E32" s="952">
        <v>787</v>
      </c>
      <c r="F32" s="952">
        <v>57</v>
      </c>
      <c r="G32" s="951">
        <v>1890</v>
      </c>
      <c r="H32" s="951">
        <v>5009</v>
      </c>
      <c r="I32" s="951">
        <v>1420</v>
      </c>
      <c r="J32" s="952">
        <v>496</v>
      </c>
      <c r="K32" s="951">
        <v>1302</v>
      </c>
      <c r="L32" s="594">
        <f>+SUM(C32:K32)</f>
        <v>22382</v>
      </c>
      <c r="M32" s="648"/>
    </row>
    <row r="33" spans="2:13" s="12" customFormat="1" ht="35.4" customHeight="1" x14ac:dyDescent="0.3">
      <c r="B33" s="325" t="s">
        <v>1543</v>
      </c>
      <c r="C33" s="681">
        <v>19</v>
      </c>
      <c r="D33" s="681">
        <v>9</v>
      </c>
      <c r="E33" s="681">
        <v>0</v>
      </c>
      <c r="F33" s="621">
        <v>0</v>
      </c>
      <c r="G33" s="681">
        <v>3</v>
      </c>
      <c r="H33" s="681">
        <v>16</v>
      </c>
      <c r="I33" s="681">
        <v>8</v>
      </c>
      <c r="J33" s="681">
        <v>0</v>
      </c>
      <c r="K33" s="621">
        <v>1</v>
      </c>
      <c r="L33" s="949">
        <f>+SUM(C33:K33)</f>
        <v>56</v>
      </c>
      <c r="M33" s="648"/>
    </row>
    <row r="34" spans="2:13" s="12" customFormat="1" ht="35.4" customHeight="1" x14ac:dyDescent="0.3">
      <c r="B34" s="325" t="s">
        <v>1544</v>
      </c>
      <c r="C34" s="681">
        <v>4</v>
      </c>
      <c r="D34" s="681">
        <v>5</v>
      </c>
      <c r="E34" s="681">
        <v>0</v>
      </c>
      <c r="F34" s="621">
        <v>0</v>
      </c>
      <c r="G34" s="681">
        <v>2</v>
      </c>
      <c r="H34" s="681">
        <v>65</v>
      </c>
      <c r="I34" s="681">
        <v>16</v>
      </c>
      <c r="J34" s="681">
        <v>0</v>
      </c>
      <c r="K34" s="621">
        <v>6</v>
      </c>
      <c r="L34" s="949">
        <f t="shared" ref="L34:L37" si="3">+SUM(C34:K34)</f>
        <v>98</v>
      </c>
      <c r="M34" s="648"/>
    </row>
    <row r="35" spans="2:13" s="12" customFormat="1" ht="35.4" customHeight="1" x14ac:dyDescent="0.3">
      <c r="B35" s="325" t="s">
        <v>1545</v>
      </c>
      <c r="C35" s="681">
        <v>0</v>
      </c>
      <c r="D35" s="681">
        <v>2</v>
      </c>
      <c r="E35" s="681">
        <v>0</v>
      </c>
      <c r="F35" s="621">
        <v>0</v>
      </c>
      <c r="G35" s="681">
        <v>0</v>
      </c>
      <c r="H35" s="681">
        <v>21</v>
      </c>
      <c r="I35" s="681">
        <v>3</v>
      </c>
      <c r="J35" s="681">
        <v>0</v>
      </c>
      <c r="K35" s="621"/>
      <c r="L35" s="949">
        <f t="shared" si="3"/>
        <v>26</v>
      </c>
      <c r="M35" s="648"/>
    </row>
    <row r="36" spans="2:13" s="12" customFormat="1" ht="35.4" customHeight="1" x14ac:dyDescent="0.3">
      <c r="B36" s="325" t="s">
        <v>1546</v>
      </c>
      <c r="C36" s="681">
        <v>5</v>
      </c>
      <c r="D36" s="681">
        <v>1</v>
      </c>
      <c r="E36" s="681">
        <v>0</v>
      </c>
      <c r="F36" s="621">
        <v>0</v>
      </c>
      <c r="G36" s="681">
        <v>0</v>
      </c>
      <c r="H36" s="681">
        <v>50</v>
      </c>
      <c r="I36" s="681">
        <v>14</v>
      </c>
      <c r="J36" s="681">
        <v>0</v>
      </c>
      <c r="K36" s="621">
        <v>1</v>
      </c>
      <c r="L36" s="949">
        <f t="shared" si="3"/>
        <v>71</v>
      </c>
      <c r="M36" s="648"/>
    </row>
    <row r="37" spans="2:13" s="12" customFormat="1" ht="35.4" customHeight="1" x14ac:dyDescent="0.3">
      <c r="B37" s="325" t="s">
        <v>1530</v>
      </c>
      <c r="C37" s="681">
        <v>28</v>
      </c>
      <c r="D37" s="681">
        <v>17</v>
      </c>
      <c r="E37" s="681"/>
      <c r="F37" s="621"/>
      <c r="G37" s="681">
        <v>5</v>
      </c>
      <c r="H37" s="681">
        <v>152</v>
      </c>
      <c r="I37" s="681">
        <v>0</v>
      </c>
      <c r="J37" s="681">
        <v>0</v>
      </c>
      <c r="K37" s="621">
        <v>37</v>
      </c>
      <c r="L37" s="949">
        <f t="shared" si="3"/>
        <v>239</v>
      </c>
      <c r="M37" s="648"/>
    </row>
    <row r="38" spans="2:13" s="12" customFormat="1" ht="15.75" customHeight="1" x14ac:dyDescent="0.3">
      <c r="C38" s="649"/>
      <c r="D38" s="649"/>
      <c r="E38" s="650"/>
      <c r="F38" s="650"/>
      <c r="G38" s="649"/>
      <c r="H38" s="649"/>
      <c r="I38" s="650"/>
      <c r="J38" s="650"/>
      <c r="K38" s="650"/>
    </row>
    <row r="39" spans="2:13" s="12" customFormat="1" ht="30" customHeight="1" x14ac:dyDescent="0.3">
      <c r="B39" s="819" t="s">
        <v>1245</v>
      </c>
      <c r="C39" s="819"/>
      <c r="D39" s="819"/>
      <c r="E39" s="819"/>
      <c r="F39" s="819"/>
      <c r="G39" s="819"/>
      <c r="H39" s="819"/>
      <c r="I39" s="819"/>
      <c r="J39" s="819"/>
      <c r="K39" s="819"/>
      <c r="L39" s="819"/>
    </row>
    <row r="40" spans="2:13" ht="15.75" customHeight="1" x14ac:dyDescent="0.3">
      <c r="B40" s="588" t="s">
        <v>437</v>
      </c>
      <c r="C40" s="587">
        <v>2018</v>
      </c>
      <c r="D40" s="587">
        <v>2019</v>
      </c>
      <c r="E40" s="587">
        <v>2020</v>
      </c>
      <c r="F40" s="587">
        <v>2021</v>
      </c>
      <c r="G40" s="587">
        <v>2022</v>
      </c>
      <c r="H40" s="587" t="s">
        <v>443</v>
      </c>
      <c r="I40" s="587">
        <v>2024</v>
      </c>
      <c r="J40" s="587">
        <v>2025</v>
      </c>
      <c r="K40" s="587">
        <v>2026</v>
      </c>
      <c r="L40" s="587" t="s">
        <v>46</v>
      </c>
    </row>
    <row r="41" spans="2:13" ht="15.75" customHeight="1" x14ac:dyDescent="0.3">
      <c r="B41" s="693" t="s">
        <v>1529</v>
      </c>
      <c r="C41" s="702">
        <v>5588</v>
      </c>
      <c r="D41" s="702">
        <v>6936</v>
      </c>
      <c r="E41" s="702">
        <v>1313</v>
      </c>
      <c r="F41" s="703">
        <v>142</v>
      </c>
      <c r="G41" s="702">
        <v>5475</v>
      </c>
      <c r="H41" s="702">
        <v>5964</v>
      </c>
      <c r="I41" s="702">
        <v>3010</v>
      </c>
      <c r="J41" s="702">
        <v>1862</v>
      </c>
      <c r="K41" s="704">
        <v>1361</v>
      </c>
      <c r="L41" s="165">
        <f>+SUM(C41:K41)</f>
        <v>31651</v>
      </c>
    </row>
    <row r="42" spans="2:13" ht="25.2" customHeight="1" x14ac:dyDescent="0.3">
      <c r="B42" s="948" t="s">
        <v>1547</v>
      </c>
      <c r="C42" s="948">
        <v>5</v>
      </c>
      <c r="D42" s="948">
        <v>3</v>
      </c>
      <c r="E42" s="948">
        <v>0</v>
      </c>
      <c r="F42" s="948">
        <v>0</v>
      </c>
      <c r="G42" s="948">
        <v>2</v>
      </c>
      <c r="H42" s="948">
        <v>16</v>
      </c>
      <c r="I42" s="948">
        <v>8</v>
      </c>
      <c r="J42" s="948">
        <v>7</v>
      </c>
      <c r="K42" s="948"/>
      <c r="L42" s="165">
        <f t="shared" ref="L42:L46" si="4">+SUM(C42:K42)</f>
        <v>41</v>
      </c>
    </row>
    <row r="43" spans="2:13" ht="25.2" customHeight="1" x14ac:dyDescent="0.3">
      <c r="B43" s="948" t="s">
        <v>1548</v>
      </c>
      <c r="C43" s="948">
        <v>6</v>
      </c>
      <c r="D43" s="948">
        <v>9</v>
      </c>
      <c r="E43" s="948">
        <v>0</v>
      </c>
      <c r="F43" s="948">
        <v>0</v>
      </c>
      <c r="G43" s="948">
        <v>6</v>
      </c>
      <c r="H43" s="948">
        <v>65</v>
      </c>
      <c r="I43" s="948">
        <v>16</v>
      </c>
      <c r="J43" s="948">
        <v>23</v>
      </c>
      <c r="K43" s="948"/>
      <c r="L43" s="165">
        <f t="shared" si="4"/>
        <v>125</v>
      </c>
    </row>
    <row r="44" spans="2:13" ht="25.2" customHeight="1" x14ac:dyDescent="0.3">
      <c r="B44" s="948" t="s">
        <v>1549</v>
      </c>
      <c r="C44" s="948">
        <v>0</v>
      </c>
      <c r="D44" s="948">
        <v>1</v>
      </c>
      <c r="E44" s="948">
        <v>0</v>
      </c>
      <c r="F44" s="948">
        <v>0</v>
      </c>
      <c r="G44" s="948">
        <v>0</v>
      </c>
      <c r="H44" s="948">
        <v>21</v>
      </c>
      <c r="I44" s="948">
        <v>3</v>
      </c>
      <c r="J44" s="948">
        <v>4</v>
      </c>
      <c r="K44" s="948"/>
      <c r="L44" s="165">
        <f t="shared" si="4"/>
        <v>29</v>
      </c>
    </row>
    <row r="45" spans="2:13" ht="25.2" customHeight="1" x14ac:dyDescent="0.3">
      <c r="B45" s="948" t="s">
        <v>1550</v>
      </c>
      <c r="C45" s="948">
        <v>7</v>
      </c>
      <c r="D45" s="948">
        <v>2</v>
      </c>
      <c r="E45" s="948">
        <v>0</v>
      </c>
      <c r="F45" s="948">
        <v>0</v>
      </c>
      <c r="G45" s="948">
        <v>0</v>
      </c>
      <c r="H45" s="948">
        <v>47</v>
      </c>
      <c r="I45" s="948">
        <v>14</v>
      </c>
      <c r="J45" s="948">
        <v>11</v>
      </c>
      <c r="K45" s="948">
        <v>2</v>
      </c>
      <c r="L45" s="165">
        <f t="shared" si="4"/>
        <v>83</v>
      </c>
    </row>
    <row r="46" spans="2:13" ht="25.2" customHeight="1" x14ac:dyDescent="0.3">
      <c r="B46" s="948" t="s">
        <v>1551</v>
      </c>
      <c r="C46" s="948"/>
      <c r="D46" s="948"/>
      <c r="E46" s="948"/>
      <c r="F46" s="948"/>
      <c r="G46" s="948"/>
      <c r="H46" s="948"/>
      <c r="I46" s="948">
        <v>0</v>
      </c>
      <c r="J46" s="948">
        <v>2</v>
      </c>
      <c r="K46" s="948">
        <v>3</v>
      </c>
      <c r="L46" s="165">
        <f t="shared" si="4"/>
        <v>5</v>
      </c>
    </row>
    <row r="47" spans="2:13" ht="15.75" customHeight="1" x14ac:dyDescent="0.3"/>
    <row r="48" spans="2:13" ht="15.75" customHeight="1" x14ac:dyDescent="0.3">
      <c r="B48" s="820" t="s">
        <v>1246</v>
      </c>
      <c r="C48" s="820"/>
      <c r="D48" s="820"/>
      <c r="E48" s="820"/>
      <c r="F48" s="820"/>
      <c r="G48" s="820"/>
      <c r="H48" s="820"/>
      <c r="I48" s="820"/>
      <c r="J48" s="820"/>
      <c r="K48" s="820"/>
      <c r="L48" s="820"/>
    </row>
    <row r="49" spans="2:12" ht="15.75" customHeight="1" x14ac:dyDescent="0.3">
      <c r="B49" s="166" t="s">
        <v>437</v>
      </c>
      <c r="C49" s="166" t="s">
        <v>438</v>
      </c>
      <c r="D49" s="166" t="s">
        <v>439</v>
      </c>
      <c r="E49" s="166" t="s">
        <v>440</v>
      </c>
      <c r="F49" s="166" t="s">
        <v>441</v>
      </c>
      <c r="G49" s="166" t="s">
        <v>442</v>
      </c>
      <c r="H49" s="166" t="s">
        <v>443</v>
      </c>
      <c r="I49" s="166">
        <v>2024</v>
      </c>
      <c r="J49" s="166">
        <v>2025</v>
      </c>
      <c r="K49" s="166">
        <v>2026</v>
      </c>
      <c r="L49" s="166" t="s">
        <v>46</v>
      </c>
    </row>
    <row r="50" spans="2:12" ht="15.75" customHeight="1" x14ac:dyDescent="0.3">
      <c r="B50" s="943" t="s">
        <v>1529</v>
      </c>
      <c r="C50" s="944">
        <v>6404</v>
      </c>
      <c r="D50" s="944">
        <v>6275</v>
      </c>
      <c r="E50" s="945">
        <v>120</v>
      </c>
      <c r="F50" s="945">
        <v>379</v>
      </c>
      <c r="G50" s="944">
        <v>2431</v>
      </c>
      <c r="H50" s="944">
        <v>17746</v>
      </c>
      <c r="I50" s="944">
        <v>37853</v>
      </c>
      <c r="J50" s="944">
        <v>5228</v>
      </c>
      <c r="K50" s="944">
        <v>18435</v>
      </c>
      <c r="L50" s="946">
        <f>+SUM(C50:K50)</f>
        <v>94871</v>
      </c>
    </row>
    <row r="51" spans="2:12" s="388" customFormat="1" ht="43.2" customHeight="1" x14ac:dyDescent="0.3">
      <c r="B51" s="325" t="s">
        <v>1552</v>
      </c>
      <c r="C51" s="682">
        <v>15</v>
      </c>
      <c r="D51" s="682">
        <v>10</v>
      </c>
      <c r="E51" s="682"/>
      <c r="F51" s="682"/>
      <c r="G51" s="682">
        <v>3</v>
      </c>
      <c r="H51" s="682">
        <v>122</v>
      </c>
      <c r="I51" s="682">
        <v>171</v>
      </c>
      <c r="J51" s="683">
        <v>54</v>
      </c>
      <c r="K51" s="684">
        <v>32</v>
      </c>
      <c r="L51" s="596">
        <f>+SUM(C51:K51)</f>
        <v>407</v>
      </c>
    </row>
    <row r="52" spans="2:12" s="388" customFormat="1" ht="33" customHeight="1" x14ac:dyDescent="0.3">
      <c r="B52" s="325" t="s">
        <v>1548</v>
      </c>
      <c r="C52" s="682">
        <v>4</v>
      </c>
      <c r="D52" s="682">
        <v>5</v>
      </c>
      <c r="E52" s="682"/>
      <c r="F52" s="682"/>
      <c r="G52" s="682">
        <v>2</v>
      </c>
      <c r="H52" s="682">
        <v>303</v>
      </c>
      <c r="I52" s="682">
        <v>354</v>
      </c>
      <c r="J52" s="683">
        <v>217</v>
      </c>
      <c r="K52" s="684">
        <v>111</v>
      </c>
      <c r="L52" s="596">
        <f t="shared" ref="L52:L55" si="5">+SUM(C52:K52)</f>
        <v>996</v>
      </c>
    </row>
    <row r="53" spans="2:12" s="388" customFormat="1" ht="33" customHeight="1" x14ac:dyDescent="0.3">
      <c r="B53" s="325" t="s">
        <v>1549</v>
      </c>
      <c r="C53" s="682"/>
      <c r="D53" s="682">
        <v>2</v>
      </c>
      <c r="E53" s="682"/>
      <c r="F53" s="682"/>
      <c r="G53" s="682"/>
      <c r="H53" s="682">
        <v>503</v>
      </c>
      <c r="I53" s="682">
        <v>29</v>
      </c>
      <c r="J53" s="683">
        <v>108</v>
      </c>
      <c r="K53" s="684"/>
      <c r="L53" s="596">
        <f t="shared" si="5"/>
        <v>642</v>
      </c>
    </row>
    <row r="54" spans="2:12" s="388" customFormat="1" ht="33" customHeight="1" x14ac:dyDescent="0.3">
      <c r="B54" s="325" t="s">
        <v>1550</v>
      </c>
      <c r="C54" s="682">
        <v>5</v>
      </c>
      <c r="D54" s="682"/>
      <c r="E54" s="682">
        <v>1</v>
      </c>
      <c r="F54" s="682"/>
      <c r="G54" s="682"/>
      <c r="H54" s="682">
        <v>192</v>
      </c>
      <c r="I54" s="682">
        <v>163</v>
      </c>
      <c r="J54" s="683">
        <v>129</v>
      </c>
      <c r="K54" s="684">
        <v>15</v>
      </c>
      <c r="L54" s="596">
        <f t="shared" si="5"/>
        <v>505</v>
      </c>
    </row>
    <row r="55" spans="2:12" ht="31.2" customHeight="1" x14ac:dyDescent="0.3">
      <c r="B55" s="947" t="s">
        <v>1553</v>
      </c>
      <c r="C55" s="31"/>
      <c r="D55" s="31"/>
      <c r="E55" s="31"/>
      <c r="F55" s="31"/>
      <c r="G55" s="31"/>
      <c r="H55" s="31"/>
      <c r="I55" s="31"/>
      <c r="J55" s="31"/>
      <c r="K55" s="31">
        <v>386</v>
      </c>
      <c r="L55" s="596">
        <f t="shared" si="5"/>
        <v>386</v>
      </c>
    </row>
    <row r="56" spans="2:12" ht="15.75" customHeight="1" x14ac:dyDescent="0.3"/>
    <row r="57" spans="2:12" ht="15.75" customHeight="1" x14ac:dyDescent="0.3"/>
    <row r="58" spans="2:12" ht="15.75" customHeight="1" x14ac:dyDescent="0.3">
      <c r="B58" s="821" t="s">
        <v>1353</v>
      </c>
      <c r="C58" s="821"/>
      <c r="D58" s="821"/>
      <c r="E58" s="821"/>
      <c r="F58" s="821"/>
      <c r="G58" s="821"/>
      <c r="H58" s="821"/>
      <c r="I58" s="821"/>
      <c r="J58" s="821"/>
      <c r="K58" s="821"/>
      <c r="L58" s="821"/>
    </row>
    <row r="59" spans="2:12" ht="15.75" customHeight="1" x14ac:dyDescent="0.3">
      <c r="B59" s="588" t="s">
        <v>437</v>
      </c>
      <c r="C59" s="589" t="s">
        <v>438</v>
      </c>
      <c r="D59" s="589" t="s">
        <v>439</v>
      </c>
      <c r="E59" s="589" t="s">
        <v>440</v>
      </c>
      <c r="F59" s="589" t="s">
        <v>441</v>
      </c>
      <c r="G59" s="589" t="s">
        <v>442</v>
      </c>
      <c r="H59" s="589" t="s">
        <v>443</v>
      </c>
      <c r="I59" s="589">
        <v>2024</v>
      </c>
      <c r="J59" s="589">
        <v>2025</v>
      </c>
      <c r="K59" s="589">
        <v>2026</v>
      </c>
      <c r="L59" s="589" t="s">
        <v>46</v>
      </c>
    </row>
    <row r="60" spans="2:12" ht="15.75" customHeight="1" x14ac:dyDescent="0.3">
      <c r="B60" s="693" t="s">
        <v>1529</v>
      </c>
      <c r="C60" s="694">
        <v>15725</v>
      </c>
      <c r="D60" s="694">
        <v>21503</v>
      </c>
      <c r="E60" s="694">
        <v>2765</v>
      </c>
      <c r="F60" s="265">
        <v>0</v>
      </c>
      <c r="G60" s="694">
        <v>20966</v>
      </c>
      <c r="H60" s="694">
        <v>9767</v>
      </c>
      <c r="I60" s="694">
        <v>8671</v>
      </c>
      <c r="J60" s="694">
        <v>5137</v>
      </c>
      <c r="K60" s="694">
        <v>11175</v>
      </c>
      <c r="L60" s="229">
        <f>+SUM(C60:K60)</f>
        <v>95709</v>
      </c>
    </row>
    <row r="61" spans="2:12" ht="34.200000000000003" customHeight="1" x14ac:dyDescent="0.3">
      <c r="B61" s="948" t="s">
        <v>1554</v>
      </c>
      <c r="C61" s="948"/>
      <c r="D61" s="948">
        <v>3</v>
      </c>
      <c r="E61" s="948"/>
      <c r="F61" s="948"/>
      <c r="G61" s="948"/>
      <c r="H61" s="948"/>
      <c r="I61" s="948"/>
      <c r="J61" s="948"/>
      <c r="K61" s="948"/>
      <c r="L61" s="229">
        <f>+SUM(C61:K61)</f>
        <v>3</v>
      </c>
    </row>
    <row r="62" spans="2:12" ht="34.200000000000003" customHeight="1" x14ac:dyDescent="0.3">
      <c r="B62" s="948" t="s">
        <v>1555</v>
      </c>
      <c r="C62" s="948">
        <v>15</v>
      </c>
      <c r="D62" s="948">
        <v>6</v>
      </c>
      <c r="E62" s="948"/>
      <c r="F62" s="948"/>
      <c r="G62" s="948">
        <v>3</v>
      </c>
      <c r="H62" s="948"/>
      <c r="I62" s="948"/>
      <c r="J62" s="948"/>
      <c r="K62" s="948"/>
      <c r="L62" s="229">
        <f t="shared" ref="L62:L64" si="6">+SUM(C62:K62)</f>
        <v>24</v>
      </c>
    </row>
    <row r="63" spans="2:12" ht="34.200000000000003" customHeight="1" x14ac:dyDescent="0.3">
      <c r="B63" s="948" t="s">
        <v>1556</v>
      </c>
      <c r="C63" s="948">
        <v>15</v>
      </c>
      <c r="D63" s="948">
        <v>3</v>
      </c>
      <c r="E63" s="948"/>
      <c r="F63" s="948"/>
      <c r="G63" s="948">
        <v>4</v>
      </c>
      <c r="H63" s="948">
        <v>4</v>
      </c>
      <c r="I63" s="948"/>
      <c r="J63" s="948"/>
      <c r="K63" s="948">
        <v>8</v>
      </c>
      <c r="L63" s="229">
        <f t="shared" si="6"/>
        <v>34</v>
      </c>
    </row>
    <row r="64" spans="2:12" ht="21.6" customHeight="1" x14ac:dyDescent="0.3">
      <c r="B64" s="948" t="s">
        <v>1530</v>
      </c>
      <c r="C64" s="948"/>
      <c r="D64" s="948"/>
      <c r="E64" s="948"/>
      <c r="F64" s="948"/>
      <c r="G64" s="948"/>
      <c r="H64" s="948"/>
      <c r="I64" s="948"/>
      <c r="J64" s="948">
        <v>5</v>
      </c>
      <c r="K64" s="948">
        <v>20</v>
      </c>
      <c r="L64" s="229">
        <f t="shared" si="6"/>
        <v>25</v>
      </c>
    </row>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sheetData>
  <mergeCells count="15">
    <mergeCell ref="G2:L2"/>
    <mergeCell ref="G3:L3"/>
    <mergeCell ref="G4:L4"/>
    <mergeCell ref="O10:O11"/>
    <mergeCell ref="C10:F10"/>
    <mergeCell ref="H10:I10"/>
    <mergeCell ref="K10:M10"/>
    <mergeCell ref="B39:L39"/>
    <mergeCell ref="B48:L48"/>
    <mergeCell ref="B58:L58"/>
    <mergeCell ref="P10:P11"/>
    <mergeCell ref="B20:P21"/>
    <mergeCell ref="B22:P22"/>
    <mergeCell ref="B27:K27"/>
    <mergeCell ref="B30:L30"/>
  </mergeCells>
  <hyperlinks>
    <hyperlink ref="C6" r:id="rId1" xr:uid="{00000000-0004-0000-0300-000000000000}"/>
    <hyperlink ref="C7" r:id="rId2" xr:uid="{00000000-0004-0000-0300-000001000000}"/>
  </hyperlinks>
  <pageMargins left="0.7" right="0.7" top="0.75" bottom="0.75" header="0" footer="0"/>
  <pageSetup orientation="landscape"/>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CK512"/>
  <sheetViews>
    <sheetView showGridLines="0" topLeftCell="B1" zoomScale="115" zoomScaleNormal="115" workbookViewId="0">
      <selection activeCell="C366" sqref="C366"/>
    </sheetView>
  </sheetViews>
  <sheetFormatPr baseColWidth="10" defaultColWidth="14.44140625" defaultRowHeight="23.25" customHeight="1" x14ac:dyDescent="0.3"/>
  <cols>
    <col min="1" max="1" width="11.44140625" style="51" customWidth="1"/>
    <col min="2" max="2" width="34.21875" style="54" customWidth="1"/>
    <col min="3" max="3" width="43.5546875" style="54" customWidth="1"/>
    <col min="4" max="4" width="18.44140625" style="54" customWidth="1"/>
    <col min="5" max="7" width="16.109375" style="54" customWidth="1"/>
    <col min="8" max="9" width="8.33203125" style="51" customWidth="1"/>
    <col min="10" max="15" width="11.44140625" style="51" customWidth="1"/>
    <col min="16" max="16" width="10" style="51" customWidth="1"/>
    <col min="17" max="17" width="12.6640625" style="51" customWidth="1"/>
    <col min="18" max="18" width="10" style="51" customWidth="1"/>
    <col min="19" max="19" width="13.88671875" style="51" customWidth="1"/>
    <col min="20" max="26" width="10" style="51" customWidth="1"/>
    <col min="27" max="16384" width="14.44140625" style="51"/>
  </cols>
  <sheetData>
    <row r="1" spans="1:26" ht="15.75" customHeight="1" x14ac:dyDescent="0.3">
      <c r="B1" s="52"/>
      <c r="C1" s="52"/>
      <c r="D1" s="52"/>
      <c r="E1" s="52"/>
      <c r="F1" s="53"/>
      <c r="G1" s="52"/>
    </row>
    <row r="2" spans="1:26" ht="13.5" customHeight="1" x14ac:dyDescent="0.3">
      <c r="D2" s="857" t="s">
        <v>0</v>
      </c>
      <c r="E2" s="857"/>
      <c r="F2" s="857"/>
      <c r="G2" s="857"/>
      <c r="H2" s="55"/>
      <c r="I2" s="55"/>
      <c r="J2" s="55"/>
      <c r="K2" s="55"/>
      <c r="L2" s="55"/>
      <c r="M2" s="55"/>
      <c r="N2" s="55"/>
      <c r="O2" s="55"/>
    </row>
    <row r="3" spans="1:26" ht="12.75" customHeight="1" x14ac:dyDescent="0.3">
      <c r="D3" s="858" t="s">
        <v>94</v>
      </c>
      <c r="E3" s="858"/>
      <c r="F3" s="858"/>
      <c r="G3" s="858"/>
      <c r="H3" s="56"/>
      <c r="I3" s="56"/>
      <c r="J3" s="56"/>
      <c r="K3" s="56"/>
      <c r="L3" s="56"/>
      <c r="M3" s="56"/>
      <c r="N3" s="56"/>
      <c r="O3" s="56"/>
    </row>
    <row r="4" spans="1:26" ht="12" customHeight="1" x14ac:dyDescent="0.3">
      <c r="D4" s="864" t="s">
        <v>1248</v>
      </c>
      <c r="E4" s="864"/>
      <c r="F4" s="864"/>
      <c r="G4" s="864"/>
      <c r="H4" s="864"/>
      <c r="I4" s="864"/>
      <c r="J4" s="864"/>
      <c r="K4" s="864"/>
    </row>
    <row r="5" spans="1:26" ht="18.75" customHeight="1" x14ac:dyDescent="0.3">
      <c r="B5" s="57" t="s">
        <v>96</v>
      </c>
      <c r="C5" s="58" t="s">
        <v>66</v>
      </c>
      <c r="D5" s="59"/>
      <c r="E5" s="59"/>
      <c r="F5" s="59"/>
      <c r="G5" s="59"/>
    </row>
    <row r="6" spans="1:26" ht="15.75" customHeight="1" x14ac:dyDescent="0.3">
      <c r="B6" s="60" t="s">
        <v>101</v>
      </c>
      <c r="C6" s="58" t="s">
        <v>72</v>
      </c>
      <c r="D6" s="61"/>
      <c r="F6" s="62"/>
    </row>
    <row r="7" spans="1:26" ht="15.75" customHeight="1" x14ac:dyDescent="0.3">
      <c r="B7" s="60"/>
      <c r="C7" s="58"/>
      <c r="D7" s="61"/>
      <c r="F7" s="62"/>
    </row>
    <row r="8" spans="1:26" ht="10.5" customHeight="1" x14ac:dyDescent="0.3">
      <c r="B8" s="862"/>
      <c r="C8" s="863"/>
      <c r="D8" s="863"/>
      <c r="F8" s="62"/>
    </row>
    <row r="9" spans="1:26" ht="16.5" customHeight="1" x14ac:dyDescent="0.3">
      <c r="A9" s="63"/>
      <c r="B9" s="50" t="s">
        <v>60</v>
      </c>
      <c r="C9" s="50" t="s">
        <v>61</v>
      </c>
      <c r="D9" s="50" t="s">
        <v>62</v>
      </c>
      <c r="E9" s="50" t="s">
        <v>63</v>
      </c>
      <c r="F9" s="20"/>
      <c r="G9" s="64"/>
      <c r="H9" s="63"/>
      <c r="I9" s="63"/>
      <c r="J9" s="63"/>
      <c r="K9" s="63"/>
      <c r="L9" s="63"/>
      <c r="M9" s="63"/>
      <c r="N9" s="63"/>
      <c r="O9" s="63"/>
      <c r="P9" s="63"/>
      <c r="Q9" s="63"/>
      <c r="R9" s="63"/>
      <c r="S9" s="63"/>
      <c r="T9" s="63"/>
      <c r="U9" s="63"/>
      <c r="V9" s="63"/>
      <c r="W9" s="63"/>
      <c r="X9" s="63"/>
      <c r="Y9" s="63"/>
      <c r="Z9" s="63"/>
    </row>
    <row r="10" spans="1:26" ht="23.25" customHeight="1" x14ac:dyDescent="0.3">
      <c r="A10" s="63"/>
      <c r="B10" s="79">
        <v>18</v>
      </c>
      <c r="C10" s="73">
        <v>85</v>
      </c>
      <c r="D10" s="73">
        <v>85</v>
      </c>
      <c r="E10" s="73" t="str">
        <f>+C14</f>
        <v>Biblioteca Digital - BDIGITAL</v>
      </c>
      <c r="F10" s="20"/>
      <c r="G10" s="64"/>
      <c r="H10" s="63"/>
      <c r="I10" s="63"/>
      <c r="J10" s="63"/>
      <c r="K10" s="63"/>
      <c r="L10" s="63"/>
      <c r="M10" s="63"/>
      <c r="N10" s="63"/>
      <c r="O10" s="63"/>
      <c r="P10" s="63"/>
      <c r="Q10" s="63"/>
      <c r="R10" s="63"/>
      <c r="S10" s="63"/>
      <c r="T10" s="63"/>
      <c r="U10" s="63"/>
      <c r="V10" s="63"/>
      <c r="W10" s="63"/>
      <c r="X10" s="63"/>
      <c r="Y10" s="63"/>
      <c r="Z10" s="63"/>
    </row>
    <row r="11" spans="1:26" ht="16.5" customHeight="1" x14ac:dyDescent="0.3">
      <c r="A11" s="63"/>
      <c r="B11" s="855" t="s">
        <v>5</v>
      </c>
      <c r="C11" s="855" t="s">
        <v>106</v>
      </c>
      <c r="D11" s="855" t="s">
        <v>6</v>
      </c>
      <c r="E11" s="855" t="s">
        <v>64</v>
      </c>
      <c r="F11" s="855" t="s">
        <v>8</v>
      </c>
      <c r="G11" s="855" t="s">
        <v>102</v>
      </c>
      <c r="H11" s="853">
        <v>2020</v>
      </c>
      <c r="I11" s="853"/>
      <c r="J11" s="853">
        <v>2021</v>
      </c>
      <c r="K11" s="853"/>
      <c r="L11" s="853">
        <v>2022</v>
      </c>
      <c r="M11" s="853"/>
      <c r="N11" s="853">
        <v>2023</v>
      </c>
      <c r="O11" s="853"/>
      <c r="P11" s="853">
        <v>2024</v>
      </c>
      <c r="Q11" s="853"/>
      <c r="R11" s="853">
        <v>2025</v>
      </c>
      <c r="S11" s="856"/>
      <c r="T11" s="853">
        <v>2026</v>
      </c>
      <c r="U11" s="853"/>
      <c r="V11" s="854"/>
      <c r="W11" s="854"/>
      <c r="X11" s="254"/>
      <c r="Y11" s="63"/>
      <c r="Z11" s="63"/>
    </row>
    <row r="12" spans="1:26" ht="16.5" customHeight="1" x14ac:dyDescent="0.3">
      <c r="B12" s="855"/>
      <c r="C12" s="855"/>
      <c r="D12" s="855"/>
      <c r="E12" s="855"/>
      <c r="F12" s="855"/>
      <c r="G12" s="855"/>
      <c r="H12" s="70" t="s">
        <v>103</v>
      </c>
      <c r="I12" s="70" t="s">
        <v>104</v>
      </c>
      <c r="J12" s="70" t="s">
        <v>103</v>
      </c>
      <c r="K12" s="70" t="s">
        <v>104</v>
      </c>
      <c r="L12" s="70" t="s">
        <v>103</v>
      </c>
      <c r="M12" s="70" t="s">
        <v>104</v>
      </c>
      <c r="N12" s="70" t="s">
        <v>103</v>
      </c>
      <c r="O12" s="70" t="s">
        <v>104</v>
      </c>
      <c r="P12" s="70" t="s">
        <v>103</v>
      </c>
      <c r="Q12" s="70" t="s">
        <v>104</v>
      </c>
      <c r="R12" s="70" t="s">
        <v>103</v>
      </c>
      <c r="S12" s="579" t="s">
        <v>104</v>
      </c>
      <c r="T12" s="70" t="s">
        <v>103</v>
      </c>
      <c r="U12" s="70" t="s">
        <v>104</v>
      </c>
      <c r="V12" s="71"/>
      <c r="W12" s="71"/>
      <c r="X12" s="255"/>
    </row>
    <row r="13" spans="1:26" ht="55.5" customHeight="1" x14ac:dyDescent="0.3">
      <c r="B13" s="80" t="s">
        <v>34</v>
      </c>
      <c r="C13" s="81" t="s">
        <v>105</v>
      </c>
      <c r="D13" s="82" t="s">
        <v>600</v>
      </c>
      <c r="E13" s="83" t="s">
        <v>65</v>
      </c>
      <c r="F13" s="83" t="s">
        <v>65</v>
      </c>
      <c r="G13" s="84" t="s">
        <v>66</v>
      </c>
      <c r="H13" s="247">
        <v>22</v>
      </c>
      <c r="I13" s="247"/>
      <c r="J13" s="247">
        <v>18</v>
      </c>
      <c r="K13" s="247"/>
      <c r="L13" s="247">
        <v>23</v>
      </c>
      <c r="M13" s="247"/>
      <c r="N13" s="247">
        <v>207</v>
      </c>
      <c r="O13" s="247"/>
      <c r="P13" s="247">
        <v>212</v>
      </c>
      <c r="Q13" s="248"/>
      <c r="R13" s="249">
        <v>47</v>
      </c>
      <c r="S13" s="580"/>
      <c r="T13" s="249">
        <v>59</v>
      </c>
      <c r="U13" s="249"/>
      <c r="V13" s="255"/>
      <c r="W13" s="255"/>
      <c r="X13" s="255"/>
    </row>
    <row r="14" spans="1:26" ht="81" customHeight="1" x14ac:dyDescent="0.3">
      <c r="B14" s="65" t="s">
        <v>36</v>
      </c>
      <c r="C14" s="21" t="s">
        <v>74</v>
      </c>
      <c r="D14" s="78" t="s">
        <v>601</v>
      </c>
      <c r="E14" s="77" t="s">
        <v>65</v>
      </c>
      <c r="F14" s="77" t="s">
        <v>65</v>
      </c>
      <c r="G14" s="75" t="s">
        <v>66</v>
      </c>
      <c r="H14" s="250"/>
      <c r="I14" s="247">
        <v>52</v>
      </c>
      <c r="J14" s="247"/>
      <c r="K14" s="247">
        <v>50</v>
      </c>
      <c r="L14" s="247"/>
      <c r="M14" s="247">
        <v>33</v>
      </c>
      <c r="N14" s="247"/>
      <c r="O14" s="247">
        <v>34</v>
      </c>
      <c r="P14" s="247"/>
      <c r="Q14" s="248">
        <v>35</v>
      </c>
      <c r="R14" s="249">
        <v>38</v>
      </c>
      <c r="S14" s="580"/>
      <c r="T14" s="249"/>
      <c r="U14" s="249">
        <v>51</v>
      </c>
    </row>
    <row r="15" spans="1:26" ht="55.5" customHeight="1" x14ac:dyDescent="0.3">
      <c r="A15" s="66"/>
      <c r="B15" s="859" t="s">
        <v>67</v>
      </c>
      <c r="C15" s="22" t="s">
        <v>68</v>
      </c>
      <c r="D15" s="72" t="s">
        <v>69</v>
      </c>
      <c r="E15" s="74" t="s">
        <v>70</v>
      </c>
      <c r="F15" s="74" t="s">
        <v>71</v>
      </c>
      <c r="G15" s="75" t="s">
        <v>72</v>
      </c>
      <c r="H15" s="251" t="s">
        <v>90</v>
      </c>
      <c r="I15" s="251" t="s">
        <v>90</v>
      </c>
      <c r="J15" s="251" t="s">
        <v>90</v>
      </c>
      <c r="K15" s="251" t="s">
        <v>90</v>
      </c>
      <c r="L15" s="251" t="s">
        <v>90</v>
      </c>
      <c r="M15" s="251" t="s">
        <v>90</v>
      </c>
      <c r="N15" s="251"/>
      <c r="O15" s="251" t="s">
        <v>90</v>
      </c>
      <c r="P15" s="251"/>
      <c r="Q15" s="252" t="s">
        <v>90</v>
      </c>
      <c r="R15" s="249"/>
      <c r="S15" s="581" t="s">
        <v>90</v>
      </c>
      <c r="T15" s="249"/>
      <c r="U15" s="251" t="s">
        <v>90</v>
      </c>
    </row>
    <row r="16" spans="1:26" ht="72.75" customHeight="1" x14ac:dyDescent="0.3">
      <c r="A16" s="66"/>
      <c r="B16" s="860"/>
      <c r="C16" s="22" t="s">
        <v>560</v>
      </c>
      <c r="D16" s="72" t="s">
        <v>69</v>
      </c>
      <c r="E16" s="74" t="s">
        <v>564</v>
      </c>
      <c r="F16" s="76" t="s">
        <v>567</v>
      </c>
      <c r="G16" s="75" t="s">
        <v>66</v>
      </c>
      <c r="H16" s="251" t="s">
        <v>90</v>
      </c>
      <c r="I16" s="251"/>
      <c r="J16" s="251" t="s">
        <v>90</v>
      </c>
      <c r="K16" s="251"/>
      <c r="L16" s="251" t="s">
        <v>90</v>
      </c>
      <c r="M16" s="251"/>
      <c r="N16" s="251" t="s">
        <v>90</v>
      </c>
      <c r="O16" s="251"/>
      <c r="P16" s="251" t="s">
        <v>90</v>
      </c>
      <c r="Q16" s="252"/>
      <c r="R16" s="253" t="s">
        <v>90</v>
      </c>
      <c r="S16" s="580"/>
      <c r="T16" s="251" t="s">
        <v>90</v>
      </c>
      <c r="U16" s="249"/>
    </row>
    <row r="17" spans="1:21" ht="55.5" customHeight="1" x14ac:dyDescent="0.3">
      <c r="A17" s="66"/>
      <c r="B17" s="860"/>
      <c r="C17" s="22" t="s">
        <v>561</v>
      </c>
      <c r="D17" s="72" t="s">
        <v>562</v>
      </c>
      <c r="E17" s="74" t="s">
        <v>565</v>
      </c>
      <c r="F17" s="76" t="s">
        <v>563</v>
      </c>
      <c r="G17" s="75" t="s">
        <v>566</v>
      </c>
      <c r="H17" s="251" t="s">
        <v>90</v>
      </c>
      <c r="I17" s="251" t="s">
        <v>90</v>
      </c>
      <c r="J17" s="251" t="s">
        <v>90</v>
      </c>
      <c r="K17" s="251" t="s">
        <v>90</v>
      </c>
      <c r="L17" s="251" t="s">
        <v>90</v>
      </c>
      <c r="M17" s="251" t="s">
        <v>90</v>
      </c>
      <c r="N17" s="251" t="s">
        <v>90</v>
      </c>
      <c r="O17" s="251" t="s">
        <v>90</v>
      </c>
      <c r="P17" s="251" t="s">
        <v>90</v>
      </c>
      <c r="Q17" s="252" t="s">
        <v>90</v>
      </c>
      <c r="R17" s="251" t="s">
        <v>90</v>
      </c>
      <c r="S17" s="581" t="s">
        <v>90</v>
      </c>
      <c r="T17" s="251" t="s">
        <v>90</v>
      </c>
      <c r="U17" s="251" t="s">
        <v>90</v>
      </c>
    </row>
    <row r="18" spans="1:21" ht="55.5" customHeight="1" x14ac:dyDescent="0.3">
      <c r="A18" s="66"/>
      <c r="B18" s="860"/>
      <c r="C18" s="22" t="s">
        <v>74</v>
      </c>
      <c r="D18" s="72" t="s">
        <v>75</v>
      </c>
      <c r="E18" s="74" t="s">
        <v>76</v>
      </c>
      <c r="F18" s="76" t="s">
        <v>65</v>
      </c>
      <c r="G18" s="75" t="s">
        <v>66</v>
      </c>
      <c r="H18" s="251" t="s">
        <v>90</v>
      </c>
      <c r="I18" s="251"/>
      <c r="J18" s="251" t="s">
        <v>90</v>
      </c>
      <c r="K18" s="251"/>
      <c r="L18" s="251" t="s">
        <v>90</v>
      </c>
      <c r="M18" s="251"/>
      <c r="N18" s="251" t="s">
        <v>90</v>
      </c>
      <c r="O18" s="251"/>
      <c r="P18" s="251" t="s">
        <v>90</v>
      </c>
      <c r="Q18" s="252"/>
      <c r="R18" s="251" t="s">
        <v>90</v>
      </c>
      <c r="S18" s="581"/>
      <c r="T18" s="251" t="s">
        <v>90</v>
      </c>
      <c r="U18" s="251"/>
    </row>
    <row r="19" spans="1:21" ht="55.5" customHeight="1" x14ac:dyDescent="0.3">
      <c r="A19" s="66"/>
      <c r="B19" s="860"/>
      <c r="C19" s="22" t="s">
        <v>77</v>
      </c>
      <c r="D19" s="72" t="s">
        <v>78</v>
      </c>
      <c r="E19" s="74" t="s">
        <v>79</v>
      </c>
      <c r="F19" s="76" t="s">
        <v>80</v>
      </c>
      <c r="G19" s="75" t="s">
        <v>81</v>
      </c>
      <c r="H19" s="251" t="s">
        <v>90</v>
      </c>
      <c r="I19" s="251" t="s">
        <v>90</v>
      </c>
      <c r="J19" s="251" t="s">
        <v>90</v>
      </c>
      <c r="K19" s="251" t="s">
        <v>90</v>
      </c>
      <c r="L19" s="251" t="s">
        <v>90</v>
      </c>
      <c r="M19" s="251" t="s">
        <v>90</v>
      </c>
      <c r="N19" s="251"/>
      <c r="O19" s="251" t="s">
        <v>90</v>
      </c>
      <c r="P19" s="251"/>
      <c r="Q19" s="252" t="s">
        <v>90</v>
      </c>
      <c r="R19" s="249"/>
      <c r="S19" s="581" t="s">
        <v>90</v>
      </c>
      <c r="T19" s="249"/>
      <c r="U19" s="251" t="s">
        <v>90</v>
      </c>
    </row>
    <row r="20" spans="1:21" ht="55.5" customHeight="1" x14ac:dyDescent="0.3">
      <c r="A20" s="66"/>
      <c r="B20" s="860"/>
      <c r="C20" s="22" t="s">
        <v>82</v>
      </c>
      <c r="D20" s="72" t="s">
        <v>78</v>
      </c>
      <c r="E20" s="74" t="s">
        <v>83</v>
      </c>
      <c r="F20" s="76" t="s">
        <v>84</v>
      </c>
      <c r="G20" s="75" t="s">
        <v>85</v>
      </c>
      <c r="H20" s="251" t="s">
        <v>90</v>
      </c>
      <c r="I20" s="251" t="s">
        <v>90</v>
      </c>
      <c r="J20" s="251" t="s">
        <v>90</v>
      </c>
      <c r="K20" s="251" t="s">
        <v>90</v>
      </c>
      <c r="L20" s="251" t="s">
        <v>90</v>
      </c>
      <c r="M20" s="251" t="s">
        <v>90</v>
      </c>
      <c r="N20" s="251"/>
      <c r="O20" s="251" t="s">
        <v>90</v>
      </c>
      <c r="P20" s="251"/>
      <c r="Q20" s="252" t="s">
        <v>90</v>
      </c>
      <c r="R20" s="249"/>
      <c r="S20" s="581" t="s">
        <v>90</v>
      </c>
      <c r="T20" s="249"/>
      <c r="U20" s="251" t="s">
        <v>90</v>
      </c>
    </row>
    <row r="21" spans="1:21" ht="55.5" customHeight="1" x14ac:dyDescent="0.3">
      <c r="A21" s="66"/>
      <c r="B21" s="861"/>
      <c r="C21" s="22" t="s">
        <v>86</v>
      </c>
      <c r="D21" s="72" t="s">
        <v>78</v>
      </c>
      <c r="E21" s="74" t="s">
        <v>87</v>
      </c>
      <c r="F21" s="74" t="s">
        <v>88</v>
      </c>
      <c r="G21" s="75" t="s">
        <v>89</v>
      </c>
      <c r="H21" s="251" t="s">
        <v>90</v>
      </c>
      <c r="I21" s="251" t="s">
        <v>90</v>
      </c>
      <c r="J21" s="251" t="s">
        <v>90</v>
      </c>
      <c r="K21" s="251" t="s">
        <v>90</v>
      </c>
      <c r="L21" s="251" t="s">
        <v>90</v>
      </c>
      <c r="M21" s="251" t="s">
        <v>90</v>
      </c>
      <c r="N21" s="251" t="s">
        <v>90</v>
      </c>
      <c r="O21" s="251" t="s">
        <v>90</v>
      </c>
      <c r="P21" s="251" t="s">
        <v>90</v>
      </c>
      <c r="Q21" s="252" t="s">
        <v>90</v>
      </c>
      <c r="R21" s="252" t="s">
        <v>90</v>
      </c>
      <c r="S21" s="581" t="s">
        <v>90</v>
      </c>
      <c r="T21" s="251" t="s">
        <v>90</v>
      </c>
      <c r="U21" s="251" t="s">
        <v>90</v>
      </c>
    </row>
    <row r="22" spans="1:21" ht="55.5" customHeight="1" x14ac:dyDescent="0.3">
      <c r="B22" s="67" t="s">
        <v>1342</v>
      </c>
      <c r="C22" s="68"/>
      <c r="D22" s="68"/>
      <c r="E22" s="68"/>
      <c r="F22" s="69"/>
      <c r="G22" s="68"/>
    </row>
    <row r="23" spans="1:21" ht="15" customHeight="1" x14ac:dyDescent="0.3">
      <c r="B23" s="47" t="s">
        <v>96</v>
      </c>
      <c r="C23" s="48" t="s">
        <v>66</v>
      </c>
      <c r="D23" s="85"/>
      <c r="E23" s="85"/>
      <c r="F23" s="85"/>
      <c r="G23" s="85"/>
      <c r="H23" s="85"/>
      <c r="I23" s="85"/>
      <c r="J23" s="85"/>
    </row>
    <row r="24" spans="1:21" ht="15" customHeight="1" x14ac:dyDescent="0.3">
      <c r="B24" s="49" t="s">
        <v>97</v>
      </c>
      <c r="C24" s="48" t="s">
        <v>98</v>
      </c>
      <c r="D24" s="86"/>
      <c r="E24" s="86"/>
      <c r="F24" s="86"/>
      <c r="G24" s="87"/>
      <c r="H24" s="86"/>
      <c r="I24" s="88"/>
      <c r="J24" s="88"/>
    </row>
    <row r="25" spans="1:21" ht="23.25" customHeight="1" x14ac:dyDescent="0.3">
      <c r="B25" s="49"/>
      <c r="C25" s="48"/>
      <c r="D25" s="86"/>
      <c r="E25" s="86"/>
      <c r="F25" s="86"/>
      <c r="G25" s="87"/>
      <c r="H25" s="86"/>
      <c r="I25" s="88"/>
      <c r="J25" s="88"/>
    </row>
    <row r="26" spans="1:21" ht="31.2" customHeight="1" x14ac:dyDescent="0.3">
      <c r="B26" s="877"/>
      <c r="C26" s="878" t="s">
        <v>108</v>
      </c>
      <c r="D26" s="879" t="s">
        <v>568</v>
      </c>
      <c r="E26" s="652" t="s">
        <v>1322</v>
      </c>
      <c r="F26" s="652" t="s">
        <v>1322</v>
      </c>
      <c r="G26" s="652" t="s">
        <v>1322</v>
      </c>
      <c r="H26" s="652" t="s">
        <v>1322</v>
      </c>
      <c r="I26" s="652" t="s">
        <v>1322</v>
      </c>
      <c r="J26" s="652" t="s">
        <v>1322</v>
      </c>
      <c r="K26" s="653" t="s">
        <v>1322</v>
      </c>
      <c r="L26" s="653" t="s">
        <v>1322</v>
      </c>
    </row>
    <row r="27" spans="1:21" ht="12.75" customHeight="1" x14ac:dyDescent="0.3">
      <c r="B27" s="877"/>
      <c r="C27" s="878"/>
      <c r="D27" s="880"/>
      <c r="E27" s="654">
        <v>2019</v>
      </c>
      <c r="F27" s="654">
        <v>2020</v>
      </c>
      <c r="G27" s="654">
        <v>2021</v>
      </c>
      <c r="H27" s="654">
        <v>2022</v>
      </c>
      <c r="I27" s="654">
        <v>2023</v>
      </c>
      <c r="J27" s="654">
        <v>2024</v>
      </c>
      <c r="K27" s="655">
        <v>2025</v>
      </c>
      <c r="L27" s="655">
        <v>2026</v>
      </c>
    </row>
    <row r="28" spans="1:21" ht="12.75" customHeight="1" x14ac:dyDescent="0.3">
      <c r="B28" s="881"/>
      <c r="C28" s="616" t="s">
        <v>110</v>
      </c>
      <c r="D28" s="602" t="s">
        <v>91</v>
      </c>
      <c r="E28" s="389" t="s">
        <v>91</v>
      </c>
      <c r="F28" s="390" t="s">
        <v>91</v>
      </c>
      <c r="G28" s="391" t="s">
        <v>91</v>
      </c>
      <c r="H28" s="392" t="s">
        <v>91</v>
      </c>
      <c r="I28" s="387" t="s">
        <v>91</v>
      </c>
      <c r="J28" s="393" t="s">
        <v>91</v>
      </c>
      <c r="K28" s="389" t="s">
        <v>91</v>
      </c>
      <c r="L28" s="555" t="s">
        <v>91</v>
      </c>
    </row>
    <row r="29" spans="1:21" ht="12.75" customHeight="1" x14ac:dyDescent="0.3">
      <c r="B29" s="881"/>
      <c r="C29" s="616" t="s">
        <v>111</v>
      </c>
      <c r="D29" s="602" t="s">
        <v>91</v>
      </c>
      <c r="E29" s="389" t="s">
        <v>91</v>
      </c>
      <c r="F29" s="390" t="s">
        <v>91</v>
      </c>
      <c r="G29" s="391" t="s">
        <v>91</v>
      </c>
      <c r="H29" s="392" t="s">
        <v>91</v>
      </c>
      <c r="I29" s="387" t="s">
        <v>91</v>
      </c>
      <c r="J29" s="393" t="s">
        <v>91</v>
      </c>
      <c r="K29" s="389" t="s">
        <v>91</v>
      </c>
      <c r="L29" s="555" t="s">
        <v>91</v>
      </c>
    </row>
    <row r="30" spans="1:21" ht="12.75" customHeight="1" x14ac:dyDescent="0.3">
      <c r="B30" s="881"/>
      <c r="C30" s="617" t="s">
        <v>112</v>
      </c>
      <c r="D30" s="603"/>
      <c r="E30" s="283" t="s">
        <v>91</v>
      </c>
      <c r="F30" s="390" t="s">
        <v>91</v>
      </c>
      <c r="G30" s="391" t="s">
        <v>91</v>
      </c>
      <c r="H30" s="392" t="s">
        <v>91</v>
      </c>
      <c r="I30" s="387" t="s">
        <v>91</v>
      </c>
      <c r="J30" s="393" t="s">
        <v>91</v>
      </c>
      <c r="K30" s="389" t="s">
        <v>91</v>
      </c>
      <c r="L30" s="555" t="s">
        <v>91</v>
      </c>
    </row>
    <row r="31" spans="1:21" ht="12.75" customHeight="1" x14ac:dyDescent="0.3">
      <c r="B31" s="881"/>
      <c r="C31" s="617" t="s">
        <v>113</v>
      </c>
      <c r="D31" s="603"/>
      <c r="E31" s="283" t="s">
        <v>91</v>
      </c>
      <c r="F31" s="390" t="s">
        <v>91</v>
      </c>
      <c r="G31" s="391" t="s">
        <v>91</v>
      </c>
      <c r="H31" s="392" t="s">
        <v>91</v>
      </c>
      <c r="I31" s="387" t="s">
        <v>91</v>
      </c>
      <c r="J31" s="393" t="s">
        <v>91</v>
      </c>
      <c r="K31" s="389" t="s">
        <v>91</v>
      </c>
      <c r="L31" s="555" t="s">
        <v>91</v>
      </c>
    </row>
    <row r="32" spans="1:21" ht="12.75" customHeight="1" x14ac:dyDescent="0.3">
      <c r="B32" s="881"/>
      <c r="C32" s="617" t="s">
        <v>114</v>
      </c>
      <c r="D32" s="603"/>
      <c r="E32" s="283" t="s">
        <v>91</v>
      </c>
      <c r="F32" s="390" t="s">
        <v>91</v>
      </c>
      <c r="G32" s="391" t="s">
        <v>91</v>
      </c>
      <c r="H32" s="392" t="s">
        <v>91</v>
      </c>
      <c r="I32" s="387" t="s">
        <v>91</v>
      </c>
      <c r="J32" s="393" t="s">
        <v>91</v>
      </c>
      <c r="K32" s="389" t="s">
        <v>91</v>
      </c>
      <c r="L32" s="555" t="s">
        <v>91</v>
      </c>
    </row>
    <row r="33" spans="2:12" ht="12.75" customHeight="1" x14ac:dyDescent="0.3">
      <c r="B33" s="881"/>
      <c r="C33" s="617" t="s">
        <v>115</v>
      </c>
      <c r="D33" s="603"/>
      <c r="E33" s="283"/>
      <c r="F33" s="390"/>
      <c r="G33" s="391"/>
      <c r="H33" s="392" t="s">
        <v>91</v>
      </c>
      <c r="I33" s="387" t="s">
        <v>91</v>
      </c>
      <c r="J33" s="393" t="s">
        <v>91</v>
      </c>
      <c r="K33" s="389" t="s">
        <v>91</v>
      </c>
      <c r="L33" s="555" t="s">
        <v>91</v>
      </c>
    </row>
    <row r="34" spans="2:12" ht="12.75" customHeight="1" x14ac:dyDescent="0.3">
      <c r="B34" s="881"/>
      <c r="C34" s="336" t="s">
        <v>116</v>
      </c>
      <c r="D34" s="604"/>
      <c r="E34" s="390" t="s">
        <v>91</v>
      </c>
      <c r="F34" s="390" t="s">
        <v>91</v>
      </c>
      <c r="G34" s="391" t="s">
        <v>91</v>
      </c>
      <c r="H34" s="392" t="s">
        <v>91</v>
      </c>
      <c r="I34" s="387" t="s">
        <v>91</v>
      </c>
      <c r="J34" s="393" t="s">
        <v>91</v>
      </c>
      <c r="K34" s="389" t="s">
        <v>91</v>
      </c>
      <c r="L34" s="555" t="s">
        <v>91</v>
      </c>
    </row>
    <row r="35" spans="2:12" ht="12.75" customHeight="1" x14ac:dyDescent="0.3">
      <c r="B35" s="881"/>
      <c r="C35" s="617" t="s">
        <v>117</v>
      </c>
      <c r="D35" s="603"/>
      <c r="E35" s="283" t="s">
        <v>91</v>
      </c>
      <c r="F35" s="390" t="s">
        <v>91</v>
      </c>
      <c r="G35" s="391" t="s">
        <v>91</v>
      </c>
      <c r="H35" s="392" t="s">
        <v>91</v>
      </c>
      <c r="I35" s="387" t="s">
        <v>91</v>
      </c>
      <c r="J35" s="393" t="s">
        <v>91</v>
      </c>
      <c r="K35" s="389" t="s">
        <v>91</v>
      </c>
      <c r="L35" s="555" t="s">
        <v>91</v>
      </c>
    </row>
    <row r="36" spans="2:12" ht="12.75" customHeight="1" x14ac:dyDescent="0.3">
      <c r="B36" s="881"/>
      <c r="C36" s="336" t="s">
        <v>1323</v>
      </c>
      <c r="D36" s="604"/>
      <c r="E36" s="390"/>
      <c r="F36" s="390" t="s">
        <v>91</v>
      </c>
      <c r="G36" s="391" t="s">
        <v>91</v>
      </c>
      <c r="H36" s="392" t="s">
        <v>91</v>
      </c>
      <c r="I36" s="387" t="s">
        <v>91</v>
      </c>
      <c r="J36" s="393" t="s">
        <v>91</v>
      </c>
      <c r="K36" s="389" t="s">
        <v>91</v>
      </c>
      <c r="L36" s="555" t="s">
        <v>91</v>
      </c>
    </row>
    <row r="37" spans="2:12" ht="12.75" customHeight="1" x14ac:dyDescent="0.3">
      <c r="B37" s="881"/>
      <c r="C37" s="324" t="s">
        <v>120</v>
      </c>
      <c r="D37" s="394"/>
      <c r="E37" s="391"/>
      <c r="F37" s="390"/>
      <c r="G37" s="391"/>
      <c r="H37" s="392"/>
      <c r="I37" s="387"/>
      <c r="J37" s="393" t="s">
        <v>91</v>
      </c>
      <c r="K37" s="389" t="s">
        <v>91</v>
      </c>
      <c r="L37" s="555" t="s">
        <v>91</v>
      </c>
    </row>
    <row r="38" spans="2:12" ht="12.75" customHeight="1" x14ac:dyDescent="0.3">
      <c r="B38" s="881"/>
      <c r="C38" s="616" t="s">
        <v>128</v>
      </c>
      <c r="D38" s="605" t="s">
        <v>91</v>
      </c>
      <c r="E38" s="391" t="s">
        <v>91</v>
      </c>
      <c r="F38" s="390" t="s">
        <v>91</v>
      </c>
      <c r="G38" s="391" t="s">
        <v>91</v>
      </c>
      <c r="H38" s="392" t="s">
        <v>91</v>
      </c>
      <c r="I38" s="387" t="s">
        <v>91</v>
      </c>
      <c r="J38" s="393" t="s">
        <v>91</v>
      </c>
      <c r="K38" s="389" t="s">
        <v>91</v>
      </c>
      <c r="L38" s="555" t="s">
        <v>91</v>
      </c>
    </row>
    <row r="39" spans="2:12" ht="12.75" customHeight="1" x14ac:dyDescent="0.3">
      <c r="B39" s="881"/>
      <c r="C39" s="616" t="s">
        <v>129</v>
      </c>
      <c r="D39" s="605" t="s">
        <v>91</v>
      </c>
      <c r="E39" s="391" t="s">
        <v>91</v>
      </c>
      <c r="F39" s="390" t="s">
        <v>91</v>
      </c>
      <c r="G39" s="391" t="s">
        <v>91</v>
      </c>
      <c r="H39" s="392" t="s">
        <v>91</v>
      </c>
      <c r="I39" s="387" t="s">
        <v>91</v>
      </c>
      <c r="J39" s="393" t="s">
        <v>91</v>
      </c>
      <c r="K39" s="389" t="s">
        <v>91</v>
      </c>
      <c r="L39" s="555" t="s">
        <v>91</v>
      </c>
    </row>
    <row r="40" spans="2:12" ht="12.75" customHeight="1" x14ac:dyDescent="0.3">
      <c r="B40" s="881"/>
      <c r="C40" s="324" t="s">
        <v>121</v>
      </c>
      <c r="D40" s="394"/>
      <c r="E40" s="395"/>
      <c r="F40" s="396"/>
      <c r="G40" s="391"/>
      <c r="H40" s="392"/>
      <c r="I40" s="387"/>
      <c r="J40" s="393"/>
      <c r="K40" s="556"/>
      <c r="L40" s="265"/>
    </row>
    <row r="41" spans="2:12" ht="12.75" customHeight="1" x14ac:dyDescent="0.3">
      <c r="B41" s="865"/>
      <c r="C41" s="616" t="s">
        <v>123</v>
      </c>
      <c r="D41" s="602"/>
      <c r="E41" s="283"/>
      <c r="F41" s="390"/>
      <c r="G41" s="391"/>
      <c r="H41" s="392"/>
      <c r="I41" s="387"/>
      <c r="J41" s="393"/>
      <c r="K41" s="556"/>
      <c r="L41" s="265"/>
    </row>
    <row r="42" spans="2:12" ht="12.75" customHeight="1" x14ac:dyDescent="0.3">
      <c r="B42" s="865"/>
      <c r="C42" s="616" t="s">
        <v>124</v>
      </c>
      <c r="D42" s="602" t="s">
        <v>91</v>
      </c>
      <c r="E42" s="283"/>
      <c r="F42" s="390"/>
      <c r="G42" s="391"/>
      <c r="H42" s="392"/>
      <c r="I42" s="387"/>
      <c r="J42" s="393"/>
      <c r="K42" s="556"/>
      <c r="L42" s="265"/>
    </row>
    <row r="43" spans="2:12" ht="12.75" customHeight="1" x14ac:dyDescent="0.3">
      <c r="B43" s="865"/>
      <c r="C43" s="616" t="s">
        <v>125</v>
      </c>
      <c r="D43" s="606" t="s">
        <v>91</v>
      </c>
      <c r="E43" s="283"/>
      <c r="F43" s="390"/>
      <c r="G43" s="391"/>
      <c r="H43" s="392"/>
      <c r="I43" s="387"/>
      <c r="J43" s="393"/>
      <c r="K43" s="556"/>
      <c r="L43" s="265"/>
    </row>
    <row r="44" spans="2:12" ht="12.75" customHeight="1" x14ac:dyDescent="0.3">
      <c r="B44" s="597"/>
      <c r="C44" s="616" t="s">
        <v>131</v>
      </c>
      <c r="D44" s="602" t="s">
        <v>91</v>
      </c>
      <c r="E44" s="283" t="s">
        <v>91</v>
      </c>
      <c r="F44" s="390" t="s">
        <v>91</v>
      </c>
      <c r="G44" s="391" t="s">
        <v>91</v>
      </c>
      <c r="H44" s="392" t="s">
        <v>91</v>
      </c>
      <c r="I44" s="387" t="s">
        <v>91</v>
      </c>
      <c r="J44" s="393" t="s">
        <v>91</v>
      </c>
      <c r="K44" s="389" t="s">
        <v>91</v>
      </c>
      <c r="L44" s="283" t="s">
        <v>91</v>
      </c>
    </row>
    <row r="45" spans="2:12" ht="12.75" customHeight="1" x14ac:dyDescent="0.3">
      <c r="B45" s="597"/>
      <c r="C45" s="618" t="s">
        <v>133</v>
      </c>
      <c r="D45" s="602" t="s">
        <v>91</v>
      </c>
      <c r="E45" s="283"/>
      <c r="F45" s="390"/>
      <c r="G45" s="391"/>
      <c r="H45" s="392"/>
      <c r="I45" s="387"/>
      <c r="J45" s="393" t="s">
        <v>91</v>
      </c>
      <c r="K45" s="389" t="s">
        <v>91</v>
      </c>
      <c r="L45" s="283" t="s">
        <v>91</v>
      </c>
    </row>
    <row r="46" spans="2:12" ht="10.5" customHeight="1" x14ac:dyDescent="0.3">
      <c r="B46" s="865"/>
      <c r="C46" s="618" t="s">
        <v>135</v>
      </c>
      <c r="D46" s="602" t="s">
        <v>91</v>
      </c>
      <c r="E46" s="283"/>
      <c r="F46" s="390"/>
      <c r="G46" s="391" t="s">
        <v>91</v>
      </c>
      <c r="H46" s="392" t="s">
        <v>91</v>
      </c>
      <c r="I46" s="387"/>
      <c r="J46" s="393"/>
      <c r="K46" s="556"/>
      <c r="L46" s="265"/>
    </row>
    <row r="47" spans="2:12" ht="10.5" customHeight="1" x14ac:dyDescent="0.3">
      <c r="B47" s="865"/>
      <c r="C47" s="618" t="s">
        <v>136</v>
      </c>
      <c r="D47" s="602"/>
      <c r="E47" s="283"/>
      <c r="F47" s="390" t="s">
        <v>91</v>
      </c>
      <c r="G47" s="391" t="s">
        <v>91</v>
      </c>
      <c r="H47" s="392" t="s">
        <v>91</v>
      </c>
      <c r="I47" s="387" t="s">
        <v>91</v>
      </c>
      <c r="J47" s="393" t="s">
        <v>91</v>
      </c>
      <c r="K47" s="556"/>
      <c r="L47" s="265"/>
    </row>
    <row r="48" spans="2:12" ht="12" customHeight="1" x14ac:dyDescent="0.3">
      <c r="B48" s="876"/>
      <c r="C48" s="619" t="s">
        <v>138</v>
      </c>
      <c r="D48" s="602" t="s">
        <v>91</v>
      </c>
      <c r="E48" s="283"/>
      <c r="F48" s="390"/>
      <c r="G48" s="391"/>
      <c r="H48" s="392"/>
      <c r="I48" s="387"/>
      <c r="J48" s="393"/>
      <c r="K48" s="556"/>
      <c r="L48" s="265"/>
    </row>
    <row r="49" spans="2:12" ht="12" customHeight="1" x14ac:dyDescent="0.3">
      <c r="B49" s="876"/>
      <c r="C49" s="619" t="s">
        <v>139</v>
      </c>
      <c r="D49" s="602" t="s">
        <v>91</v>
      </c>
      <c r="E49" s="283"/>
      <c r="F49" s="390"/>
      <c r="G49" s="391"/>
      <c r="H49" s="392"/>
      <c r="I49" s="387"/>
      <c r="J49" s="393"/>
      <c r="K49" s="389" t="s">
        <v>91</v>
      </c>
      <c r="L49" s="283" t="s">
        <v>91</v>
      </c>
    </row>
    <row r="50" spans="2:12" ht="12" customHeight="1" x14ac:dyDescent="0.3">
      <c r="B50" s="597"/>
      <c r="C50" s="619" t="s">
        <v>141</v>
      </c>
      <c r="D50" s="602" t="s">
        <v>91</v>
      </c>
      <c r="E50" s="283"/>
      <c r="F50" s="390"/>
      <c r="G50" s="391"/>
      <c r="H50" s="392"/>
      <c r="I50" s="387"/>
      <c r="J50" s="393"/>
      <c r="K50" s="556"/>
      <c r="L50" s="265"/>
    </row>
    <row r="51" spans="2:12" ht="12" customHeight="1" x14ac:dyDescent="0.3">
      <c r="B51" s="597"/>
      <c r="C51" s="620" t="s">
        <v>143</v>
      </c>
      <c r="D51" s="602" t="s">
        <v>91</v>
      </c>
      <c r="E51" s="283" t="s">
        <v>91</v>
      </c>
      <c r="F51" s="390"/>
      <c r="G51" s="391"/>
      <c r="H51" s="392" t="s">
        <v>91</v>
      </c>
      <c r="I51" s="387" t="s">
        <v>91</v>
      </c>
      <c r="J51" s="393" t="s">
        <v>91</v>
      </c>
      <c r="K51" s="389" t="s">
        <v>91</v>
      </c>
      <c r="L51" s="283" t="s">
        <v>91</v>
      </c>
    </row>
    <row r="52" spans="2:12" ht="12" customHeight="1" x14ac:dyDescent="0.3">
      <c r="B52" s="597"/>
      <c r="C52" s="619" t="s">
        <v>145</v>
      </c>
      <c r="D52" s="602" t="s">
        <v>91</v>
      </c>
      <c r="E52" s="283"/>
      <c r="F52" s="390"/>
      <c r="G52" s="391"/>
      <c r="H52" s="392"/>
      <c r="I52" s="387"/>
      <c r="J52" s="393"/>
      <c r="K52" s="389"/>
      <c r="L52" s="283"/>
    </row>
    <row r="53" spans="2:12" ht="12" customHeight="1" x14ac:dyDescent="0.3">
      <c r="B53" s="597"/>
      <c r="C53" s="619" t="s">
        <v>147</v>
      </c>
      <c r="D53" s="602" t="s">
        <v>91</v>
      </c>
      <c r="E53" s="283" t="s">
        <v>91</v>
      </c>
      <c r="F53" s="390" t="s">
        <v>91</v>
      </c>
      <c r="G53" s="391"/>
      <c r="H53" s="392"/>
      <c r="I53" s="387"/>
      <c r="J53" s="393"/>
      <c r="K53" s="389"/>
      <c r="L53" s="283" t="s">
        <v>91</v>
      </c>
    </row>
    <row r="54" spans="2:12" ht="12" customHeight="1" x14ac:dyDescent="0.3">
      <c r="B54" s="876"/>
      <c r="C54" s="619" t="s">
        <v>149</v>
      </c>
      <c r="D54" s="602" t="s">
        <v>91</v>
      </c>
      <c r="E54" s="283" t="s">
        <v>91</v>
      </c>
      <c r="F54" s="390"/>
      <c r="G54" s="391"/>
      <c r="H54" s="392"/>
      <c r="I54" s="387"/>
      <c r="J54" s="393"/>
      <c r="K54" s="556"/>
      <c r="L54" s="265"/>
    </row>
    <row r="55" spans="2:12" ht="12" customHeight="1" x14ac:dyDescent="0.3">
      <c r="B55" s="876"/>
      <c r="C55" s="619" t="s">
        <v>150</v>
      </c>
      <c r="D55" s="602" t="s">
        <v>91</v>
      </c>
      <c r="E55" s="283"/>
      <c r="F55" s="390"/>
      <c r="G55" s="391"/>
      <c r="H55" s="392"/>
      <c r="I55" s="387"/>
      <c r="J55" s="393"/>
      <c r="K55" s="556"/>
      <c r="L55" s="265"/>
    </row>
    <row r="56" spans="2:12" ht="12" customHeight="1" x14ac:dyDescent="0.3">
      <c r="B56" s="865"/>
      <c r="C56" s="619" t="s">
        <v>152</v>
      </c>
      <c r="D56" s="602" t="s">
        <v>91</v>
      </c>
      <c r="E56" s="283" t="s">
        <v>91</v>
      </c>
      <c r="F56" s="390" t="s">
        <v>91</v>
      </c>
      <c r="G56" s="391"/>
      <c r="H56" s="392"/>
      <c r="I56" s="387"/>
      <c r="J56" s="393"/>
      <c r="K56" s="556"/>
      <c r="L56" s="265"/>
    </row>
    <row r="57" spans="2:12" ht="12" customHeight="1" x14ac:dyDescent="0.3">
      <c r="B57" s="865"/>
      <c r="C57" s="619" t="s">
        <v>153</v>
      </c>
      <c r="D57" s="602" t="s">
        <v>91</v>
      </c>
      <c r="E57" s="283" t="s">
        <v>91</v>
      </c>
      <c r="F57" s="396" t="s">
        <v>91</v>
      </c>
      <c r="G57" s="391"/>
      <c r="H57" s="392"/>
      <c r="I57" s="387"/>
      <c r="J57" s="393"/>
      <c r="K57" s="556"/>
      <c r="L57" s="265"/>
    </row>
    <row r="58" spans="2:12" ht="12" customHeight="1" x14ac:dyDescent="0.3">
      <c r="B58" s="865"/>
      <c r="C58" s="619" t="s">
        <v>154</v>
      </c>
      <c r="D58" s="602" t="s">
        <v>91</v>
      </c>
      <c r="E58" s="283" t="s">
        <v>91</v>
      </c>
      <c r="F58" s="396" t="s">
        <v>91</v>
      </c>
      <c r="G58" s="391"/>
      <c r="H58" s="392"/>
      <c r="I58" s="387"/>
      <c r="J58" s="393"/>
      <c r="K58" s="556"/>
      <c r="L58" s="265"/>
    </row>
    <row r="59" spans="2:12" ht="12" customHeight="1" x14ac:dyDescent="0.3">
      <c r="B59" s="597"/>
      <c r="C59" s="619" t="s">
        <v>156</v>
      </c>
      <c r="D59" s="607" t="s">
        <v>91</v>
      </c>
      <c r="E59" s="397"/>
      <c r="F59" s="390" t="s">
        <v>91</v>
      </c>
      <c r="G59" s="398" t="s">
        <v>91</v>
      </c>
      <c r="H59" s="392" t="s">
        <v>91</v>
      </c>
      <c r="I59" s="387" t="s">
        <v>91</v>
      </c>
      <c r="J59" s="393" t="s">
        <v>91</v>
      </c>
      <c r="K59" s="389" t="s">
        <v>91</v>
      </c>
      <c r="L59" s="283" t="s">
        <v>91</v>
      </c>
    </row>
    <row r="60" spans="2:12" ht="12" customHeight="1" x14ac:dyDescent="0.3">
      <c r="B60" s="597"/>
      <c r="C60" s="619" t="s">
        <v>158</v>
      </c>
      <c r="D60" s="606" t="s">
        <v>91</v>
      </c>
      <c r="E60" s="283" t="s">
        <v>91</v>
      </c>
      <c r="F60" s="399" t="s">
        <v>91</v>
      </c>
      <c r="G60" s="391"/>
      <c r="H60" s="392" t="s">
        <v>91</v>
      </c>
      <c r="I60" s="387"/>
      <c r="J60" s="393"/>
      <c r="K60" s="389" t="s">
        <v>91</v>
      </c>
      <c r="L60" s="283" t="s">
        <v>91</v>
      </c>
    </row>
    <row r="61" spans="2:12" ht="12" customHeight="1" x14ac:dyDescent="0.3">
      <c r="B61" s="876"/>
      <c r="C61" s="619" t="s">
        <v>159</v>
      </c>
      <c r="D61" s="608"/>
      <c r="E61" s="557" t="s">
        <v>91</v>
      </c>
      <c r="F61" s="404"/>
      <c r="G61" s="558"/>
      <c r="H61" s="559" t="s">
        <v>91</v>
      </c>
      <c r="I61" s="560" t="s">
        <v>91</v>
      </c>
      <c r="J61" s="561" t="s">
        <v>91</v>
      </c>
      <c r="K61" s="562" t="s">
        <v>91</v>
      </c>
      <c r="L61" s="555" t="s">
        <v>91</v>
      </c>
    </row>
    <row r="62" spans="2:12" ht="12" customHeight="1" x14ac:dyDescent="0.3">
      <c r="B62" s="876"/>
      <c r="C62" s="619" t="s">
        <v>160</v>
      </c>
      <c r="D62" s="609" t="s">
        <v>91</v>
      </c>
      <c r="E62" s="401" t="s">
        <v>91</v>
      </c>
      <c r="F62" s="401" t="s">
        <v>91</v>
      </c>
      <c r="G62" s="401" t="s">
        <v>91</v>
      </c>
      <c r="H62" s="401" t="s">
        <v>91</v>
      </c>
      <c r="I62" s="401"/>
      <c r="J62" s="401"/>
      <c r="K62" s="563" t="s">
        <v>91</v>
      </c>
      <c r="L62" s="555" t="s">
        <v>91</v>
      </c>
    </row>
    <row r="63" spans="2:12" ht="12" customHeight="1" x14ac:dyDescent="0.3">
      <c r="B63" s="876"/>
      <c r="C63" s="619" t="s">
        <v>161</v>
      </c>
      <c r="D63" s="609" t="s">
        <v>91</v>
      </c>
      <c r="E63" s="401" t="s">
        <v>91</v>
      </c>
      <c r="F63" s="401" t="s">
        <v>91</v>
      </c>
      <c r="G63" s="401" t="s">
        <v>91</v>
      </c>
      <c r="H63" s="401" t="s">
        <v>91</v>
      </c>
      <c r="I63" s="401"/>
      <c r="J63" s="401"/>
      <c r="K63" s="563" t="s">
        <v>91</v>
      </c>
      <c r="L63" s="555" t="s">
        <v>91</v>
      </c>
    </row>
    <row r="64" spans="2:12" ht="12" customHeight="1" x14ac:dyDescent="0.3">
      <c r="B64" s="876"/>
      <c r="C64" s="619" t="s">
        <v>1324</v>
      </c>
      <c r="D64" s="609" t="s">
        <v>91</v>
      </c>
      <c r="E64" s="401" t="s">
        <v>91</v>
      </c>
      <c r="F64" s="401" t="s">
        <v>91</v>
      </c>
      <c r="G64" s="401" t="s">
        <v>91</v>
      </c>
      <c r="H64" s="401" t="s">
        <v>91</v>
      </c>
      <c r="I64" s="401"/>
      <c r="J64" s="401"/>
      <c r="K64" s="563" t="s">
        <v>91</v>
      </c>
      <c r="L64" s="555" t="s">
        <v>91</v>
      </c>
    </row>
    <row r="65" spans="2:12" ht="12" customHeight="1" x14ac:dyDescent="0.3">
      <c r="B65" s="876"/>
      <c r="C65" s="619" t="s">
        <v>163</v>
      </c>
      <c r="D65" s="609" t="s">
        <v>91</v>
      </c>
      <c r="E65" s="401" t="s">
        <v>91</v>
      </c>
      <c r="F65" s="401" t="s">
        <v>91</v>
      </c>
      <c r="G65" s="401" t="s">
        <v>91</v>
      </c>
      <c r="H65" s="401" t="s">
        <v>91</v>
      </c>
      <c r="I65" s="401"/>
      <c r="J65" s="401"/>
      <c r="K65" s="563" t="s">
        <v>91</v>
      </c>
      <c r="L65" s="555" t="s">
        <v>91</v>
      </c>
    </row>
    <row r="66" spans="2:12" ht="12" customHeight="1" x14ac:dyDescent="0.3">
      <c r="B66" s="876"/>
      <c r="C66" s="619" t="s">
        <v>164</v>
      </c>
      <c r="D66" s="609" t="s">
        <v>91</v>
      </c>
      <c r="E66" s="401" t="s">
        <v>91</v>
      </c>
      <c r="F66" s="401" t="s">
        <v>91</v>
      </c>
      <c r="G66" s="401" t="s">
        <v>91</v>
      </c>
      <c r="H66" s="401" t="s">
        <v>91</v>
      </c>
      <c r="I66" s="401"/>
      <c r="J66" s="401"/>
      <c r="K66" s="563" t="s">
        <v>91</v>
      </c>
      <c r="L66" s="555" t="s">
        <v>91</v>
      </c>
    </row>
    <row r="67" spans="2:12" ht="12" customHeight="1" x14ac:dyDescent="0.3">
      <c r="B67" s="876"/>
      <c r="C67" s="619" t="s">
        <v>165</v>
      </c>
      <c r="D67" s="609" t="s">
        <v>91</v>
      </c>
      <c r="E67" s="401" t="s">
        <v>91</v>
      </c>
      <c r="F67" s="401" t="s">
        <v>91</v>
      </c>
      <c r="G67" s="401" t="s">
        <v>91</v>
      </c>
      <c r="H67" s="401" t="s">
        <v>91</v>
      </c>
      <c r="I67" s="401"/>
      <c r="J67" s="401"/>
      <c r="K67" s="563" t="s">
        <v>91</v>
      </c>
      <c r="L67" s="555" t="s">
        <v>91</v>
      </c>
    </row>
    <row r="68" spans="2:12" ht="12" customHeight="1" x14ac:dyDescent="0.3">
      <c r="B68" s="876"/>
      <c r="C68" s="619" t="s">
        <v>166</v>
      </c>
      <c r="D68" s="609" t="s">
        <v>91</v>
      </c>
      <c r="E68" s="401" t="s">
        <v>91</v>
      </c>
      <c r="F68" s="401" t="s">
        <v>91</v>
      </c>
      <c r="G68" s="401" t="s">
        <v>91</v>
      </c>
      <c r="H68" s="401" t="s">
        <v>91</v>
      </c>
      <c r="I68" s="401"/>
      <c r="J68" s="401"/>
      <c r="K68" s="563"/>
      <c r="L68" s="555"/>
    </row>
    <row r="69" spans="2:12" ht="12" customHeight="1" x14ac:dyDescent="0.3">
      <c r="B69" s="876"/>
      <c r="C69" s="619" t="s">
        <v>167</v>
      </c>
      <c r="D69" s="609" t="s">
        <v>91</v>
      </c>
      <c r="E69" s="401" t="s">
        <v>91</v>
      </c>
      <c r="F69" s="401" t="s">
        <v>91</v>
      </c>
      <c r="G69" s="401" t="s">
        <v>91</v>
      </c>
      <c r="H69" s="401" t="s">
        <v>91</v>
      </c>
      <c r="I69" s="401"/>
      <c r="J69" s="401"/>
      <c r="K69" s="563"/>
      <c r="L69" s="555"/>
    </row>
    <row r="70" spans="2:12" ht="12" customHeight="1" x14ac:dyDescent="0.3">
      <c r="B70" s="876"/>
      <c r="C70" s="619" t="s">
        <v>168</v>
      </c>
      <c r="D70" s="609" t="s">
        <v>91</v>
      </c>
      <c r="E70" s="401" t="s">
        <v>91</v>
      </c>
      <c r="F70" s="401" t="s">
        <v>91</v>
      </c>
      <c r="G70" s="401" t="s">
        <v>91</v>
      </c>
      <c r="H70" s="401" t="s">
        <v>91</v>
      </c>
      <c r="I70" s="401"/>
      <c r="J70" s="401"/>
      <c r="K70" s="563"/>
      <c r="L70" s="555"/>
    </row>
    <row r="71" spans="2:12" ht="12" customHeight="1" x14ac:dyDescent="0.3">
      <c r="B71" s="876"/>
      <c r="C71" s="619" t="s">
        <v>169</v>
      </c>
      <c r="D71" s="610" t="s">
        <v>91</v>
      </c>
      <c r="E71" s="400" t="s">
        <v>91</v>
      </c>
      <c r="F71" s="400" t="s">
        <v>91</v>
      </c>
      <c r="G71" s="400" t="s">
        <v>91</v>
      </c>
      <c r="H71" s="400" t="s">
        <v>91</v>
      </c>
      <c r="I71" s="400"/>
      <c r="J71" s="400"/>
      <c r="K71" s="563" t="s">
        <v>91</v>
      </c>
      <c r="L71" s="555" t="s">
        <v>91</v>
      </c>
    </row>
    <row r="72" spans="2:12" ht="12" customHeight="1" x14ac:dyDescent="0.3">
      <c r="B72" s="876"/>
      <c r="C72" s="619" t="s">
        <v>170</v>
      </c>
      <c r="D72" s="610" t="s">
        <v>91</v>
      </c>
      <c r="E72" s="400" t="s">
        <v>91</v>
      </c>
      <c r="F72" s="400" t="s">
        <v>91</v>
      </c>
      <c r="G72" s="400" t="s">
        <v>91</v>
      </c>
      <c r="H72" s="400" t="s">
        <v>91</v>
      </c>
      <c r="I72" s="400"/>
      <c r="J72" s="400"/>
      <c r="K72" s="563"/>
      <c r="L72" s="555"/>
    </row>
    <row r="73" spans="2:12" ht="12" customHeight="1" x14ac:dyDescent="0.3">
      <c r="B73" s="876"/>
      <c r="C73" s="619" t="s">
        <v>171</v>
      </c>
      <c r="D73" s="610" t="s">
        <v>91</v>
      </c>
      <c r="E73" s="400" t="s">
        <v>91</v>
      </c>
      <c r="F73" s="400" t="s">
        <v>91</v>
      </c>
      <c r="G73" s="400" t="s">
        <v>91</v>
      </c>
      <c r="H73" s="400" t="s">
        <v>91</v>
      </c>
      <c r="I73" s="400"/>
      <c r="J73" s="400"/>
      <c r="K73" s="563" t="s">
        <v>91</v>
      </c>
      <c r="L73" s="555" t="s">
        <v>91</v>
      </c>
    </row>
    <row r="74" spans="2:12" ht="12" customHeight="1" x14ac:dyDescent="0.3">
      <c r="B74" s="876"/>
      <c r="C74" s="619" t="s">
        <v>172</v>
      </c>
      <c r="D74" s="610" t="s">
        <v>91</v>
      </c>
      <c r="E74" s="400" t="s">
        <v>91</v>
      </c>
      <c r="F74" s="400" t="s">
        <v>91</v>
      </c>
      <c r="G74" s="400" t="s">
        <v>91</v>
      </c>
      <c r="H74" s="400" t="s">
        <v>91</v>
      </c>
      <c r="I74" s="400"/>
      <c r="J74" s="400"/>
      <c r="K74" s="563" t="s">
        <v>91</v>
      </c>
      <c r="L74" s="555" t="s">
        <v>91</v>
      </c>
    </row>
    <row r="75" spans="2:12" ht="12" customHeight="1" x14ac:dyDescent="0.3">
      <c r="B75" s="876"/>
      <c r="C75" s="619" t="s">
        <v>173</v>
      </c>
      <c r="D75" s="610" t="s">
        <v>91</v>
      </c>
      <c r="E75" s="400" t="s">
        <v>91</v>
      </c>
      <c r="F75" s="400" t="s">
        <v>91</v>
      </c>
      <c r="G75" s="400" t="s">
        <v>91</v>
      </c>
      <c r="H75" s="400" t="s">
        <v>91</v>
      </c>
      <c r="I75" s="400"/>
      <c r="J75" s="400"/>
      <c r="K75" s="563"/>
      <c r="L75" s="555"/>
    </row>
    <row r="76" spans="2:12" ht="12" customHeight="1" x14ac:dyDescent="0.3">
      <c r="B76" s="876"/>
      <c r="C76" s="619" t="s">
        <v>1325</v>
      </c>
      <c r="D76" s="889"/>
      <c r="E76" s="891"/>
      <c r="F76" s="891"/>
      <c r="G76" s="891"/>
      <c r="H76" s="891"/>
      <c r="I76" s="891"/>
      <c r="J76" s="891"/>
      <c r="K76" s="883" t="s">
        <v>91</v>
      </c>
      <c r="L76" s="883" t="s">
        <v>91</v>
      </c>
    </row>
    <row r="77" spans="2:12" ht="12" customHeight="1" x14ac:dyDescent="0.3">
      <c r="B77" s="876"/>
      <c r="C77" s="619" t="s">
        <v>1326</v>
      </c>
      <c r="D77" s="890"/>
      <c r="E77" s="892"/>
      <c r="F77" s="892"/>
      <c r="G77" s="892"/>
      <c r="H77" s="892"/>
      <c r="I77" s="892"/>
      <c r="J77" s="892"/>
      <c r="K77" s="884"/>
      <c r="L77" s="884"/>
    </row>
    <row r="78" spans="2:12" ht="12" customHeight="1" x14ac:dyDescent="0.3">
      <c r="B78" s="876"/>
      <c r="C78" s="619" t="s">
        <v>174</v>
      </c>
      <c r="D78" s="610" t="s">
        <v>91</v>
      </c>
      <c r="E78" s="400" t="s">
        <v>91</v>
      </c>
      <c r="F78" s="400" t="s">
        <v>91</v>
      </c>
      <c r="G78" s="400" t="s">
        <v>91</v>
      </c>
      <c r="H78" s="400" t="s">
        <v>91</v>
      </c>
      <c r="I78" s="400"/>
      <c r="J78" s="400"/>
      <c r="K78" s="563"/>
      <c r="L78" s="555"/>
    </row>
    <row r="79" spans="2:12" ht="12" customHeight="1" x14ac:dyDescent="0.3">
      <c r="B79" s="876"/>
      <c r="C79" s="619" t="s">
        <v>175</v>
      </c>
      <c r="D79" s="610" t="s">
        <v>91</v>
      </c>
      <c r="E79" s="400" t="s">
        <v>91</v>
      </c>
      <c r="F79" s="400" t="s">
        <v>91</v>
      </c>
      <c r="G79" s="400" t="s">
        <v>91</v>
      </c>
      <c r="H79" s="400" t="s">
        <v>91</v>
      </c>
      <c r="I79" s="400"/>
      <c r="J79" s="400"/>
      <c r="K79" s="563" t="s">
        <v>91</v>
      </c>
      <c r="L79" s="555" t="s">
        <v>91</v>
      </c>
    </row>
    <row r="80" spans="2:12" ht="12" customHeight="1" x14ac:dyDescent="0.3">
      <c r="B80" s="876"/>
      <c r="C80" s="619" t="s">
        <v>176</v>
      </c>
      <c r="D80" s="610" t="s">
        <v>91</v>
      </c>
      <c r="E80" s="400" t="s">
        <v>91</v>
      </c>
      <c r="F80" s="400" t="s">
        <v>91</v>
      </c>
      <c r="G80" s="400" t="s">
        <v>91</v>
      </c>
      <c r="H80" s="400" t="s">
        <v>91</v>
      </c>
      <c r="I80" s="400"/>
      <c r="J80" s="400"/>
      <c r="K80" s="563" t="s">
        <v>91</v>
      </c>
      <c r="L80" s="555" t="s">
        <v>91</v>
      </c>
    </row>
    <row r="81" spans="2:12" ht="12" customHeight="1" x14ac:dyDescent="0.3">
      <c r="B81" s="876"/>
      <c r="C81" s="619" t="s">
        <v>177</v>
      </c>
      <c r="D81" s="610" t="s">
        <v>91</v>
      </c>
      <c r="E81" s="400" t="s">
        <v>91</v>
      </c>
      <c r="F81" s="400" t="s">
        <v>91</v>
      </c>
      <c r="G81" s="400" t="s">
        <v>91</v>
      </c>
      <c r="H81" s="400" t="s">
        <v>91</v>
      </c>
      <c r="I81" s="400"/>
      <c r="J81" s="400"/>
      <c r="K81" s="563"/>
      <c r="L81" s="555"/>
    </row>
    <row r="82" spans="2:12" ht="12" customHeight="1" x14ac:dyDescent="0.3">
      <c r="B82" s="876"/>
      <c r="C82" s="619" t="s">
        <v>178</v>
      </c>
      <c r="D82" s="610" t="s">
        <v>91</v>
      </c>
      <c r="E82" s="400" t="s">
        <v>91</v>
      </c>
      <c r="F82" s="400" t="s">
        <v>91</v>
      </c>
      <c r="G82" s="400" t="s">
        <v>91</v>
      </c>
      <c r="H82" s="400" t="s">
        <v>91</v>
      </c>
      <c r="I82" s="400"/>
      <c r="J82" s="400"/>
      <c r="K82" s="563" t="s">
        <v>91</v>
      </c>
      <c r="L82" s="555" t="s">
        <v>91</v>
      </c>
    </row>
    <row r="83" spans="2:12" ht="12" customHeight="1" x14ac:dyDescent="0.3">
      <c r="B83" s="876"/>
      <c r="C83" s="619" t="s">
        <v>1327</v>
      </c>
      <c r="D83" s="610"/>
      <c r="E83" s="400"/>
      <c r="F83" s="400"/>
      <c r="G83" s="400"/>
      <c r="H83" s="400"/>
      <c r="I83" s="400"/>
      <c r="J83" s="400"/>
      <c r="K83" s="563" t="s">
        <v>91</v>
      </c>
      <c r="L83" s="555" t="s">
        <v>91</v>
      </c>
    </row>
    <row r="84" spans="2:12" ht="12" customHeight="1" x14ac:dyDescent="0.3">
      <c r="B84" s="876"/>
      <c r="C84" s="619" t="s">
        <v>1328</v>
      </c>
      <c r="D84" s="610" t="s">
        <v>91</v>
      </c>
      <c r="E84" s="400" t="s">
        <v>91</v>
      </c>
      <c r="F84" s="400" t="s">
        <v>91</v>
      </c>
      <c r="G84" s="400" t="s">
        <v>91</v>
      </c>
      <c r="H84" s="400" t="s">
        <v>91</v>
      </c>
      <c r="I84" s="400"/>
      <c r="J84" s="400"/>
      <c r="K84" s="563" t="s">
        <v>91</v>
      </c>
      <c r="L84" s="555" t="s">
        <v>91</v>
      </c>
    </row>
    <row r="85" spans="2:12" ht="12" customHeight="1" x14ac:dyDescent="0.3">
      <c r="B85" s="876"/>
      <c r="C85" s="619" t="s">
        <v>1329</v>
      </c>
      <c r="D85" s="610"/>
      <c r="E85" s="400"/>
      <c r="F85" s="400"/>
      <c r="G85" s="400"/>
      <c r="H85" s="400"/>
      <c r="I85" s="400"/>
      <c r="J85" s="400"/>
      <c r="K85" s="563" t="s">
        <v>91</v>
      </c>
      <c r="L85" s="555" t="s">
        <v>91</v>
      </c>
    </row>
    <row r="86" spans="2:12" ht="12" customHeight="1" x14ac:dyDescent="0.3">
      <c r="B86" s="876"/>
      <c r="C86" s="619" t="s">
        <v>180</v>
      </c>
      <c r="D86" s="610" t="s">
        <v>91</v>
      </c>
      <c r="E86" s="400" t="s">
        <v>91</v>
      </c>
      <c r="F86" s="400" t="s">
        <v>91</v>
      </c>
      <c r="G86" s="400" t="s">
        <v>91</v>
      </c>
      <c r="H86" s="400" t="s">
        <v>91</v>
      </c>
      <c r="I86" s="400"/>
      <c r="J86" s="400"/>
      <c r="K86" s="563" t="s">
        <v>91</v>
      </c>
      <c r="L86" s="555" t="s">
        <v>91</v>
      </c>
    </row>
    <row r="87" spans="2:12" ht="12" customHeight="1" x14ac:dyDescent="0.3">
      <c r="B87" s="598"/>
      <c r="C87" s="586" t="s">
        <v>182</v>
      </c>
      <c r="D87" s="394"/>
      <c r="E87" s="395"/>
      <c r="F87" s="396" t="s">
        <v>91</v>
      </c>
      <c r="G87" s="395" t="s">
        <v>91</v>
      </c>
      <c r="H87" s="564"/>
      <c r="I87" s="565"/>
      <c r="J87" s="566" t="s">
        <v>91</v>
      </c>
      <c r="K87" s="562" t="s">
        <v>91</v>
      </c>
      <c r="L87" s="555" t="s">
        <v>91</v>
      </c>
    </row>
    <row r="88" spans="2:12" ht="12" customHeight="1" x14ac:dyDescent="0.3">
      <c r="B88" s="598"/>
      <c r="C88" s="464" t="s">
        <v>184</v>
      </c>
      <c r="D88" s="567"/>
      <c r="E88" s="387"/>
      <c r="F88" s="387"/>
      <c r="G88" s="387" t="s">
        <v>91</v>
      </c>
      <c r="H88" s="387" t="s">
        <v>91</v>
      </c>
      <c r="I88" s="387"/>
      <c r="J88" s="393"/>
      <c r="K88" s="562"/>
      <c r="L88" s="555"/>
    </row>
    <row r="89" spans="2:12" ht="12" customHeight="1" x14ac:dyDescent="0.3">
      <c r="B89" s="599"/>
      <c r="C89" s="464" t="s">
        <v>186</v>
      </c>
      <c r="D89" s="567"/>
      <c r="E89" s="387"/>
      <c r="F89" s="387"/>
      <c r="G89" s="387" t="s">
        <v>91</v>
      </c>
      <c r="H89" s="387" t="s">
        <v>91</v>
      </c>
      <c r="I89" s="387"/>
      <c r="J89" s="393" t="s">
        <v>91</v>
      </c>
      <c r="K89" s="562" t="s">
        <v>91</v>
      </c>
      <c r="L89" s="555" t="s">
        <v>91</v>
      </c>
    </row>
    <row r="90" spans="2:12" ht="12" customHeight="1" x14ac:dyDescent="0.3">
      <c r="B90" s="885"/>
      <c r="C90" s="464" t="s">
        <v>1330</v>
      </c>
      <c r="D90" s="567"/>
      <c r="E90" s="387"/>
      <c r="F90" s="387"/>
      <c r="G90" s="387" t="s">
        <v>91</v>
      </c>
      <c r="H90" s="387" t="s">
        <v>91</v>
      </c>
      <c r="I90" s="387" t="s">
        <v>91</v>
      </c>
      <c r="J90" s="393" t="s">
        <v>91</v>
      </c>
      <c r="K90" s="562" t="s">
        <v>91</v>
      </c>
      <c r="L90" s="555" t="s">
        <v>91</v>
      </c>
    </row>
    <row r="91" spans="2:12" ht="12" customHeight="1" x14ac:dyDescent="0.3">
      <c r="B91" s="885"/>
      <c r="C91" s="464" t="s">
        <v>1331</v>
      </c>
      <c r="D91" s="567"/>
      <c r="E91" s="387"/>
      <c r="F91" s="387"/>
      <c r="G91" s="387" t="s">
        <v>91</v>
      </c>
      <c r="H91" s="387" t="s">
        <v>91</v>
      </c>
      <c r="I91" s="387" t="s">
        <v>91</v>
      </c>
      <c r="J91" s="393" t="s">
        <v>91</v>
      </c>
      <c r="K91" s="389" t="s">
        <v>91</v>
      </c>
      <c r="L91" s="397" t="s">
        <v>91</v>
      </c>
    </row>
    <row r="92" spans="2:12" ht="12" customHeight="1" x14ac:dyDescent="0.3">
      <c r="B92" s="885"/>
      <c r="C92" s="464" t="s">
        <v>196</v>
      </c>
      <c r="D92" s="567"/>
      <c r="E92" s="387"/>
      <c r="F92" s="387"/>
      <c r="G92" s="387" t="s">
        <v>91</v>
      </c>
      <c r="H92" s="387" t="s">
        <v>91</v>
      </c>
      <c r="I92" s="387" t="s">
        <v>91</v>
      </c>
      <c r="J92" s="393"/>
      <c r="K92" s="562" t="s">
        <v>91</v>
      </c>
      <c r="L92" s="555" t="s">
        <v>91</v>
      </c>
    </row>
    <row r="93" spans="2:12" ht="12" customHeight="1" x14ac:dyDescent="0.3">
      <c r="B93" s="885"/>
      <c r="C93" s="464" t="s">
        <v>197</v>
      </c>
      <c r="D93" s="567"/>
      <c r="E93" s="387"/>
      <c r="F93" s="387"/>
      <c r="G93" s="387" t="s">
        <v>91</v>
      </c>
      <c r="H93" s="387" t="s">
        <v>91</v>
      </c>
      <c r="I93" s="387" t="s">
        <v>91</v>
      </c>
      <c r="J93" s="393" t="s">
        <v>91</v>
      </c>
      <c r="K93" s="562" t="s">
        <v>91</v>
      </c>
      <c r="L93" s="555" t="s">
        <v>91</v>
      </c>
    </row>
    <row r="94" spans="2:12" ht="12" customHeight="1" x14ac:dyDescent="0.3">
      <c r="B94" s="885"/>
      <c r="C94" s="464" t="s">
        <v>1332</v>
      </c>
      <c r="D94" s="567"/>
      <c r="E94" s="387"/>
      <c r="F94" s="387"/>
      <c r="G94" s="387" t="s">
        <v>91</v>
      </c>
      <c r="H94" s="387" t="s">
        <v>91</v>
      </c>
      <c r="I94" s="387" t="s">
        <v>91</v>
      </c>
      <c r="J94" s="393" t="s">
        <v>91</v>
      </c>
      <c r="K94" s="562" t="s">
        <v>91</v>
      </c>
      <c r="L94" s="555" t="s">
        <v>91</v>
      </c>
    </row>
    <row r="95" spans="2:12" ht="12" customHeight="1" x14ac:dyDescent="0.3">
      <c r="B95" s="885"/>
      <c r="C95" s="464" t="s">
        <v>198</v>
      </c>
      <c r="D95" s="567"/>
      <c r="E95" s="387"/>
      <c r="F95" s="387"/>
      <c r="G95" s="387" t="s">
        <v>91</v>
      </c>
      <c r="H95" s="387" t="s">
        <v>91</v>
      </c>
      <c r="I95" s="387" t="s">
        <v>91</v>
      </c>
      <c r="J95" s="393"/>
      <c r="K95" s="562"/>
      <c r="L95" s="555"/>
    </row>
    <row r="96" spans="2:12" ht="12" customHeight="1" x14ac:dyDescent="0.3">
      <c r="B96" s="885"/>
      <c r="C96" s="464" t="s">
        <v>199</v>
      </c>
      <c r="D96" s="567"/>
      <c r="E96" s="387"/>
      <c r="F96" s="387"/>
      <c r="G96" s="387" t="s">
        <v>91</v>
      </c>
      <c r="H96" s="387" t="s">
        <v>91</v>
      </c>
      <c r="I96" s="387" t="s">
        <v>91</v>
      </c>
      <c r="J96" s="393" t="s">
        <v>91</v>
      </c>
      <c r="K96" s="562" t="s">
        <v>91</v>
      </c>
      <c r="L96" s="555" t="s">
        <v>91</v>
      </c>
    </row>
    <row r="97" spans="2:13" ht="12" customHeight="1" x14ac:dyDescent="0.3">
      <c r="B97" s="885"/>
      <c r="C97" s="464" t="s">
        <v>200</v>
      </c>
      <c r="D97" s="567"/>
      <c r="E97" s="387"/>
      <c r="F97" s="387"/>
      <c r="G97" s="387"/>
      <c r="H97" s="387" t="s">
        <v>91</v>
      </c>
      <c r="I97" s="387" t="s">
        <v>91</v>
      </c>
      <c r="J97" s="393"/>
      <c r="K97" s="562"/>
      <c r="L97" s="555"/>
    </row>
    <row r="98" spans="2:13" ht="12" customHeight="1" x14ac:dyDescent="0.3">
      <c r="B98" s="885"/>
      <c r="C98" s="464" t="s">
        <v>201</v>
      </c>
      <c r="D98" s="567"/>
      <c r="E98" s="387"/>
      <c r="F98" s="387"/>
      <c r="G98" s="387"/>
      <c r="H98" s="387" t="s">
        <v>91</v>
      </c>
      <c r="I98" s="387" t="s">
        <v>91</v>
      </c>
      <c r="J98" s="393"/>
      <c r="K98" s="562"/>
      <c r="L98" s="555"/>
    </row>
    <row r="99" spans="2:13" ht="12" customHeight="1" x14ac:dyDescent="0.3">
      <c r="B99" s="885"/>
      <c r="C99" s="464" t="s">
        <v>202</v>
      </c>
      <c r="D99" s="567"/>
      <c r="E99" s="387"/>
      <c r="F99" s="387"/>
      <c r="G99" s="387"/>
      <c r="H99" s="387" t="s">
        <v>91</v>
      </c>
      <c r="I99" s="387" t="s">
        <v>91</v>
      </c>
      <c r="J99" s="393"/>
      <c r="K99" s="562" t="s">
        <v>91</v>
      </c>
      <c r="L99" s="555" t="s">
        <v>91</v>
      </c>
    </row>
    <row r="100" spans="2:13" ht="12" customHeight="1" x14ac:dyDescent="0.3">
      <c r="B100" s="885"/>
      <c r="C100" s="464" t="s">
        <v>203</v>
      </c>
      <c r="D100" s="567"/>
      <c r="E100" s="387"/>
      <c r="F100" s="387"/>
      <c r="G100" s="387"/>
      <c r="H100" s="387"/>
      <c r="I100" s="387"/>
      <c r="J100" s="393" t="s">
        <v>91</v>
      </c>
      <c r="K100" s="562" t="s">
        <v>91</v>
      </c>
      <c r="L100" s="555" t="s">
        <v>91</v>
      </c>
    </row>
    <row r="101" spans="2:13" ht="12" customHeight="1" x14ac:dyDescent="0.3">
      <c r="B101" s="885"/>
      <c r="C101" s="464" t="s">
        <v>204</v>
      </c>
      <c r="D101" s="611"/>
      <c r="E101" s="560"/>
      <c r="F101" s="560"/>
      <c r="G101" s="560"/>
      <c r="H101" s="387"/>
      <c r="I101" s="387"/>
      <c r="J101" s="393" t="s">
        <v>91</v>
      </c>
      <c r="K101" s="562" t="s">
        <v>91</v>
      </c>
      <c r="L101" s="555" t="s">
        <v>91</v>
      </c>
    </row>
    <row r="102" spans="2:13" ht="12" customHeight="1" x14ac:dyDescent="0.3">
      <c r="B102" s="885"/>
      <c r="C102" s="464" t="s">
        <v>1333</v>
      </c>
      <c r="D102" s="612"/>
      <c r="E102" s="402"/>
      <c r="F102" s="402"/>
      <c r="G102" s="402"/>
      <c r="H102" s="567"/>
      <c r="I102" s="387"/>
      <c r="J102" s="393"/>
      <c r="K102" s="562" t="s">
        <v>91</v>
      </c>
      <c r="L102" s="555" t="s">
        <v>91</v>
      </c>
    </row>
    <row r="103" spans="2:13" ht="12" customHeight="1" x14ac:dyDescent="0.3">
      <c r="B103" s="885"/>
      <c r="C103" s="464" t="s">
        <v>1334</v>
      </c>
      <c r="D103" s="612"/>
      <c r="E103" s="402"/>
      <c r="F103" s="402"/>
      <c r="G103" s="402"/>
      <c r="H103" s="567"/>
      <c r="I103" s="387"/>
      <c r="J103" s="393"/>
      <c r="K103" s="562" t="s">
        <v>91</v>
      </c>
      <c r="L103" s="555" t="s">
        <v>91</v>
      </c>
    </row>
    <row r="104" spans="2:13" ht="12" customHeight="1" x14ac:dyDescent="0.3">
      <c r="B104" s="885"/>
      <c r="C104" s="464" t="s">
        <v>714</v>
      </c>
      <c r="D104" s="612"/>
      <c r="E104" s="402"/>
      <c r="F104" s="402"/>
      <c r="G104" s="402"/>
      <c r="H104" s="567"/>
      <c r="I104" s="387"/>
      <c r="J104" s="393"/>
      <c r="K104" s="562" t="s">
        <v>91</v>
      </c>
      <c r="L104" s="555" t="s">
        <v>91</v>
      </c>
    </row>
    <row r="105" spans="2:13" ht="12" customHeight="1" x14ac:dyDescent="0.3">
      <c r="B105" s="885"/>
      <c r="C105" s="464" t="s">
        <v>713</v>
      </c>
      <c r="D105" s="612"/>
      <c r="E105" s="402"/>
      <c r="F105" s="402"/>
      <c r="G105" s="402"/>
      <c r="H105" s="567"/>
      <c r="I105" s="387"/>
      <c r="J105" s="393"/>
      <c r="K105" s="562" t="s">
        <v>91</v>
      </c>
      <c r="L105" s="555" t="s">
        <v>91</v>
      </c>
    </row>
    <row r="106" spans="2:13" ht="12" customHeight="1" x14ac:dyDescent="0.3">
      <c r="B106" s="885"/>
      <c r="C106" s="464" t="s">
        <v>1335</v>
      </c>
      <c r="D106" s="613"/>
      <c r="E106" s="403"/>
      <c r="F106" s="403"/>
      <c r="G106" s="568"/>
      <c r="H106" s="567"/>
      <c r="I106" s="387"/>
      <c r="J106" s="393"/>
      <c r="K106" s="562"/>
      <c r="L106" s="555" t="s">
        <v>91</v>
      </c>
    </row>
    <row r="107" spans="2:13" ht="12" customHeight="1" x14ac:dyDescent="0.3">
      <c r="B107" s="885"/>
      <c r="C107" s="464" t="s">
        <v>1336</v>
      </c>
      <c r="D107" s="613"/>
      <c r="E107" s="403"/>
      <c r="F107" s="403"/>
      <c r="G107" s="568"/>
      <c r="H107" s="567"/>
      <c r="I107" s="387"/>
      <c r="J107" s="393"/>
      <c r="K107" s="562"/>
      <c r="L107" s="555" t="s">
        <v>91</v>
      </c>
    </row>
    <row r="108" spans="2:13" ht="12" customHeight="1" x14ac:dyDescent="0.3">
      <c r="B108" s="885"/>
      <c r="C108" s="586" t="s">
        <v>205</v>
      </c>
      <c r="D108" s="614"/>
      <c r="E108" s="396"/>
      <c r="F108" s="396"/>
      <c r="G108" s="395" t="s">
        <v>91</v>
      </c>
      <c r="H108" s="392" t="s">
        <v>91</v>
      </c>
      <c r="I108" s="387" t="s">
        <v>91</v>
      </c>
      <c r="J108" s="393"/>
      <c r="K108" s="562"/>
      <c r="L108" s="555"/>
    </row>
    <row r="109" spans="2:13" ht="12" customHeight="1" x14ac:dyDescent="0.3">
      <c r="B109" s="600"/>
      <c r="C109" s="586" t="s">
        <v>571</v>
      </c>
      <c r="D109" s="615"/>
      <c r="E109" s="404"/>
      <c r="F109" s="404"/>
      <c r="G109" s="558"/>
      <c r="H109" s="559"/>
      <c r="I109" s="561"/>
      <c r="J109" s="561" t="s">
        <v>91</v>
      </c>
      <c r="K109" s="389" t="s">
        <v>91</v>
      </c>
      <c r="L109" s="283" t="s">
        <v>91</v>
      </c>
    </row>
    <row r="110" spans="2:13" ht="12" customHeight="1" x14ac:dyDescent="0.3">
      <c r="B110" s="601"/>
      <c r="C110" s="586" t="s">
        <v>209</v>
      </c>
      <c r="D110" s="399"/>
      <c r="E110" s="390"/>
      <c r="F110" s="390"/>
      <c r="G110" s="391"/>
      <c r="H110" s="392"/>
      <c r="I110" s="393"/>
      <c r="J110" s="393" t="s">
        <v>91</v>
      </c>
      <c r="K110" s="389" t="s">
        <v>91</v>
      </c>
      <c r="L110" s="283" t="s">
        <v>91</v>
      </c>
    </row>
    <row r="111" spans="2:13" ht="23.25" customHeight="1" x14ac:dyDescent="0.3">
      <c r="B111" s="49"/>
      <c r="C111" s="48"/>
      <c r="D111" s="86"/>
      <c r="E111" s="86"/>
      <c r="F111" s="86"/>
      <c r="G111" s="87"/>
      <c r="H111" s="86"/>
      <c r="I111" s="88"/>
      <c r="J111" s="88"/>
    </row>
    <row r="112" spans="2:13" ht="23.25" customHeight="1" x14ac:dyDescent="0.3">
      <c r="B112" s="893" t="s">
        <v>598</v>
      </c>
      <c r="C112" s="893"/>
      <c r="D112" s="893"/>
      <c r="E112" s="893"/>
      <c r="F112" s="893"/>
      <c r="G112" s="893"/>
      <c r="H112" s="893"/>
      <c r="I112" s="893"/>
      <c r="J112" s="893"/>
      <c r="K112" s="893"/>
      <c r="L112" s="893"/>
      <c r="M112" s="893"/>
    </row>
    <row r="113" spans="2:89" s="255" customFormat="1" ht="23.25" customHeight="1" x14ac:dyDescent="0.3">
      <c r="B113" s="569" t="s">
        <v>599</v>
      </c>
      <c r="C113" s="570" t="s">
        <v>602</v>
      </c>
      <c r="D113" s="571" t="s">
        <v>672</v>
      </c>
      <c r="E113" s="572" t="s">
        <v>533</v>
      </c>
      <c r="F113" s="572" t="s">
        <v>603</v>
      </c>
      <c r="G113" s="572" t="s">
        <v>715</v>
      </c>
      <c r="H113" s="571" t="s">
        <v>716</v>
      </c>
      <c r="I113" s="573" t="s">
        <v>604</v>
      </c>
      <c r="J113" s="573" t="s">
        <v>605</v>
      </c>
      <c r="K113" s="573" t="s">
        <v>717</v>
      </c>
      <c r="L113" s="572" t="s">
        <v>606</v>
      </c>
      <c r="M113" s="572" t="s">
        <v>718</v>
      </c>
      <c r="N113" s="572" t="s">
        <v>719</v>
      </c>
      <c r="O113" s="274" t="s">
        <v>607</v>
      </c>
      <c r="P113" s="274" t="s">
        <v>608</v>
      </c>
      <c r="Q113" s="274" t="s">
        <v>609</v>
      </c>
      <c r="R113" s="572" t="s">
        <v>610</v>
      </c>
      <c r="S113" s="572" t="s">
        <v>611</v>
      </c>
      <c r="T113" s="274" t="s">
        <v>612</v>
      </c>
      <c r="U113" s="572" t="s">
        <v>613</v>
      </c>
      <c r="V113" s="572" t="s">
        <v>614</v>
      </c>
      <c r="W113" s="274" t="s">
        <v>615</v>
      </c>
      <c r="X113" s="572" t="s">
        <v>616</v>
      </c>
      <c r="Y113" s="572" t="s">
        <v>720</v>
      </c>
      <c r="Z113" s="274" t="s">
        <v>721</v>
      </c>
      <c r="AA113" s="274" t="s">
        <v>617</v>
      </c>
      <c r="AB113" s="572" t="s">
        <v>618</v>
      </c>
      <c r="AC113" s="274" t="s">
        <v>722</v>
      </c>
      <c r="AD113" s="274" t="s">
        <v>619</v>
      </c>
      <c r="AE113" s="569" t="s">
        <v>723</v>
      </c>
      <c r="AF113" s="274" t="s">
        <v>620</v>
      </c>
      <c r="AG113" s="274" t="s">
        <v>621</v>
      </c>
      <c r="AH113" s="274" t="s">
        <v>724</v>
      </c>
      <c r="AI113" s="572" t="s">
        <v>622</v>
      </c>
      <c r="AJ113" s="572" t="s">
        <v>725</v>
      </c>
      <c r="AK113" s="274" t="s">
        <v>726</v>
      </c>
      <c r="AL113" s="274" t="s">
        <v>623</v>
      </c>
      <c r="AM113" s="572" t="s">
        <v>727</v>
      </c>
      <c r="AN113" s="572" t="s">
        <v>159</v>
      </c>
      <c r="AO113" s="572" t="s">
        <v>728</v>
      </c>
      <c r="AP113" s="572" t="s">
        <v>729</v>
      </c>
      <c r="AQ113" s="274" t="s">
        <v>730</v>
      </c>
      <c r="AR113" s="572" t="s">
        <v>731</v>
      </c>
      <c r="AS113" s="274" t="s">
        <v>624</v>
      </c>
      <c r="AT113" s="572" t="s">
        <v>732</v>
      </c>
      <c r="AU113" s="572" t="s">
        <v>625</v>
      </c>
      <c r="AV113" s="572" t="s">
        <v>626</v>
      </c>
      <c r="AW113" s="572" t="s">
        <v>549</v>
      </c>
      <c r="AX113" s="572" t="s">
        <v>627</v>
      </c>
      <c r="AY113" s="274" t="s">
        <v>628</v>
      </c>
      <c r="AZ113" s="572" t="s">
        <v>629</v>
      </c>
      <c r="BA113" s="572" t="s">
        <v>733</v>
      </c>
      <c r="BB113" s="572" t="s">
        <v>128</v>
      </c>
      <c r="BC113" s="572" t="s">
        <v>129</v>
      </c>
      <c r="BD113" s="572" t="s">
        <v>630</v>
      </c>
      <c r="BE113" s="574" t="s">
        <v>734</v>
      </c>
      <c r="BF113" s="274" t="s">
        <v>631</v>
      </c>
      <c r="BG113" s="572" t="s">
        <v>632</v>
      </c>
      <c r="BH113" s="572" t="s">
        <v>633</v>
      </c>
      <c r="BI113" s="274" t="s">
        <v>634</v>
      </c>
      <c r="BJ113" s="274" t="s">
        <v>635</v>
      </c>
      <c r="BK113" s="274" t="s">
        <v>636</v>
      </c>
      <c r="BL113" s="274" t="s">
        <v>637</v>
      </c>
      <c r="BM113" s="572" t="s">
        <v>638</v>
      </c>
      <c r="BN113" s="274" t="s">
        <v>639</v>
      </c>
      <c r="BO113" s="274" t="s">
        <v>640</v>
      </c>
      <c r="BP113" s="572" t="s">
        <v>641</v>
      </c>
      <c r="BQ113" s="274" t="s">
        <v>642</v>
      </c>
      <c r="BR113" s="274" t="s">
        <v>643</v>
      </c>
      <c r="BS113" s="572" t="s">
        <v>644</v>
      </c>
      <c r="BT113" s="572" t="s">
        <v>645</v>
      </c>
      <c r="BU113" s="274" t="s">
        <v>646</v>
      </c>
      <c r="BV113" s="572" t="s">
        <v>535</v>
      </c>
      <c r="BW113" s="274" t="s">
        <v>647</v>
      </c>
      <c r="BX113" s="572" t="s">
        <v>536</v>
      </c>
      <c r="BY113" s="274" t="s">
        <v>648</v>
      </c>
      <c r="BZ113" s="274" t="s">
        <v>649</v>
      </c>
      <c r="CA113" s="572" t="s">
        <v>735</v>
      </c>
      <c r="CB113" s="572" t="s">
        <v>650</v>
      </c>
      <c r="CC113" s="572" t="s">
        <v>537</v>
      </c>
      <c r="CD113" s="572" t="s">
        <v>651</v>
      </c>
      <c r="CE113" s="274" t="s">
        <v>736</v>
      </c>
      <c r="CF113" s="572" t="s">
        <v>652</v>
      </c>
      <c r="CG113" s="572" t="s">
        <v>653</v>
      </c>
      <c r="CH113" s="274" t="s">
        <v>207</v>
      </c>
      <c r="CI113" s="274" t="s">
        <v>654</v>
      </c>
      <c r="CK113" s="575"/>
    </row>
    <row r="114" spans="2:89" s="255" customFormat="1" ht="34.5" customHeight="1" x14ac:dyDescent="0.3">
      <c r="B114" s="422" t="s">
        <v>1527</v>
      </c>
      <c r="C114" s="685" t="s">
        <v>91</v>
      </c>
      <c r="D114" s="685" t="s">
        <v>91</v>
      </c>
      <c r="E114" s="685" t="s">
        <v>91</v>
      </c>
      <c r="F114" s="685" t="s">
        <v>91</v>
      </c>
      <c r="G114" s="685" t="s">
        <v>91</v>
      </c>
      <c r="H114" s="685" t="s">
        <v>91</v>
      </c>
      <c r="I114" s="685" t="s">
        <v>91</v>
      </c>
      <c r="J114" s="685" t="s">
        <v>91</v>
      </c>
      <c r="K114" s="686" t="s">
        <v>91</v>
      </c>
      <c r="L114" s="686" t="s">
        <v>91</v>
      </c>
      <c r="M114" s="685"/>
      <c r="N114" s="685" t="s">
        <v>91</v>
      </c>
      <c r="O114" s="685" t="s">
        <v>91</v>
      </c>
      <c r="P114" s="685" t="s">
        <v>91</v>
      </c>
      <c r="Q114" s="685" t="s">
        <v>91</v>
      </c>
      <c r="R114" s="685" t="s">
        <v>91</v>
      </c>
      <c r="S114" s="685" t="s">
        <v>91</v>
      </c>
      <c r="T114" s="687" t="s">
        <v>91</v>
      </c>
      <c r="U114" s="685" t="s">
        <v>91</v>
      </c>
      <c r="V114" s="685" t="s">
        <v>91</v>
      </c>
      <c r="W114" s="685" t="s">
        <v>91</v>
      </c>
      <c r="X114" s="685" t="s">
        <v>91</v>
      </c>
      <c r="Y114" s="685"/>
      <c r="Z114" s="685"/>
      <c r="AA114" s="685" t="s">
        <v>91</v>
      </c>
      <c r="AB114" s="685" t="s">
        <v>91</v>
      </c>
      <c r="AC114" s="685"/>
      <c r="AD114" s="685" t="s">
        <v>91</v>
      </c>
      <c r="AE114" s="685"/>
      <c r="AF114" s="685" t="s">
        <v>91</v>
      </c>
      <c r="AG114" s="685"/>
      <c r="AH114" s="685"/>
      <c r="AI114" s="685" t="s">
        <v>91</v>
      </c>
      <c r="AJ114" s="685"/>
      <c r="AK114" s="685"/>
      <c r="AL114" s="685" t="s">
        <v>91</v>
      </c>
      <c r="AM114" s="685" t="s">
        <v>91</v>
      </c>
      <c r="AN114" s="685" t="s">
        <v>91</v>
      </c>
      <c r="AO114" s="685"/>
      <c r="AP114" s="685"/>
      <c r="AQ114" s="685"/>
      <c r="AR114" s="685"/>
      <c r="AS114" s="685" t="s">
        <v>91</v>
      </c>
      <c r="AT114" s="685"/>
      <c r="AU114" s="685" t="s">
        <v>91</v>
      </c>
      <c r="AV114" s="685" t="s">
        <v>91</v>
      </c>
      <c r="AW114" s="685" t="s">
        <v>91</v>
      </c>
      <c r="AX114" s="685" t="s">
        <v>91</v>
      </c>
      <c r="AY114" s="685" t="s">
        <v>674</v>
      </c>
      <c r="AZ114" s="685" t="s">
        <v>91</v>
      </c>
      <c r="BA114" s="685"/>
      <c r="BB114" s="685"/>
      <c r="BC114" s="685"/>
      <c r="BD114" s="685" t="s">
        <v>91</v>
      </c>
      <c r="BE114" s="685" t="s">
        <v>91</v>
      </c>
      <c r="BF114" s="685" t="s">
        <v>91</v>
      </c>
      <c r="BG114" s="685" t="s">
        <v>91</v>
      </c>
      <c r="BH114" s="685" t="s">
        <v>91</v>
      </c>
      <c r="BI114" s="685"/>
      <c r="BJ114" s="685"/>
      <c r="BK114" s="685" t="s">
        <v>91</v>
      </c>
      <c r="BL114" s="685" t="s">
        <v>91</v>
      </c>
      <c r="BM114" s="685"/>
      <c r="BN114" s="685" t="s">
        <v>91</v>
      </c>
      <c r="BO114" s="685" t="s">
        <v>91</v>
      </c>
      <c r="BP114" s="685" t="s">
        <v>91</v>
      </c>
      <c r="BQ114" s="685" t="s">
        <v>91</v>
      </c>
      <c r="BR114" s="685" t="s">
        <v>91</v>
      </c>
      <c r="BS114" s="685" t="s">
        <v>91</v>
      </c>
      <c r="BT114" s="685" t="s">
        <v>91</v>
      </c>
      <c r="BU114" s="685" t="s">
        <v>91</v>
      </c>
      <c r="BV114" s="685" t="s">
        <v>91</v>
      </c>
      <c r="BW114" s="685" t="s">
        <v>91</v>
      </c>
      <c r="BX114" s="685" t="s">
        <v>91</v>
      </c>
      <c r="BY114" s="685" t="s">
        <v>91</v>
      </c>
      <c r="BZ114" s="685" t="s">
        <v>91</v>
      </c>
      <c r="CA114" s="685"/>
      <c r="CB114" s="685" t="s">
        <v>91</v>
      </c>
      <c r="CC114" s="685" t="s">
        <v>91</v>
      </c>
      <c r="CD114" s="685" t="s">
        <v>91</v>
      </c>
      <c r="CE114" s="685"/>
      <c r="CF114" s="685" t="s">
        <v>91</v>
      </c>
      <c r="CG114" s="685" t="s">
        <v>91</v>
      </c>
      <c r="CH114" s="685" t="s">
        <v>91</v>
      </c>
      <c r="CI114" s="685" t="s">
        <v>91</v>
      </c>
      <c r="CJ114" s="405"/>
      <c r="CK114" s="405"/>
    </row>
    <row r="115" spans="2:89" ht="35.4" customHeight="1" x14ac:dyDescent="0.3">
      <c r="B115" s="325"/>
      <c r="C115" s="688"/>
      <c r="D115" s="688"/>
      <c r="E115" s="688"/>
      <c r="F115" s="688"/>
      <c r="G115" s="688"/>
      <c r="H115" s="688"/>
      <c r="I115" s="688"/>
      <c r="J115" s="688"/>
      <c r="K115" s="689"/>
      <c r="L115" s="689"/>
      <c r="M115" s="688"/>
      <c r="N115" s="688"/>
      <c r="O115" s="688"/>
      <c r="P115" s="688"/>
      <c r="Q115" s="688"/>
      <c r="R115" s="688"/>
      <c r="S115" s="688"/>
      <c r="T115" s="688"/>
      <c r="U115" s="688"/>
      <c r="V115" s="688"/>
      <c r="W115" s="688"/>
      <c r="X115" s="688"/>
      <c r="Y115" s="688"/>
      <c r="Z115" s="688"/>
      <c r="AA115" s="688"/>
      <c r="AB115" s="688"/>
      <c r="AC115" s="688"/>
      <c r="AD115" s="688"/>
      <c r="AE115" s="688"/>
      <c r="AF115" s="688"/>
      <c r="AG115" s="688"/>
      <c r="AH115" s="688"/>
      <c r="AI115" s="688"/>
      <c r="AJ115" s="688"/>
      <c r="AK115" s="688"/>
      <c r="AL115" s="688"/>
      <c r="AM115" s="688"/>
      <c r="AN115" s="688"/>
      <c r="AO115" s="688"/>
      <c r="AP115" s="688"/>
      <c r="AQ115" s="688"/>
      <c r="AR115" s="688"/>
      <c r="AS115" s="688"/>
      <c r="AT115" s="688"/>
      <c r="AU115" s="688"/>
      <c r="AV115" s="688"/>
      <c r="AW115" s="688"/>
      <c r="AX115" s="688"/>
      <c r="AY115" s="688"/>
      <c r="AZ115" s="688"/>
      <c r="BA115" s="688"/>
      <c r="BB115" s="688"/>
      <c r="BC115" s="688"/>
      <c r="BD115" s="688"/>
      <c r="BE115" s="688"/>
      <c r="BF115" s="688"/>
      <c r="BG115" s="688"/>
      <c r="BH115" s="688"/>
      <c r="BI115" s="688"/>
      <c r="BJ115" s="688"/>
      <c r="BK115" s="688"/>
      <c r="BL115" s="688"/>
      <c r="BM115" s="688"/>
      <c r="BN115" s="688"/>
      <c r="BO115" s="688"/>
      <c r="BP115" s="688"/>
      <c r="BQ115" s="688"/>
      <c r="BR115" s="688"/>
      <c r="BS115" s="688"/>
      <c r="BT115" s="688"/>
      <c r="BU115" s="688"/>
      <c r="BV115" s="688"/>
      <c r="BW115" s="688"/>
      <c r="BX115" s="688"/>
      <c r="BY115" s="688"/>
      <c r="BZ115" s="688"/>
      <c r="CA115" s="688"/>
      <c r="CB115" s="688"/>
      <c r="CC115" s="688"/>
      <c r="CD115" s="688"/>
      <c r="CE115" s="688"/>
      <c r="CF115" s="688"/>
      <c r="CG115" s="688"/>
      <c r="CH115" s="688"/>
      <c r="CI115" s="688"/>
      <c r="CJ115" s="420"/>
    </row>
    <row r="116" spans="2:89" ht="23.25" customHeight="1" x14ac:dyDescent="0.3">
      <c r="B116" s="576"/>
      <c r="C116" s="577"/>
      <c r="D116" s="577"/>
      <c r="E116" s="577"/>
      <c r="F116" s="577"/>
      <c r="G116" s="577"/>
      <c r="H116" s="577"/>
      <c r="I116" s="577"/>
      <c r="J116" s="577"/>
      <c r="K116" s="578"/>
      <c r="L116" s="578"/>
      <c r="M116" s="577"/>
      <c r="N116" s="577"/>
      <c r="O116" s="577"/>
      <c r="P116" s="577"/>
      <c r="Q116" s="577"/>
      <c r="R116" s="577"/>
      <c r="S116" s="577"/>
      <c r="T116" s="577"/>
      <c r="U116" s="577"/>
      <c r="V116" s="577"/>
      <c r="W116" s="577"/>
      <c r="X116" s="577"/>
      <c r="Y116" s="577"/>
      <c r="Z116" s="577"/>
      <c r="AA116" s="577"/>
      <c r="AB116" s="577"/>
      <c r="AC116" s="577"/>
      <c r="AD116" s="577"/>
      <c r="AE116" s="577"/>
      <c r="AF116" s="577"/>
      <c r="AG116" s="577"/>
      <c r="AH116" s="577"/>
      <c r="AI116" s="577"/>
      <c r="AJ116" s="577"/>
      <c r="AK116" s="577"/>
      <c r="AL116" s="577"/>
      <c r="AM116" s="577"/>
      <c r="AN116" s="577"/>
      <c r="AO116" s="577"/>
      <c r="AP116" s="577"/>
      <c r="AQ116" s="577"/>
      <c r="AR116" s="577"/>
      <c r="AS116" s="577"/>
      <c r="AT116" s="577"/>
      <c r="AU116" s="577"/>
      <c r="AV116" s="577"/>
      <c r="AW116" s="577"/>
      <c r="AX116" s="577"/>
      <c r="AY116" s="577"/>
      <c r="AZ116" s="577"/>
      <c r="BA116" s="577"/>
      <c r="BB116" s="577"/>
      <c r="BC116" s="577"/>
      <c r="BD116" s="577"/>
      <c r="BE116" s="577"/>
      <c r="BF116" s="577"/>
      <c r="BG116" s="577"/>
      <c r="BH116" s="577"/>
      <c r="BI116" s="577"/>
      <c r="BJ116" s="577"/>
      <c r="BK116" s="577"/>
      <c r="BL116" s="577"/>
      <c r="BM116" s="577"/>
      <c r="BN116" s="577"/>
      <c r="BO116" s="577"/>
      <c r="BP116" s="577"/>
      <c r="BQ116" s="577"/>
      <c r="BR116" s="577"/>
      <c r="BS116" s="577"/>
      <c r="BT116" s="577"/>
      <c r="BU116" s="577"/>
      <c r="BV116" s="577"/>
      <c r="BW116" s="577"/>
      <c r="BX116" s="577"/>
      <c r="BY116" s="577"/>
      <c r="BZ116" s="577"/>
      <c r="CA116" s="577"/>
      <c r="CB116" s="577"/>
      <c r="CC116" s="577"/>
      <c r="CD116" s="577"/>
      <c r="CE116" s="577"/>
      <c r="CF116" s="577"/>
      <c r="CG116" s="577"/>
      <c r="CH116" s="577"/>
      <c r="CI116" s="577"/>
      <c r="CJ116" s="420"/>
    </row>
    <row r="117" spans="2:89" ht="12" customHeight="1" x14ac:dyDescent="0.3">
      <c r="B117" s="95"/>
      <c r="C117" s="94"/>
      <c r="D117" s="95"/>
      <c r="E117" s="95"/>
      <c r="F117" s="95"/>
      <c r="G117" s="121"/>
      <c r="H117" s="95"/>
      <c r="I117" s="94"/>
      <c r="J117" s="94"/>
      <c r="K117" s="94"/>
    </row>
    <row r="118" spans="2:89" ht="12" customHeight="1" x14ac:dyDescent="0.3">
      <c r="B118" s="98"/>
      <c r="C118" s="116"/>
      <c r="D118" s="838" t="s">
        <v>0</v>
      </c>
      <c r="E118" s="838"/>
      <c r="F118" s="838"/>
      <c r="G118" s="838"/>
      <c r="H118" s="838"/>
      <c r="I118" s="838"/>
      <c r="J118" s="838"/>
      <c r="K118" s="838"/>
    </row>
    <row r="119" spans="2:89" ht="12" customHeight="1" x14ac:dyDescent="0.3">
      <c r="B119" s="98"/>
      <c r="C119" s="116"/>
      <c r="D119" s="838" t="s">
        <v>336</v>
      </c>
      <c r="E119" s="838"/>
      <c r="F119" s="838"/>
      <c r="G119" s="838"/>
      <c r="H119" s="838"/>
      <c r="I119" s="838"/>
      <c r="J119" s="838"/>
      <c r="K119" s="838"/>
    </row>
    <row r="120" spans="2:89" ht="12" customHeight="1" x14ac:dyDescent="0.3">
      <c r="B120" s="98"/>
      <c r="C120" s="116"/>
      <c r="D120" s="838" t="s">
        <v>396</v>
      </c>
      <c r="E120" s="838"/>
      <c r="F120" s="838"/>
      <c r="G120" s="838"/>
      <c r="H120" s="838"/>
      <c r="I120" s="838"/>
      <c r="J120" s="838"/>
      <c r="K120" s="838"/>
    </row>
    <row r="121" spans="2:89" ht="12" customHeight="1" x14ac:dyDescent="0.3">
      <c r="B121" s="98"/>
      <c r="C121" s="116"/>
      <c r="D121" s="122"/>
      <c r="E121" s="122"/>
      <c r="F121" s="122"/>
      <c r="G121" s="122"/>
      <c r="H121" s="122"/>
      <c r="I121" s="122"/>
      <c r="J121" s="122"/>
      <c r="K121" s="122"/>
    </row>
    <row r="122" spans="2:89" ht="12" customHeight="1" x14ac:dyDescent="0.3">
      <c r="B122" s="101" t="s">
        <v>96</v>
      </c>
      <c r="C122" s="48" t="s">
        <v>66</v>
      </c>
      <c r="D122" s="122"/>
      <c r="E122" s="122"/>
      <c r="F122" s="122"/>
      <c r="G122" s="122"/>
      <c r="H122" s="122"/>
      <c r="I122" s="122"/>
      <c r="J122" s="122"/>
      <c r="K122" s="123"/>
    </row>
    <row r="123" spans="2:89" ht="12" customHeight="1" x14ac:dyDescent="0.3">
      <c r="B123" s="118" t="s">
        <v>97</v>
      </c>
      <c r="C123" s="48" t="s">
        <v>98</v>
      </c>
      <c r="D123" s="124"/>
      <c r="E123" s="124"/>
      <c r="F123" s="124"/>
      <c r="G123" s="125"/>
      <c r="H123" s="124"/>
      <c r="I123" s="116"/>
      <c r="J123" s="116"/>
      <c r="K123" s="116"/>
    </row>
    <row r="124" spans="2:89" ht="12" customHeight="1" x14ac:dyDescent="0.3">
      <c r="B124" s="118"/>
      <c r="C124" s="48"/>
      <c r="D124" s="124"/>
      <c r="E124" s="124"/>
      <c r="F124" s="124"/>
      <c r="G124" s="125"/>
      <c r="H124" s="124"/>
      <c r="I124" s="116"/>
      <c r="J124" s="116"/>
      <c r="K124" s="116"/>
    </row>
    <row r="125" spans="2:89" ht="12" customHeight="1" x14ac:dyDescent="0.3">
      <c r="B125" s="466" t="s">
        <v>107</v>
      </c>
      <c r="C125" s="467" t="s">
        <v>108</v>
      </c>
      <c r="D125" s="467">
        <v>2018</v>
      </c>
      <c r="E125" s="467">
        <v>2019</v>
      </c>
      <c r="F125" s="467">
        <v>2020</v>
      </c>
      <c r="G125" s="468">
        <v>2021</v>
      </c>
      <c r="H125" s="469">
        <v>2022</v>
      </c>
      <c r="I125" s="469">
        <v>2023</v>
      </c>
      <c r="J125" s="469">
        <v>2024</v>
      </c>
      <c r="K125" s="470" t="s">
        <v>575</v>
      </c>
      <c r="L125" s="471">
        <v>2026</v>
      </c>
      <c r="M125" s="472" t="s">
        <v>46</v>
      </c>
    </row>
    <row r="126" spans="2:89" ht="14.25" customHeight="1" x14ac:dyDescent="0.3">
      <c r="B126" s="833" t="s">
        <v>109</v>
      </c>
      <c r="C126" s="474" t="s">
        <v>110</v>
      </c>
      <c r="D126" s="475">
        <v>60560</v>
      </c>
      <c r="E126" s="476">
        <v>14230</v>
      </c>
      <c r="F126" s="477">
        <v>34543</v>
      </c>
      <c r="G126" s="478">
        <v>46792</v>
      </c>
      <c r="H126" s="479">
        <v>62793</v>
      </c>
      <c r="I126" s="413">
        <v>38626</v>
      </c>
      <c r="J126" s="480">
        <v>57024</v>
      </c>
      <c r="K126" s="481">
        <v>49865</v>
      </c>
      <c r="L126" s="482">
        <v>16429</v>
      </c>
      <c r="M126" s="483">
        <v>380862</v>
      </c>
    </row>
    <row r="127" spans="2:89" ht="14.25" customHeight="1" x14ac:dyDescent="0.3">
      <c r="B127" s="839"/>
      <c r="C127" s="474" t="s">
        <v>111</v>
      </c>
      <c r="D127" s="475">
        <v>6704</v>
      </c>
      <c r="E127" s="476">
        <v>32893</v>
      </c>
      <c r="F127" s="477">
        <v>182315</v>
      </c>
      <c r="G127" s="478">
        <v>64351</v>
      </c>
      <c r="H127" s="479">
        <v>124842</v>
      </c>
      <c r="I127" s="413">
        <v>102573</v>
      </c>
      <c r="J127" s="480">
        <v>2942788</v>
      </c>
      <c r="K127" s="481">
        <v>3973807</v>
      </c>
      <c r="L127" s="482">
        <v>2016413</v>
      </c>
      <c r="M127" s="483">
        <v>9446686</v>
      </c>
    </row>
    <row r="128" spans="2:89" ht="14.25" customHeight="1" x14ac:dyDescent="0.3">
      <c r="B128" s="839"/>
      <c r="C128" s="484" t="s">
        <v>112</v>
      </c>
      <c r="D128" s="485"/>
      <c r="E128" s="486">
        <v>31862</v>
      </c>
      <c r="F128" s="477">
        <v>2052</v>
      </c>
      <c r="G128" s="478">
        <v>6503</v>
      </c>
      <c r="H128" s="479">
        <v>9112</v>
      </c>
      <c r="I128" s="413">
        <v>1026</v>
      </c>
      <c r="J128" s="487">
        <v>396</v>
      </c>
      <c r="K128" s="488">
        <v>689</v>
      </c>
      <c r="L128" s="489">
        <v>549</v>
      </c>
      <c r="M128" s="483">
        <v>52189</v>
      </c>
    </row>
    <row r="129" spans="2:13" ht="14.25" customHeight="1" x14ac:dyDescent="0.3">
      <c r="B129" s="839"/>
      <c r="C129" s="484" t="s">
        <v>113</v>
      </c>
      <c r="D129" s="485"/>
      <c r="E129" s="486">
        <v>15978</v>
      </c>
      <c r="F129" s="477">
        <v>9362</v>
      </c>
      <c r="G129" s="478">
        <v>13558</v>
      </c>
      <c r="H129" s="479">
        <v>21192</v>
      </c>
      <c r="I129" s="413">
        <v>8405</v>
      </c>
      <c r="J129" s="480">
        <v>5176</v>
      </c>
      <c r="K129" s="481">
        <v>4935</v>
      </c>
      <c r="L129" s="482">
        <v>2436</v>
      </c>
      <c r="M129" s="483">
        <v>81042</v>
      </c>
    </row>
    <row r="130" spans="2:13" ht="14.25" customHeight="1" x14ac:dyDescent="0.3">
      <c r="B130" s="839"/>
      <c r="C130" s="484" t="s">
        <v>114</v>
      </c>
      <c r="D130" s="485"/>
      <c r="E130" s="486">
        <v>49442</v>
      </c>
      <c r="F130" s="477">
        <v>47597</v>
      </c>
      <c r="G130" s="478">
        <v>5234</v>
      </c>
      <c r="H130" s="479">
        <v>3911</v>
      </c>
      <c r="I130" s="413">
        <v>2491</v>
      </c>
      <c r="J130" s="480">
        <v>7052</v>
      </c>
      <c r="K130" s="481">
        <v>15221</v>
      </c>
      <c r="L130" s="482">
        <v>2909</v>
      </c>
      <c r="M130" s="483">
        <v>133857</v>
      </c>
    </row>
    <row r="131" spans="2:13" ht="14.25" customHeight="1" x14ac:dyDescent="0.3">
      <c r="B131" s="839"/>
      <c r="C131" s="484" t="s">
        <v>115</v>
      </c>
      <c r="D131" s="485"/>
      <c r="E131" s="490"/>
      <c r="F131" s="491"/>
      <c r="G131" s="492"/>
      <c r="H131" s="479">
        <v>6603</v>
      </c>
      <c r="I131" s="412">
        <v>945</v>
      </c>
      <c r="J131" s="480">
        <v>1424</v>
      </c>
      <c r="K131" s="481">
        <v>63297</v>
      </c>
      <c r="L131" s="482">
        <v>31101</v>
      </c>
      <c r="M131" s="483">
        <v>103370</v>
      </c>
    </row>
    <row r="132" spans="2:13" ht="14.25" customHeight="1" x14ac:dyDescent="0.3">
      <c r="B132" s="839"/>
      <c r="C132" s="493" t="s">
        <v>116</v>
      </c>
      <c r="D132" s="494"/>
      <c r="E132" s="477">
        <v>2854</v>
      </c>
      <c r="F132" s="491">
        <v>922</v>
      </c>
      <c r="G132" s="478">
        <v>2474</v>
      </c>
      <c r="H132" s="495">
        <v>9</v>
      </c>
      <c r="I132" s="413">
        <v>4621</v>
      </c>
      <c r="J132" s="487">
        <v>588</v>
      </c>
      <c r="K132" s="481">
        <v>5492</v>
      </c>
      <c r="L132" s="489">
        <v>380</v>
      </c>
      <c r="M132" s="483">
        <v>17340</v>
      </c>
    </row>
    <row r="133" spans="2:13" ht="14.25" customHeight="1" x14ac:dyDescent="0.3">
      <c r="B133" s="839"/>
      <c r="C133" s="484" t="s">
        <v>117</v>
      </c>
      <c r="D133" s="485"/>
      <c r="E133" s="486">
        <v>1735</v>
      </c>
      <c r="F133" s="491">
        <v>482</v>
      </c>
      <c r="G133" s="478">
        <v>3669</v>
      </c>
      <c r="H133" s="479">
        <v>8931</v>
      </c>
      <c r="I133" s="413">
        <v>1216</v>
      </c>
      <c r="J133" s="487">
        <v>522</v>
      </c>
      <c r="K133" s="481">
        <v>1370</v>
      </c>
      <c r="L133" s="489">
        <v>718</v>
      </c>
      <c r="M133" s="483">
        <v>18643</v>
      </c>
    </row>
    <row r="134" spans="2:13" ht="14.25" customHeight="1" x14ac:dyDescent="0.3">
      <c r="B134" s="839"/>
      <c r="C134" s="493" t="s">
        <v>118</v>
      </c>
      <c r="D134" s="494"/>
      <c r="E134" s="491"/>
      <c r="F134" s="491">
        <v>106</v>
      </c>
      <c r="G134" s="478">
        <v>1598</v>
      </c>
      <c r="H134" s="495"/>
      <c r="I134" s="412"/>
      <c r="J134" s="487"/>
      <c r="K134" s="488"/>
      <c r="L134" s="489"/>
      <c r="M134" s="483">
        <v>1704</v>
      </c>
    </row>
    <row r="135" spans="2:13" ht="14.25" customHeight="1" x14ac:dyDescent="0.3">
      <c r="B135" s="839"/>
      <c r="C135" s="496" t="s">
        <v>119</v>
      </c>
      <c r="D135" s="497"/>
      <c r="E135" s="492"/>
      <c r="F135" s="491"/>
      <c r="G135" s="492"/>
      <c r="H135" s="479">
        <v>2213</v>
      </c>
      <c r="I135" s="412">
        <v>309</v>
      </c>
      <c r="J135" s="487">
        <v>316</v>
      </c>
      <c r="K135" s="481">
        <v>1594</v>
      </c>
      <c r="L135" s="489"/>
      <c r="M135" s="483">
        <v>4432</v>
      </c>
    </row>
    <row r="136" spans="2:13" ht="14.25" customHeight="1" x14ac:dyDescent="0.3">
      <c r="B136" s="839"/>
      <c r="C136" s="496" t="s">
        <v>576</v>
      </c>
      <c r="D136" s="498"/>
      <c r="E136" s="492"/>
      <c r="F136" s="477">
        <v>5123</v>
      </c>
      <c r="G136" s="492">
        <v>424</v>
      </c>
      <c r="H136" s="495"/>
      <c r="I136" s="412"/>
      <c r="J136" s="487">
        <v>80</v>
      </c>
      <c r="K136" s="488">
        <v>759</v>
      </c>
      <c r="L136" s="489">
        <v>119</v>
      </c>
      <c r="M136" s="483">
        <v>6505</v>
      </c>
    </row>
    <row r="137" spans="2:13" ht="14.25" customHeight="1" x14ac:dyDescent="0.3">
      <c r="B137" s="834"/>
      <c r="C137" s="499" t="s">
        <v>121</v>
      </c>
      <c r="D137" s="498"/>
      <c r="E137" s="500"/>
      <c r="F137" s="501">
        <v>4924</v>
      </c>
      <c r="G137" s="492">
        <v>373</v>
      </c>
      <c r="H137" s="495"/>
      <c r="I137" s="412"/>
      <c r="J137" s="487"/>
      <c r="K137" s="488"/>
      <c r="L137" s="489"/>
      <c r="M137" s="483">
        <v>5297</v>
      </c>
    </row>
    <row r="138" spans="2:13" ht="14.25" customHeight="1" x14ac:dyDescent="0.3">
      <c r="B138" s="835" t="s">
        <v>122</v>
      </c>
      <c r="C138" s="474" t="s">
        <v>123</v>
      </c>
      <c r="D138" s="502"/>
      <c r="E138" s="490"/>
      <c r="F138" s="491"/>
      <c r="G138" s="492"/>
      <c r="H138" s="495"/>
      <c r="I138" s="412"/>
      <c r="J138" s="487"/>
      <c r="K138" s="488"/>
      <c r="L138" s="489"/>
      <c r="M138" s="503">
        <v>0</v>
      </c>
    </row>
    <row r="139" spans="2:13" ht="14.25" customHeight="1" x14ac:dyDescent="0.3">
      <c r="B139" s="836"/>
      <c r="C139" s="474" t="s">
        <v>124</v>
      </c>
      <c r="D139" s="502">
        <v>292</v>
      </c>
      <c r="E139" s="490"/>
      <c r="F139" s="491"/>
      <c r="G139" s="492"/>
      <c r="H139" s="495"/>
      <c r="I139" s="412"/>
      <c r="J139" s="487"/>
      <c r="K139" s="488"/>
      <c r="L139" s="489"/>
      <c r="M139" s="503">
        <v>292</v>
      </c>
    </row>
    <row r="140" spans="2:13" ht="14.25" customHeight="1" x14ac:dyDescent="0.3">
      <c r="B140" s="837"/>
      <c r="C140" s="474" t="s">
        <v>125</v>
      </c>
      <c r="D140" s="504">
        <v>282</v>
      </c>
      <c r="E140" s="490"/>
      <c r="F140" s="491"/>
      <c r="G140" s="492"/>
      <c r="H140" s="495"/>
      <c r="I140" s="412"/>
      <c r="J140" s="487"/>
      <c r="K140" s="488"/>
      <c r="L140" s="489"/>
      <c r="M140" s="503">
        <v>282</v>
      </c>
    </row>
    <row r="141" spans="2:13" ht="14.25" customHeight="1" x14ac:dyDescent="0.3">
      <c r="B141" s="850" t="s">
        <v>126</v>
      </c>
      <c r="C141" s="474" t="s">
        <v>127</v>
      </c>
      <c r="D141" s="506">
        <v>16814</v>
      </c>
      <c r="E141" s="478">
        <v>2296</v>
      </c>
      <c r="F141" s="477">
        <v>5596</v>
      </c>
      <c r="G141" s="478">
        <v>6215</v>
      </c>
      <c r="H141" s="479">
        <v>1008</v>
      </c>
      <c r="I141" s="413">
        <v>4841</v>
      </c>
      <c r="J141" s="480">
        <v>36277</v>
      </c>
      <c r="K141" s="481">
        <v>23946</v>
      </c>
      <c r="L141" s="482">
        <v>12904</v>
      </c>
      <c r="M141" s="483">
        <v>109897</v>
      </c>
    </row>
    <row r="142" spans="2:13" ht="14.25" customHeight="1" x14ac:dyDescent="0.3">
      <c r="B142" s="851"/>
      <c r="C142" s="474" t="s">
        <v>128</v>
      </c>
      <c r="D142" s="502"/>
      <c r="E142" s="507"/>
      <c r="F142" s="491"/>
      <c r="G142" s="492"/>
      <c r="H142" s="495">
        <v>291</v>
      </c>
      <c r="I142" s="412"/>
      <c r="J142" s="487"/>
      <c r="K142" s="488"/>
      <c r="L142" s="489"/>
      <c r="M142" s="503">
        <v>291</v>
      </c>
    </row>
    <row r="143" spans="2:13" ht="14.25" customHeight="1" x14ac:dyDescent="0.3">
      <c r="B143" s="852"/>
      <c r="C143" s="474" t="s">
        <v>129</v>
      </c>
      <c r="D143" s="502"/>
      <c r="E143" s="507"/>
      <c r="F143" s="491"/>
      <c r="G143" s="492"/>
      <c r="H143" s="495">
        <v>135</v>
      </c>
      <c r="I143" s="412"/>
      <c r="J143" s="487"/>
      <c r="K143" s="488"/>
      <c r="L143" s="489"/>
      <c r="M143" s="503">
        <v>135</v>
      </c>
    </row>
    <row r="144" spans="2:13" ht="14.25" customHeight="1" x14ac:dyDescent="0.3">
      <c r="B144" s="507" t="s">
        <v>130</v>
      </c>
      <c r="C144" s="474" t="s">
        <v>131</v>
      </c>
      <c r="D144" s="475">
        <v>40066</v>
      </c>
      <c r="E144" s="486">
        <v>8564</v>
      </c>
      <c r="F144" s="477">
        <v>1168</v>
      </c>
      <c r="G144" s="478">
        <v>3783</v>
      </c>
      <c r="H144" s="479">
        <v>5187</v>
      </c>
      <c r="I144" s="413">
        <v>1702</v>
      </c>
      <c r="J144" s="480">
        <v>5601</v>
      </c>
      <c r="K144" s="481">
        <v>12731</v>
      </c>
      <c r="L144" s="482">
        <v>4797</v>
      </c>
      <c r="M144" s="483">
        <v>83599</v>
      </c>
    </row>
    <row r="145" spans="2:13" ht="14.25" customHeight="1" x14ac:dyDescent="0.3">
      <c r="B145" s="507" t="s">
        <v>132</v>
      </c>
      <c r="C145" s="508" t="s">
        <v>133</v>
      </c>
      <c r="D145" s="475">
        <v>1430</v>
      </c>
      <c r="E145" s="490"/>
      <c r="F145" s="491"/>
      <c r="G145" s="492"/>
      <c r="H145" s="495"/>
      <c r="I145" s="412"/>
      <c r="J145" s="487">
        <v>612</v>
      </c>
      <c r="K145" s="488"/>
      <c r="L145" s="489"/>
      <c r="M145" s="483">
        <v>2042</v>
      </c>
    </row>
    <row r="146" spans="2:13" ht="14.25" customHeight="1" x14ac:dyDescent="0.3">
      <c r="B146" s="835" t="s">
        <v>134</v>
      </c>
      <c r="C146" s="508" t="s">
        <v>135</v>
      </c>
      <c r="D146" s="475">
        <v>8615</v>
      </c>
      <c r="E146" s="490"/>
      <c r="F146" s="491"/>
      <c r="G146" s="478">
        <v>8604</v>
      </c>
      <c r="H146" s="495">
        <v>0</v>
      </c>
      <c r="I146" s="412"/>
      <c r="J146" s="487"/>
      <c r="K146" s="488"/>
      <c r="L146" s="489"/>
      <c r="M146" s="483">
        <v>17219</v>
      </c>
    </row>
    <row r="147" spans="2:13" ht="14.25" customHeight="1" x14ac:dyDescent="0.3">
      <c r="B147" s="837"/>
      <c r="C147" s="508" t="s">
        <v>136</v>
      </c>
      <c r="D147" s="502"/>
      <c r="E147" s="490"/>
      <c r="F147" s="477">
        <v>44363</v>
      </c>
      <c r="G147" s="478">
        <v>28826</v>
      </c>
      <c r="H147" s="479">
        <v>21806</v>
      </c>
      <c r="I147" s="413">
        <v>1227</v>
      </c>
      <c r="J147" s="487">
        <v>154</v>
      </c>
      <c r="K147" s="481">
        <v>1010</v>
      </c>
      <c r="L147" s="489">
        <v>760</v>
      </c>
      <c r="M147" s="483">
        <v>98146</v>
      </c>
    </row>
    <row r="148" spans="2:13" ht="14.25" customHeight="1" x14ac:dyDescent="0.3">
      <c r="B148" s="833" t="s">
        <v>137</v>
      </c>
      <c r="C148" s="509" t="s">
        <v>138</v>
      </c>
      <c r="D148" s="475">
        <v>6755</v>
      </c>
      <c r="E148" s="490"/>
      <c r="F148" s="491"/>
      <c r="G148" s="492"/>
      <c r="H148" s="495"/>
      <c r="I148" s="412"/>
      <c r="J148" s="487"/>
      <c r="K148" s="488"/>
      <c r="L148" s="489"/>
      <c r="M148" s="483">
        <v>6755</v>
      </c>
    </row>
    <row r="149" spans="2:13" ht="14.25" customHeight="1" x14ac:dyDescent="0.3">
      <c r="B149" s="834"/>
      <c r="C149" s="509" t="s">
        <v>139</v>
      </c>
      <c r="D149" s="475">
        <v>12910</v>
      </c>
      <c r="E149" s="490"/>
      <c r="F149" s="491"/>
      <c r="G149" s="492"/>
      <c r="H149" s="495"/>
      <c r="I149" s="412"/>
      <c r="J149" s="487"/>
      <c r="K149" s="481">
        <v>2391</v>
      </c>
      <c r="L149" s="489">
        <v>948</v>
      </c>
      <c r="M149" s="483">
        <v>16249</v>
      </c>
    </row>
    <row r="150" spans="2:13" ht="14.25" customHeight="1" x14ac:dyDescent="0.3">
      <c r="B150" s="507" t="s">
        <v>140</v>
      </c>
      <c r="C150" s="509" t="s">
        <v>141</v>
      </c>
      <c r="D150" s="502">
        <v>234</v>
      </c>
      <c r="E150" s="490"/>
      <c r="F150" s="491"/>
      <c r="G150" s="492"/>
      <c r="H150" s="495"/>
      <c r="I150" s="412"/>
      <c r="J150" s="487"/>
      <c r="K150" s="488"/>
      <c r="L150" s="489"/>
      <c r="M150" s="503">
        <v>234</v>
      </c>
    </row>
    <row r="151" spans="2:13" ht="14.25" customHeight="1" x14ac:dyDescent="0.3">
      <c r="B151" s="507" t="s">
        <v>142</v>
      </c>
      <c r="C151" s="510" t="s">
        <v>143</v>
      </c>
      <c r="D151" s="502">
        <v>949</v>
      </c>
      <c r="E151" s="490">
        <v>803</v>
      </c>
      <c r="F151" s="491"/>
      <c r="G151" s="492"/>
      <c r="H151" s="495">
        <v>984</v>
      </c>
      <c r="I151" s="412">
        <v>225</v>
      </c>
      <c r="J151" s="487">
        <v>158</v>
      </c>
      <c r="K151" s="488">
        <v>606</v>
      </c>
      <c r="L151" s="489">
        <v>423</v>
      </c>
      <c r="M151" s="483">
        <v>4148</v>
      </c>
    </row>
    <row r="152" spans="2:13" ht="14.25" customHeight="1" x14ac:dyDescent="0.3">
      <c r="B152" s="507" t="s">
        <v>144</v>
      </c>
      <c r="C152" s="509" t="s">
        <v>145</v>
      </c>
      <c r="D152" s="475">
        <v>2241</v>
      </c>
      <c r="E152" s="490"/>
      <c r="F152" s="491"/>
      <c r="G152" s="492"/>
      <c r="H152" s="495"/>
      <c r="I152" s="412"/>
      <c r="J152" s="487"/>
      <c r="K152" s="488"/>
      <c r="L152" s="489"/>
      <c r="M152" s="483">
        <v>2241</v>
      </c>
    </row>
    <row r="153" spans="2:13" ht="14.25" customHeight="1" x14ac:dyDescent="0.3">
      <c r="B153" s="507" t="s">
        <v>146</v>
      </c>
      <c r="C153" s="509" t="s">
        <v>147</v>
      </c>
      <c r="D153" s="475">
        <v>6423</v>
      </c>
      <c r="E153" s="490">
        <v>429</v>
      </c>
      <c r="F153" s="491">
        <v>389</v>
      </c>
      <c r="G153" s="492"/>
      <c r="H153" s="495"/>
      <c r="I153" s="412"/>
      <c r="J153" s="487"/>
      <c r="K153" s="488"/>
      <c r="L153" s="489">
        <v>193</v>
      </c>
      <c r="M153" s="483">
        <v>7434</v>
      </c>
    </row>
    <row r="154" spans="2:13" ht="14.25" customHeight="1" x14ac:dyDescent="0.3">
      <c r="B154" s="833" t="s">
        <v>148</v>
      </c>
      <c r="C154" s="509" t="s">
        <v>149</v>
      </c>
      <c r="D154" s="475">
        <v>239929</v>
      </c>
      <c r="E154" s="486">
        <v>2694</v>
      </c>
      <c r="F154" s="491"/>
      <c r="G154" s="492"/>
      <c r="H154" s="495"/>
      <c r="I154" s="412"/>
      <c r="J154" s="487"/>
      <c r="K154" s="488"/>
      <c r="L154" s="489"/>
      <c r="M154" s="483">
        <v>242623</v>
      </c>
    </row>
    <row r="155" spans="2:13" ht="14.25" customHeight="1" x14ac:dyDescent="0.3">
      <c r="B155" s="834"/>
      <c r="C155" s="509" t="s">
        <v>150</v>
      </c>
      <c r="D155" s="475">
        <v>1758</v>
      </c>
      <c r="E155" s="490"/>
      <c r="F155" s="491"/>
      <c r="G155" s="492"/>
      <c r="H155" s="495"/>
      <c r="I155" s="412"/>
      <c r="J155" s="487"/>
      <c r="K155" s="488"/>
      <c r="L155" s="489"/>
      <c r="M155" s="483">
        <v>1758</v>
      </c>
    </row>
    <row r="156" spans="2:13" ht="14.25" customHeight="1" x14ac:dyDescent="0.3">
      <c r="B156" s="835" t="s">
        <v>151</v>
      </c>
      <c r="C156" s="509" t="s">
        <v>152</v>
      </c>
      <c r="D156" s="475">
        <v>22819</v>
      </c>
      <c r="E156" s="486">
        <v>15955</v>
      </c>
      <c r="F156" s="477">
        <v>6988</v>
      </c>
      <c r="G156" s="492"/>
      <c r="H156" s="495"/>
      <c r="I156" s="412"/>
      <c r="J156" s="487"/>
      <c r="K156" s="488"/>
      <c r="L156" s="489"/>
      <c r="M156" s="483">
        <v>45762</v>
      </c>
    </row>
    <row r="157" spans="2:13" ht="14.25" customHeight="1" x14ac:dyDescent="0.3">
      <c r="B157" s="836"/>
      <c r="C157" s="509" t="s">
        <v>153</v>
      </c>
      <c r="D157" s="475">
        <v>17721</v>
      </c>
      <c r="E157" s="486">
        <v>19608</v>
      </c>
      <c r="F157" s="501">
        <v>9981</v>
      </c>
      <c r="G157" s="492"/>
      <c r="H157" s="495"/>
      <c r="I157" s="412"/>
      <c r="J157" s="487"/>
      <c r="K157" s="488"/>
      <c r="L157" s="489"/>
      <c r="M157" s="483">
        <v>47310</v>
      </c>
    </row>
    <row r="158" spans="2:13" ht="14.25" customHeight="1" x14ac:dyDescent="0.3">
      <c r="B158" s="837"/>
      <c r="C158" s="509" t="s">
        <v>154</v>
      </c>
      <c r="D158" s="475">
        <v>2679</v>
      </c>
      <c r="E158" s="486">
        <v>8344</v>
      </c>
      <c r="F158" s="501">
        <v>3090</v>
      </c>
      <c r="G158" s="492"/>
      <c r="H158" s="495"/>
      <c r="I158" s="412"/>
      <c r="J158" s="487"/>
      <c r="K158" s="488"/>
      <c r="L158" s="489"/>
      <c r="M158" s="483">
        <v>14113</v>
      </c>
    </row>
    <row r="159" spans="2:13" ht="14.25" customHeight="1" x14ac:dyDescent="0.3">
      <c r="B159" s="511" t="s">
        <v>155</v>
      </c>
      <c r="C159" s="509" t="s">
        <v>156</v>
      </c>
      <c r="D159" s="512">
        <v>5980</v>
      </c>
      <c r="E159" s="473"/>
      <c r="F159" s="477">
        <v>45556</v>
      </c>
      <c r="G159" s="513">
        <v>3175</v>
      </c>
      <c r="H159" s="479">
        <v>3147</v>
      </c>
      <c r="I159" s="412"/>
      <c r="J159" s="487"/>
      <c r="K159" s="488"/>
      <c r="L159" s="489"/>
      <c r="M159" s="483">
        <v>57858</v>
      </c>
    </row>
    <row r="160" spans="2:13" ht="14.25" customHeight="1" x14ac:dyDescent="0.3">
      <c r="B160" s="507" t="s">
        <v>157</v>
      </c>
      <c r="C160" s="509" t="s">
        <v>158</v>
      </c>
      <c r="D160" s="514">
        <v>3407</v>
      </c>
      <c r="E160" s="486">
        <v>3789</v>
      </c>
      <c r="F160" s="515">
        <v>2405</v>
      </c>
      <c r="G160" s="492"/>
      <c r="H160" s="479">
        <v>52870</v>
      </c>
      <c r="I160" s="412"/>
      <c r="J160" s="487"/>
      <c r="K160" s="481">
        <v>436311</v>
      </c>
      <c r="L160" s="482">
        <v>70592</v>
      </c>
      <c r="M160" s="483">
        <v>569374</v>
      </c>
    </row>
    <row r="161" spans="2:13" ht="14.25" customHeight="1" x14ac:dyDescent="0.3">
      <c r="B161" s="511" t="s">
        <v>534</v>
      </c>
      <c r="C161" s="509" t="s">
        <v>159</v>
      </c>
      <c r="D161" s="516">
        <v>486863</v>
      </c>
      <c r="E161" s="517">
        <v>453073</v>
      </c>
      <c r="F161" s="477">
        <v>130308</v>
      </c>
      <c r="G161" s="492">
        <v>0</v>
      </c>
      <c r="H161" s="479">
        <v>19137</v>
      </c>
      <c r="I161" s="413">
        <v>8339</v>
      </c>
      <c r="J161" s="487"/>
      <c r="K161" s="488">
        <v>436</v>
      </c>
      <c r="L161" s="482">
        <v>16148</v>
      </c>
      <c r="M161" s="483">
        <v>1114304</v>
      </c>
    </row>
    <row r="162" spans="2:13" ht="14.25" customHeight="1" x14ac:dyDescent="0.3">
      <c r="B162" s="511" t="s">
        <v>534</v>
      </c>
      <c r="C162" s="509" t="s">
        <v>569</v>
      </c>
      <c r="D162" s="518"/>
      <c r="E162" s="519"/>
      <c r="F162" s="505"/>
      <c r="G162" s="520"/>
      <c r="H162" s="521"/>
      <c r="I162" s="522"/>
      <c r="J162" s="522"/>
      <c r="K162" s="488">
        <v>353</v>
      </c>
      <c r="L162" s="489"/>
      <c r="M162" s="503">
        <v>353</v>
      </c>
    </row>
    <row r="163" spans="2:13" ht="14.25" customHeight="1" x14ac:dyDescent="0.3">
      <c r="B163" s="523" t="s">
        <v>577</v>
      </c>
      <c r="C163" s="509" t="s">
        <v>160</v>
      </c>
      <c r="D163" s="524">
        <v>118359</v>
      </c>
      <c r="E163" s="524">
        <v>120789</v>
      </c>
      <c r="F163" s="524">
        <v>325872</v>
      </c>
      <c r="G163" s="525"/>
      <c r="H163" s="841">
        <v>126177</v>
      </c>
      <c r="I163" s="844">
        <v>311333</v>
      </c>
      <c r="J163" s="844">
        <v>175282</v>
      </c>
      <c r="K163" s="847">
        <v>1342049</v>
      </c>
      <c r="L163" s="886">
        <v>144788</v>
      </c>
      <c r="M163" s="483">
        <v>2664649</v>
      </c>
    </row>
    <row r="164" spans="2:13" ht="14.25" customHeight="1" x14ac:dyDescent="0.3">
      <c r="B164" s="526"/>
      <c r="C164" s="509" t="s">
        <v>161</v>
      </c>
      <c r="D164" s="527"/>
      <c r="E164" s="527"/>
      <c r="F164" s="527"/>
      <c r="G164" s="528"/>
      <c r="H164" s="842"/>
      <c r="I164" s="845"/>
      <c r="J164" s="845"/>
      <c r="K164" s="848"/>
      <c r="L164" s="887"/>
      <c r="M164" s="503">
        <v>0</v>
      </c>
    </row>
    <row r="165" spans="2:13" ht="14.25" customHeight="1" x14ac:dyDescent="0.3">
      <c r="B165" s="526"/>
      <c r="C165" s="509" t="s">
        <v>162</v>
      </c>
      <c r="D165" s="527"/>
      <c r="E165" s="527"/>
      <c r="F165" s="527"/>
      <c r="G165" s="528"/>
      <c r="H165" s="842"/>
      <c r="I165" s="845"/>
      <c r="J165" s="845"/>
      <c r="K165" s="848"/>
      <c r="L165" s="887"/>
      <c r="M165" s="503">
        <v>0</v>
      </c>
    </row>
    <row r="166" spans="2:13" ht="14.25" customHeight="1" x14ac:dyDescent="0.3">
      <c r="B166" s="526"/>
      <c r="C166" s="509" t="s">
        <v>163</v>
      </c>
      <c r="D166" s="527"/>
      <c r="E166" s="527"/>
      <c r="F166" s="527"/>
      <c r="G166" s="528"/>
      <c r="H166" s="842"/>
      <c r="I166" s="845"/>
      <c r="J166" s="845"/>
      <c r="K166" s="848"/>
      <c r="L166" s="887"/>
      <c r="M166" s="503">
        <v>0</v>
      </c>
    </row>
    <row r="167" spans="2:13" ht="14.25" customHeight="1" x14ac:dyDescent="0.3">
      <c r="B167" s="526"/>
      <c r="C167" s="509" t="s">
        <v>164</v>
      </c>
      <c r="D167" s="527"/>
      <c r="E167" s="527"/>
      <c r="F167" s="527"/>
      <c r="G167" s="528"/>
      <c r="H167" s="842"/>
      <c r="I167" s="845"/>
      <c r="J167" s="845"/>
      <c r="K167" s="848"/>
      <c r="L167" s="887"/>
      <c r="M167" s="503">
        <v>0</v>
      </c>
    </row>
    <row r="168" spans="2:13" ht="14.25" customHeight="1" x14ac:dyDescent="0.3">
      <c r="B168" s="526"/>
      <c r="C168" s="509" t="s">
        <v>165</v>
      </c>
      <c r="D168" s="527"/>
      <c r="E168" s="527"/>
      <c r="F168" s="527"/>
      <c r="G168" s="528"/>
      <c r="H168" s="842"/>
      <c r="I168" s="845"/>
      <c r="J168" s="845"/>
      <c r="K168" s="848"/>
      <c r="L168" s="887"/>
      <c r="M168" s="503">
        <v>0</v>
      </c>
    </row>
    <row r="169" spans="2:13" ht="14.25" customHeight="1" x14ac:dyDescent="0.3">
      <c r="B169" s="526"/>
      <c r="C169" s="509" t="s">
        <v>166</v>
      </c>
      <c r="D169" s="527"/>
      <c r="E169" s="527"/>
      <c r="F169" s="527"/>
      <c r="G169" s="528"/>
      <c r="H169" s="842"/>
      <c r="I169" s="845"/>
      <c r="J169" s="845"/>
      <c r="K169" s="848"/>
      <c r="L169" s="887"/>
      <c r="M169" s="503">
        <v>0</v>
      </c>
    </row>
    <row r="170" spans="2:13" ht="14.25" customHeight="1" x14ac:dyDescent="0.3">
      <c r="B170" s="526"/>
      <c r="C170" s="509" t="s">
        <v>167</v>
      </c>
      <c r="D170" s="527"/>
      <c r="E170" s="527"/>
      <c r="F170" s="527"/>
      <c r="G170" s="528"/>
      <c r="H170" s="842"/>
      <c r="I170" s="845"/>
      <c r="J170" s="845"/>
      <c r="K170" s="848"/>
      <c r="L170" s="887"/>
      <c r="M170" s="503">
        <v>0</v>
      </c>
    </row>
    <row r="171" spans="2:13" ht="14.25" customHeight="1" x14ac:dyDescent="0.3">
      <c r="B171" s="526"/>
      <c r="C171" s="509" t="s">
        <v>168</v>
      </c>
      <c r="D171" s="527"/>
      <c r="E171" s="527"/>
      <c r="F171" s="527"/>
      <c r="G171" s="528"/>
      <c r="H171" s="842"/>
      <c r="I171" s="845"/>
      <c r="J171" s="845"/>
      <c r="K171" s="848"/>
      <c r="L171" s="887"/>
      <c r="M171" s="503">
        <v>0</v>
      </c>
    </row>
    <row r="172" spans="2:13" ht="14.25" customHeight="1" x14ac:dyDescent="0.3">
      <c r="B172" s="526"/>
      <c r="C172" s="509" t="s">
        <v>169</v>
      </c>
      <c r="D172" s="529"/>
      <c r="E172" s="529"/>
      <c r="F172" s="529"/>
      <c r="G172" s="530"/>
      <c r="H172" s="842"/>
      <c r="I172" s="845"/>
      <c r="J172" s="845"/>
      <c r="K172" s="848"/>
      <c r="L172" s="887"/>
      <c r="M172" s="503">
        <v>0</v>
      </c>
    </row>
    <row r="173" spans="2:13" ht="14.25" customHeight="1" x14ac:dyDescent="0.3">
      <c r="B173" s="526"/>
      <c r="C173" s="509" t="s">
        <v>170</v>
      </c>
      <c r="D173" s="529"/>
      <c r="E173" s="529"/>
      <c r="F173" s="529"/>
      <c r="G173" s="530"/>
      <c r="H173" s="842"/>
      <c r="I173" s="845"/>
      <c r="J173" s="845"/>
      <c r="K173" s="848"/>
      <c r="L173" s="887"/>
      <c r="M173" s="503">
        <v>0</v>
      </c>
    </row>
    <row r="174" spans="2:13" ht="14.25" customHeight="1" x14ac:dyDescent="0.3">
      <c r="B174" s="526"/>
      <c r="C174" s="509" t="s">
        <v>171</v>
      </c>
      <c r="D174" s="529"/>
      <c r="E174" s="529"/>
      <c r="F174" s="529"/>
      <c r="G174" s="530"/>
      <c r="H174" s="842"/>
      <c r="I174" s="845"/>
      <c r="J174" s="845"/>
      <c r="K174" s="848"/>
      <c r="L174" s="887"/>
      <c r="M174" s="503">
        <v>0</v>
      </c>
    </row>
    <row r="175" spans="2:13" ht="14.25" customHeight="1" x14ac:dyDescent="0.3">
      <c r="B175" s="526"/>
      <c r="C175" s="509" t="s">
        <v>172</v>
      </c>
      <c r="D175" s="529"/>
      <c r="E175" s="529"/>
      <c r="F175" s="529"/>
      <c r="G175" s="530"/>
      <c r="H175" s="842"/>
      <c r="I175" s="845"/>
      <c r="J175" s="845"/>
      <c r="K175" s="848"/>
      <c r="L175" s="887"/>
      <c r="M175" s="503">
        <v>0</v>
      </c>
    </row>
    <row r="176" spans="2:13" ht="14.25" customHeight="1" x14ac:dyDescent="0.3">
      <c r="B176" s="526"/>
      <c r="C176" s="509" t="s">
        <v>173</v>
      </c>
      <c r="D176" s="529"/>
      <c r="E176" s="529"/>
      <c r="F176" s="529"/>
      <c r="G176" s="530"/>
      <c r="H176" s="842"/>
      <c r="I176" s="845"/>
      <c r="J176" s="845"/>
      <c r="K176" s="848"/>
      <c r="L176" s="887"/>
      <c r="M176" s="503">
        <v>0</v>
      </c>
    </row>
    <row r="177" spans="2:13" ht="14.25" customHeight="1" x14ac:dyDescent="0.3">
      <c r="B177" s="526"/>
      <c r="C177" s="509" t="s">
        <v>174</v>
      </c>
      <c r="D177" s="529"/>
      <c r="E177" s="529"/>
      <c r="F177" s="529"/>
      <c r="G177" s="530"/>
      <c r="H177" s="842"/>
      <c r="I177" s="845"/>
      <c r="J177" s="845"/>
      <c r="K177" s="848"/>
      <c r="L177" s="887"/>
      <c r="M177" s="503">
        <v>0</v>
      </c>
    </row>
    <row r="178" spans="2:13" ht="14.25" customHeight="1" x14ac:dyDescent="0.3">
      <c r="B178" s="526"/>
      <c r="C178" s="509" t="s">
        <v>175</v>
      </c>
      <c r="D178" s="529"/>
      <c r="E178" s="529"/>
      <c r="F178" s="529"/>
      <c r="G178" s="530"/>
      <c r="H178" s="842"/>
      <c r="I178" s="845"/>
      <c r="J178" s="845"/>
      <c r="K178" s="848"/>
      <c r="L178" s="887"/>
      <c r="M178" s="503">
        <v>0</v>
      </c>
    </row>
    <row r="179" spans="2:13" ht="14.25" customHeight="1" x14ac:dyDescent="0.3">
      <c r="B179" s="526"/>
      <c r="C179" s="509" t="s">
        <v>176</v>
      </c>
      <c r="D179" s="529"/>
      <c r="E179" s="529"/>
      <c r="F179" s="529"/>
      <c r="G179" s="530"/>
      <c r="H179" s="842"/>
      <c r="I179" s="845"/>
      <c r="J179" s="845"/>
      <c r="K179" s="848"/>
      <c r="L179" s="887"/>
      <c r="M179" s="503">
        <v>0</v>
      </c>
    </row>
    <row r="180" spans="2:13" ht="14.25" customHeight="1" x14ac:dyDescent="0.3">
      <c r="B180" s="526"/>
      <c r="C180" s="509" t="s">
        <v>177</v>
      </c>
      <c r="D180" s="529"/>
      <c r="E180" s="529"/>
      <c r="F180" s="529"/>
      <c r="G180" s="530"/>
      <c r="H180" s="842"/>
      <c r="I180" s="845"/>
      <c r="J180" s="845"/>
      <c r="K180" s="848"/>
      <c r="L180" s="887"/>
      <c r="M180" s="503">
        <v>0</v>
      </c>
    </row>
    <row r="181" spans="2:13" ht="14.25" customHeight="1" x14ac:dyDescent="0.3">
      <c r="B181" s="526"/>
      <c r="C181" s="509" t="s">
        <v>178</v>
      </c>
      <c r="D181" s="529"/>
      <c r="E181" s="529"/>
      <c r="F181" s="529"/>
      <c r="G181" s="530"/>
      <c r="H181" s="842"/>
      <c r="I181" s="845"/>
      <c r="J181" s="845"/>
      <c r="K181" s="848"/>
      <c r="L181" s="887"/>
      <c r="M181" s="503">
        <v>0</v>
      </c>
    </row>
    <row r="182" spans="2:13" ht="14.25" customHeight="1" x14ac:dyDescent="0.3">
      <c r="B182" s="526"/>
      <c r="C182" s="509" t="s">
        <v>179</v>
      </c>
      <c r="D182" s="529"/>
      <c r="E182" s="529"/>
      <c r="F182" s="529"/>
      <c r="G182" s="530"/>
      <c r="H182" s="842"/>
      <c r="I182" s="845"/>
      <c r="J182" s="845"/>
      <c r="K182" s="848"/>
      <c r="L182" s="887"/>
      <c r="M182" s="503">
        <v>0</v>
      </c>
    </row>
    <row r="183" spans="2:13" ht="14.25" customHeight="1" x14ac:dyDescent="0.3">
      <c r="B183" s="531"/>
      <c r="C183" s="509" t="s">
        <v>180</v>
      </c>
      <c r="D183" s="532"/>
      <c r="E183" s="532"/>
      <c r="F183" s="532"/>
      <c r="G183" s="533"/>
      <c r="H183" s="843"/>
      <c r="I183" s="846"/>
      <c r="J183" s="846"/>
      <c r="K183" s="849"/>
      <c r="L183" s="888"/>
      <c r="M183" s="503">
        <v>0</v>
      </c>
    </row>
    <row r="184" spans="2:13" ht="14.25" customHeight="1" x14ac:dyDescent="0.3">
      <c r="B184" s="866" t="s">
        <v>181</v>
      </c>
      <c r="C184" s="509" t="s">
        <v>1319</v>
      </c>
      <c r="D184" s="534"/>
      <c r="E184" s="520"/>
      <c r="F184" s="535">
        <v>1733</v>
      </c>
      <c r="G184" s="536">
        <v>3326</v>
      </c>
      <c r="H184" s="537">
        <v>2448</v>
      </c>
      <c r="I184" s="414"/>
      <c r="J184" s="522">
        <v>51</v>
      </c>
      <c r="K184" s="538">
        <v>169</v>
      </c>
      <c r="L184" s="539">
        <v>73</v>
      </c>
      <c r="M184" s="483">
        <v>7800</v>
      </c>
    </row>
    <row r="185" spans="2:13" ht="14.25" customHeight="1" x14ac:dyDescent="0.3">
      <c r="B185" s="867"/>
      <c r="C185" s="540" t="s">
        <v>1320</v>
      </c>
      <c r="D185" s="491"/>
      <c r="E185" s="491"/>
      <c r="F185" s="491"/>
      <c r="G185" s="491"/>
      <c r="H185" s="491"/>
      <c r="I185" s="541"/>
      <c r="J185" s="541"/>
      <c r="K185" s="489"/>
      <c r="L185" s="489">
        <v>41</v>
      </c>
      <c r="M185" s="503">
        <v>41</v>
      </c>
    </row>
    <row r="186" spans="2:13" ht="14.25" customHeight="1" x14ac:dyDescent="0.3">
      <c r="B186" s="542" t="s">
        <v>183</v>
      </c>
      <c r="C186" s="412" t="s">
        <v>184</v>
      </c>
      <c r="D186" s="415"/>
      <c r="E186" s="415"/>
      <c r="F186" s="415"/>
      <c r="G186" s="543">
        <v>1440</v>
      </c>
      <c r="H186" s="415">
        <v>837</v>
      </c>
      <c r="I186" s="415"/>
      <c r="J186" s="544"/>
      <c r="K186" s="545"/>
      <c r="L186" s="546">
        <v>3</v>
      </c>
      <c r="M186" s="483">
        <v>2280</v>
      </c>
    </row>
    <row r="187" spans="2:13" ht="14.25" customHeight="1" x14ac:dyDescent="0.3">
      <c r="B187" s="492" t="s">
        <v>185</v>
      </c>
      <c r="C187" s="412" t="s">
        <v>186</v>
      </c>
      <c r="D187" s="412"/>
      <c r="E187" s="412"/>
      <c r="F187" s="412"/>
      <c r="G187" s="412"/>
      <c r="H187" s="412">
        <v>799</v>
      </c>
      <c r="I187" s="412"/>
      <c r="J187" s="487"/>
      <c r="K187" s="488">
        <v>263</v>
      </c>
      <c r="L187" s="489">
        <v>255</v>
      </c>
      <c r="M187" s="483">
        <v>1317</v>
      </c>
    </row>
    <row r="188" spans="2:13" ht="14.25" customHeight="1" x14ac:dyDescent="0.3">
      <c r="B188" s="868" t="s">
        <v>187</v>
      </c>
      <c r="C188" s="412" t="s">
        <v>188</v>
      </c>
      <c r="D188" s="412"/>
      <c r="E188" s="412"/>
      <c r="F188" s="412"/>
      <c r="G188" s="413">
        <v>4792</v>
      </c>
      <c r="H188" s="412"/>
      <c r="I188" s="413">
        <v>3728</v>
      </c>
      <c r="J188" s="487"/>
      <c r="K188" s="488"/>
      <c r="L188" s="489"/>
      <c r="M188" s="483">
        <v>8520</v>
      </c>
    </row>
    <row r="189" spans="2:13" ht="14.25" customHeight="1" x14ac:dyDescent="0.3">
      <c r="B189" s="869"/>
      <c r="C189" s="412" t="s">
        <v>189</v>
      </c>
      <c r="D189" s="412"/>
      <c r="E189" s="412"/>
      <c r="F189" s="412"/>
      <c r="G189" s="413">
        <v>1659</v>
      </c>
      <c r="H189" s="413">
        <v>2930</v>
      </c>
      <c r="I189" s="413">
        <v>1266</v>
      </c>
      <c r="J189" s="487"/>
      <c r="K189" s="488"/>
      <c r="L189" s="489"/>
      <c r="M189" s="483">
        <v>5855</v>
      </c>
    </row>
    <row r="190" spans="2:13" ht="14.25" customHeight="1" x14ac:dyDescent="0.3">
      <c r="B190" s="869"/>
      <c r="C190" s="412" t="s">
        <v>190</v>
      </c>
      <c r="D190" s="412"/>
      <c r="E190" s="412"/>
      <c r="F190" s="412"/>
      <c r="G190" s="412">
        <v>75</v>
      </c>
      <c r="H190" s="412">
        <v>160</v>
      </c>
      <c r="I190" s="412">
        <v>19</v>
      </c>
      <c r="J190" s="487"/>
      <c r="K190" s="488"/>
      <c r="L190" s="489"/>
      <c r="M190" s="503">
        <v>254</v>
      </c>
    </row>
    <row r="191" spans="2:13" ht="14.25" customHeight="1" x14ac:dyDescent="0.3">
      <c r="B191" s="869"/>
      <c r="C191" s="412" t="s">
        <v>191</v>
      </c>
      <c r="D191" s="412"/>
      <c r="E191" s="412"/>
      <c r="F191" s="412"/>
      <c r="G191" s="412">
        <v>60</v>
      </c>
      <c r="H191" s="412">
        <v>75</v>
      </c>
      <c r="I191" s="412">
        <v>72</v>
      </c>
      <c r="J191" s="487"/>
      <c r="K191" s="488"/>
      <c r="L191" s="489"/>
      <c r="M191" s="503">
        <v>207</v>
      </c>
    </row>
    <row r="192" spans="2:13" ht="14.25" customHeight="1" x14ac:dyDescent="0.3">
      <c r="B192" s="869"/>
      <c r="C192" s="412" t="s">
        <v>192</v>
      </c>
      <c r="D192" s="412"/>
      <c r="E192" s="412"/>
      <c r="F192" s="412"/>
      <c r="G192" s="412">
        <v>27</v>
      </c>
      <c r="H192" s="412">
        <v>46</v>
      </c>
      <c r="I192" s="413">
        <v>3311</v>
      </c>
      <c r="J192" s="487"/>
      <c r="K192" s="488"/>
      <c r="L192" s="489"/>
      <c r="M192" s="483">
        <v>3384</v>
      </c>
    </row>
    <row r="193" spans="2:13" ht="14.25" customHeight="1" x14ac:dyDescent="0.3">
      <c r="B193" s="869"/>
      <c r="C193" s="412" t="s">
        <v>193</v>
      </c>
      <c r="D193" s="412"/>
      <c r="E193" s="412"/>
      <c r="F193" s="412"/>
      <c r="G193" s="412"/>
      <c r="H193" s="412">
        <v>291</v>
      </c>
      <c r="I193" s="412">
        <v>57</v>
      </c>
      <c r="J193" s="487"/>
      <c r="K193" s="488"/>
      <c r="L193" s="489"/>
      <c r="M193" s="503">
        <v>348</v>
      </c>
    </row>
    <row r="194" spans="2:13" ht="14.25" customHeight="1" x14ac:dyDescent="0.3">
      <c r="B194" s="870"/>
      <c r="C194" s="412" t="s">
        <v>194</v>
      </c>
      <c r="D194" s="412"/>
      <c r="E194" s="412"/>
      <c r="F194" s="412"/>
      <c r="G194" s="412">
        <v>294</v>
      </c>
      <c r="H194" s="412">
        <v>921</v>
      </c>
      <c r="I194" s="412"/>
      <c r="J194" s="487"/>
      <c r="K194" s="488"/>
      <c r="L194" s="489"/>
      <c r="M194" s="483">
        <v>1215</v>
      </c>
    </row>
    <row r="195" spans="2:13" ht="14.25" customHeight="1" x14ac:dyDescent="0.3">
      <c r="B195" s="871" t="s">
        <v>195</v>
      </c>
      <c r="C195" s="412" t="s">
        <v>196</v>
      </c>
      <c r="D195" s="412"/>
      <c r="E195" s="412"/>
      <c r="F195" s="412"/>
      <c r="G195" s="413">
        <v>7046</v>
      </c>
      <c r="H195" s="412">
        <v>914</v>
      </c>
      <c r="I195" s="412">
        <v>255</v>
      </c>
      <c r="J195" s="487"/>
      <c r="K195" s="488">
        <v>51</v>
      </c>
      <c r="L195" s="489">
        <v>154</v>
      </c>
      <c r="M195" s="483">
        <v>8420</v>
      </c>
    </row>
    <row r="196" spans="2:13" ht="14.25" customHeight="1" x14ac:dyDescent="0.3">
      <c r="B196" s="872"/>
      <c r="C196" s="412" t="s">
        <v>197</v>
      </c>
      <c r="D196" s="412"/>
      <c r="E196" s="412"/>
      <c r="F196" s="412"/>
      <c r="G196" s="412">
        <v>116</v>
      </c>
      <c r="H196" s="412">
        <v>227</v>
      </c>
      <c r="I196" s="412">
        <v>27</v>
      </c>
      <c r="J196" s="487">
        <v>0</v>
      </c>
      <c r="K196" s="488">
        <v>3</v>
      </c>
      <c r="L196" s="489">
        <v>7</v>
      </c>
      <c r="M196" s="503">
        <v>380</v>
      </c>
    </row>
    <row r="197" spans="2:13" ht="14.25" customHeight="1" x14ac:dyDescent="0.3">
      <c r="B197" s="872"/>
      <c r="C197" s="412" t="s">
        <v>711</v>
      </c>
      <c r="D197" s="412"/>
      <c r="E197" s="412"/>
      <c r="F197" s="412"/>
      <c r="G197" s="412">
        <v>413</v>
      </c>
      <c r="H197" s="412">
        <v>157</v>
      </c>
      <c r="I197" s="412">
        <v>45</v>
      </c>
      <c r="J197" s="487">
        <v>93</v>
      </c>
      <c r="K197" s="488">
        <v>56</v>
      </c>
      <c r="L197" s="489">
        <v>155</v>
      </c>
      <c r="M197" s="503">
        <v>919</v>
      </c>
    </row>
    <row r="198" spans="2:13" ht="14.25" customHeight="1" x14ac:dyDescent="0.3">
      <c r="B198" s="872"/>
      <c r="C198" s="412" t="s">
        <v>737</v>
      </c>
      <c r="D198" s="412"/>
      <c r="E198" s="412"/>
      <c r="F198" s="412"/>
      <c r="G198" s="412">
        <v>87</v>
      </c>
      <c r="H198" s="412">
        <v>24</v>
      </c>
      <c r="I198" s="412">
        <v>24</v>
      </c>
      <c r="J198" s="487"/>
      <c r="K198" s="488">
        <v>174</v>
      </c>
      <c r="L198" s="489">
        <v>36</v>
      </c>
      <c r="M198" s="503">
        <v>345</v>
      </c>
    </row>
    <row r="199" spans="2:13" ht="14.25" customHeight="1" x14ac:dyDescent="0.3">
      <c r="B199" s="872"/>
      <c r="C199" s="412" t="s">
        <v>199</v>
      </c>
      <c r="D199" s="412"/>
      <c r="E199" s="412"/>
      <c r="F199" s="412"/>
      <c r="G199" s="413">
        <v>1061</v>
      </c>
      <c r="H199" s="412">
        <v>808</v>
      </c>
      <c r="I199" s="412">
        <v>175</v>
      </c>
      <c r="J199" s="487">
        <v>15</v>
      </c>
      <c r="K199" s="488">
        <v>27</v>
      </c>
      <c r="L199" s="489">
        <v>115</v>
      </c>
      <c r="M199" s="483">
        <v>2201</v>
      </c>
    </row>
    <row r="200" spans="2:13" ht="14.25" customHeight="1" x14ac:dyDescent="0.3">
      <c r="B200" s="872"/>
      <c r="C200" s="412" t="s">
        <v>200</v>
      </c>
      <c r="D200" s="412"/>
      <c r="E200" s="412"/>
      <c r="F200" s="412"/>
      <c r="G200" s="412"/>
      <c r="H200" s="412">
        <v>29</v>
      </c>
      <c r="I200" s="412">
        <v>9</v>
      </c>
      <c r="J200" s="487"/>
      <c r="K200" s="488">
        <v>56</v>
      </c>
      <c r="L200" s="489">
        <v>5</v>
      </c>
      <c r="M200" s="503">
        <v>99</v>
      </c>
    </row>
    <row r="201" spans="2:13" ht="14.25" customHeight="1" x14ac:dyDescent="0.3">
      <c r="B201" s="872"/>
      <c r="C201" s="412" t="s">
        <v>201</v>
      </c>
      <c r="D201" s="412"/>
      <c r="E201" s="412"/>
      <c r="F201" s="412"/>
      <c r="G201" s="412"/>
      <c r="H201" s="412">
        <v>3</v>
      </c>
      <c r="I201" s="412">
        <v>22</v>
      </c>
      <c r="J201" s="487"/>
      <c r="K201" s="488"/>
      <c r="L201" s="489"/>
      <c r="M201" s="503">
        <v>25</v>
      </c>
    </row>
    <row r="202" spans="2:13" ht="14.25" customHeight="1" x14ac:dyDescent="0.3">
      <c r="B202" s="872"/>
      <c r="C202" s="412" t="s">
        <v>202</v>
      </c>
      <c r="D202" s="412"/>
      <c r="E202" s="412"/>
      <c r="F202" s="412"/>
      <c r="G202" s="412"/>
      <c r="H202" s="412">
        <v>18</v>
      </c>
      <c r="I202" s="412">
        <v>7</v>
      </c>
      <c r="J202" s="487"/>
      <c r="K202" s="488"/>
      <c r="L202" s="489"/>
      <c r="M202" s="503">
        <v>25</v>
      </c>
    </row>
    <row r="203" spans="2:13" ht="14.25" customHeight="1" x14ac:dyDescent="0.3">
      <c r="B203" s="872"/>
      <c r="C203" s="412" t="s">
        <v>203</v>
      </c>
      <c r="D203" s="412"/>
      <c r="E203" s="412"/>
      <c r="F203" s="412"/>
      <c r="G203" s="412"/>
      <c r="H203" s="412"/>
      <c r="I203" s="412"/>
      <c r="J203" s="487">
        <v>76</v>
      </c>
      <c r="K203" s="488">
        <v>109</v>
      </c>
      <c r="L203" s="489">
        <v>70</v>
      </c>
      <c r="M203" s="503">
        <v>255</v>
      </c>
    </row>
    <row r="204" spans="2:13" ht="14.25" customHeight="1" x14ac:dyDescent="0.3">
      <c r="B204" s="872"/>
      <c r="C204" s="412" t="s">
        <v>204</v>
      </c>
      <c r="D204" s="412"/>
      <c r="E204" s="412"/>
      <c r="F204" s="412"/>
      <c r="G204" s="412"/>
      <c r="H204" s="412"/>
      <c r="I204" s="412"/>
      <c r="J204" s="487">
        <v>11</v>
      </c>
      <c r="K204" s="488">
        <v>6</v>
      </c>
      <c r="L204" s="489"/>
      <c r="M204" s="503">
        <v>17</v>
      </c>
    </row>
    <row r="205" spans="2:13" ht="14.25" customHeight="1" x14ac:dyDescent="0.3">
      <c r="B205" s="872"/>
      <c r="C205" s="548" t="s">
        <v>205</v>
      </c>
      <c r="D205" s="491"/>
      <c r="E205" s="491"/>
      <c r="F205" s="491"/>
      <c r="G205" s="492">
        <v>106</v>
      </c>
      <c r="H205" s="495">
        <v>98</v>
      </c>
      <c r="I205" s="412">
        <v>79</v>
      </c>
      <c r="J205" s="487"/>
      <c r="K205" s="488"/>
      <c r="L205" s="489"/>
      <c r="M205" s="503">
        <v>283</v>
      </c>
    </row>
    <row r="206" spans="2:13" ht="14.25" customHeight="1" x14ac:dyDescent="0.3">
      <c r="B206" s="547"/>
      <c r="C206" s="549" t="s">
        <v>712</v>
      </c>
      <c r="D206" s="505"/>
      <c r="E206" s="505"/>
      <c r="F206" s="505"/>
      <c r="G206" s="520"/>
      <c r="H206" s="521"/>
      <c r="I206" s="522"/>
      <c r="J206" s="522"/>
      <c r="K206" s="488">
        <v>8</v>
      </c>
      <c r="L206" s="489"/>
      <c r="M206" s="503">
        <v>8</v>
      </c>
    </row>
    <row r="207" spans="2:13" ht="14.25" customHeight="1" x14ac:dyDescent="0.3">
      <c r="B207" s="547"/>
      <c r="C207" s="550" t="s">
        <v>713</v>
      </c>
      <c r="D207" s="505"/>
      <c r="E207" s="505"/>
      <c r="F207" s="505"/>
      <c r="G207" s="520"/>
      <c r="H207" s="521"/>
      <c r="I207" s="522"/>
      <c r="J207" s="522"/>
      <c r="K207" s="488">
        <v>3</v>
      </c>
      <c r="L207" s="489">
        <v>7</v>
      </c>
      <c r="M207" s="503">
        <v>10</v>
      </c>
    </row>
    <row r="208" spans="2:13" ht="14.25" customHeight="1" x14ac:dyDescent="0.3">
      <c r="B208" s="547"/>
      <c r="C208" s="551" t="s">
        <v>714</v>
      </c>
      <c r="D208" s="505"/>
      <c r="E208" s="505"/>
      <c r="F208" s="505"/>
      <c r="G208" s="520"/>
      <c r="H208" s="521"/>
      <c r="I208" s="522"/>
      <c r="J208" s="522"/>
      <c r="K208" s="488">
        <v>3</v>
      </c>
      <c r="L208" s="489">
        <v>3</v>
      </c>
      <c r="M208" s="503">
        <v>6</v>
      </c>
    </row>
    <row r="209" spans="2:13" ht="14.25" customHeight="1" x14ac:dyDescent="0.3">
      <c r="B209" s="552" t="s">
        <v>206</v>
      </c>
      <c r="C209" s="551" t="s">
        <v>207</v>
      </c>
      <c r="D209" s="505"/>
      <c r="E209" s="505"/>
      <c r="F209" s="505"/>
      <c r="G209" s="520"/>
      <c r="H209" s="521">
        <v>93</v>
      </c>
      <c r="I209" s="522"/>
      <c r="J209" s="522"/>
      <c r="K209" s="488">
        <v>637</v>
      </c>
      <c r="L209" s="489"/>
      <c r="M209" s="503">
        <v>730</v>
      </c>
    </row>
    <row r="210" spans="2:13" ht="14.25" customHeight="1" x14ac:dyDescent="0.3">
      <c r="B210" s="553" t="s">
        <v>208</v>
      </c>
      <c r="C210" s="548" t="s">
        <v>209</v>
      </c>
      <c r="D210" s="491"/>
      <c r="E210" s="491"/>
      <c r="F210" s="491"/>
      <c r="G210" s="492"/>
      <c r="H210" s="495"/>
      <c r="I210" s="487"/>
      <c r="J210" s="487">
        <v>47</v>
      </c>
      <c r="K210" s="488">
        <v>337</v>
      </c>
      <c r="L210" s="482">
        <v>1437</v>
      </c>
      <c r="M210" s="483">
        <v>1821</v>
      </c>
    </row>
    <row r="211" spans="2:13" ht="14.25" customHeight="1" x14ac:dyDescent="0.3">
      <c r="B211" s="873" t="s">
        <v>738</v>
      </c>
      <c r="C211" s="548" t="s">
        <v>210</v>
      </c>
      <c r="D211" s="491"/>
      <c r="E211" s="491"/>
      <c r="F211" s="491"/>
      <c r="G211" s="492"/>
      <c r="H211" s="495"/>
      <c r="I211" s="487"/>
      <c r="J211" s="480">
        <v>4120</v>
      </c>
      <c r="K211" s="481">
        <v>3773</v>
      </c>
      <c r="L211" s="482">
        <v>2273</v>
      </c>
      <c r="M211" s="483">
        <v>10166</v>
      </c>
    </row>
    <row r="212" spans="2:13" ht="14.25" customHeight="1" x14ac:dyDescent="0.3">
      <c r="B212" s="874"/>
      <c r="C212" s="548" t="s">
        <v>211</v>
      </c>
      <c r="D212" s="491"/>
      <c r="E212" s="491"/>
      <c r="F212" s="491"/>
      <c r="G212" s="492"/>
      <c r="H212" s="495"/>
      <c r="I212" s="487"/>
      <c r="J212" s="480">
        <v>1262</v>
      </c>
      <c r="K212" s="481">
        <v>3191</v>
      </c>
      <c r="L212" s="489"/>
      <c r="M212" s="483">
        <v>4453</v>
      </c>
    </row>
    <row r="213" spans="2:13" ht="14.25" customHeight="1" x14ac:dyDescent="0.3">
      <c r="B213" s="874"/>
      <c r="C213" s="548" t="s">
        <v>212</v>
      </c>
      <c r="D213" s="491"/>
      <c r="E213" s="491"/>
      <c r="F213" s="491"/>
      <c r="G213" s="492"/>
      <c r="H213" s="495"/>
      <c r="I213" s="487"/>
      <c r="J213" s="487">
        <v>137</v>
      </c>
      <c r="K213" s="488">
        <v>190</v>
      </c>
      <c r="L213" s="489"/>
      <c r="M213" s="503">
        <v>327</v>
      </c>
    </row>
    <row r="214" spans="2:13" ht="14.25" customHeight="1" x14ac:dyDescent="0.3">
      <c r="B214" s="874"/>
      <c r="C214" s="548" t="s">
        <v>213</v>
      </c>
      <c r="D214" s="491"/>
      <c r="E214" s="491"/>
      <c r="F214" s="491"/>
      <c r="G214" s="492"/>
      <c r="H214" s="495"/>
      <c r="I214" s="487"/>
      <c r="J214" s="487">
        <v>34</v>
      </c>
      <c r="K214" s="488">
        <v>25</v>
      </c>
      <c r="L214" s="489">
        <v>8</v>
      </c>
      <c r="M214" s="503">
        <v>67</v>
      </c>
    </row>
    <row r="215" spans="2:13" ht="14.25" customHeight="1" x14ac:dyDescent="0.3">
      <c r="B215" s="874"/>
      <c r="C215" s="548" t="s">
        <v>192</v>
      </c>
      <c r="D215" s="491"/>
      <c r="E215" s="491"/>
      <c r="F215" s="491"/>
      <c r="G215" s="492"/>
      <c r="H215" s="495"/>
      <c r="I215" s="487"/>
      <c r="J215" s="487">
        <v>3</v>
      </c>
      <c r="K215" s="488">
        <v>9</v>
      </c>
      <c r="L215" s="489">
        <v>42</v>
      </c>
      <c r="M215" s="503">
        <v>54</v>
      </c>
    </row>
    <row r="216" spans="2:13" ht="14.25" customHeight="1" x14ac:dyDescent="0.3">
      <c r="B216" s="874"/>
      <c r="C216" s="548" t="s">
        <v>214</v>
      </c>
      <c r="D216" s="491"/>
      <c r="E216" s="491"/>
      <c r="F216" s="491"/>
      <c r="G216" s="492"/>
      <c r="H216" s="495"/>
      <c r="I216" s="487"/>
      <c r="J216" s="487">
        <v>59</v>
      </c>
      <c r="K216" s="488">
        <v>276</v>
      </c>
      <c r="L216" s="489"/>
      <c r="M216" s="503">
        <v>335</v>
      </c>
    </row>
    <row r="217" spans="2:13" ht="14.25" customHeight="1" x14ac:dyDescent="0.3">
      <c r="B217" s="874"/>
      <c r="C217" s="548" t="s">
        <v>215</v>
      </c>
      <c r="D217" s="491"/>
      <c r="E217" s="491"/>
      <c r="F217" s="491"/>
      <c r="G217" s="492"/>
      <c r="H217" s="495"/>
      <c r="I217" s="487"/>
      <c r="J217" s="487">
        <v>11</v>
      </c>
      <c r="K217" s="488">
        <v>95</v>
      </c>
      <c r="L217" s="489"/>
      <c r="M217" s="503">
        <v>106</v>
      </c>
    </row>
    <row r="218" spans="2:13" ht="14.25" customHeight="1" x14ac:dyDescent="0.3">
      <c r="B218" s="874"/>
      <c r="C218" s="548" t="s">
        <v>216</v>
      </c>
      <c r="D218" s="491"/>
      <c r="E218" s="491"/>
      <c r="F218" s="491"/>
      <c r="G218" s="492"/>
      <c r="H218" s="495"/>
      <c r="I218" s="487"/>
      <c r="J218" s="487">
        <v>39</v>
      </c>
      <c r="K218" s="488">
        <v>276</v>
      </c>
      <c r="L218" s="489">
        <v>14</v>
      </c>
      <c r="M218" s="503">
        <v>329</v>
      </c>
    </row>
    <row r="219" spans="2:13" ht="14.25" customHeight="1" x14ac:dyDescent="0.3">
      <c r="B219" s="875"/>
      <c r="C219" s="551" t="s">
        <v>217</v>
      </c>
      <c r="D219" s="505"/>
      <c r="E219" s="505"/>
      <c r="F219" s="505"/>
      <c r="G219" s="520"/>
      <c r="H219" s="521"/>
      <c r="I219" s="522"/>
      <c r="J219" s="522">
        <v>3</v>
      </c>
      <c r="K219" s="538">
        <v>103</v>
      </c>
      <c r="L219" s="489"/>
      <c r="M219" s="503">
        <v>106</v>
      </c>
    </row>
    <row r="220" spans="2:13" ht="14.25" customHeight="1" x14ac:dyDescent="0.3">
      <c r="B220" s="465" t="s">
        <v>570</v>
      </c>
      <c r="C220" s="551" t="s">
        <v>570</v>
      </c>
      <c r="D220" s="495"/>
      <c r="E220" s="495"/>
      <c r="F220" s="495"/>
      <c r="G220" s="495"/>
      <c r="H220" s="495"/>
      <c r="I220" s="412"/>
      <c r="J220" s="412"/>
      <c r="K220" s="481">
        <v>1142</v>
      </c>
      <c r="L220" s="489">
        <v>303</v>
      </c>
      <c r="M220" s="483">
        <v>1445</v>
      </c>
    </row>
    <row r="221" spans="2:13" ht="14.25" customHeight="1" x14ac:dyDescent="0.3">
      <c r="B221" s="465" t="s">
        <v>572</v>
      </c>
      <c r="C221" s="551" t="s">
        <v>572</v>
      </c>
      <c r="D221" s="495"/>
      <c r="E221" s="495"/>
      <c r="F221" s="495"/>
      <c r="G221" s="495"/>
      <c r="H221" s="495"/>
      <c r="I221" s="412"/>
      <c r="J221" s="412"/>
      <c r="K221" s="481">
        <v>1152</v>
      </c>
      <c r="L221" s="482">
        <v>7164</v>
      </c>
      <c r="M221" s="483">
        <v>8316</v>
      </c>
    </row>
    <row r="222" spans="2:13" ht="14.25" customHeight="1" x14ac:dyDescent="0.3">
      <c r="B222" s="465" t="s">
        <v>573</v>
      </c>
      <c r="C222" s="551" t="s">
        <v>573</v>
      </c>
      <c r="D222" s="495"/>
      <c r="E222" s="495"/>
      <c r="F222" s="495"/>
      <c r="G222" s="495"/>
      <c r="H222" s="495"/>
      <c r="I222" s="412"/>
      <c r="J222" s="412"/>
      <c r="K222" s="488">
        <v>362</v>
      </c>
      <c r="L222" s="489">
        <v>136</v>
      </c>
      <c r="M222" s="503">
        <v>498</v>
      </c>
    </row>
    <row r="223" spans="2:13" ht="14.25" customHeight="1" x14ac:dyDescent="0.3">
      <c r="B223" s="465" t="s">
        <v>574</v>
      </c>
      <c r="C223" s="551" t="s">
        <v>574</v>
      </c>
      <c r="D223" s="495"/>
      <c r="E223" s="495"/>
      <c r="F223" s="495"/>
      <c r="G223" s="495"/>
      <c r="H223" s="495"/>
      <c r="I223" s="412"/>
      <c r="J223" s="412"/>
      <c r="K223" s="481">
        <v>5424</v>
      </c>
      <c r="L223" s="482">
        <v>5799</v>
      </c>
      <c r="M223" s="483">
        <v>11223</v>
      </c>
    </row>
    <row r="224" spans="2:13" s="66" customFormat="1" ht="9.75" customHeight="1" x14ac:dyDescent="0.3">
      <c r="B224" s="894" t="s">
        <v>46</v>
      </c>
      <c r="C224" s="895"/>
      <c r="D224" s="554">
        <v>1063790</v>
      </c>
      <c r="E224" s="554">
        <v>785338</v>
      </c>
      <c r="F224" s="554">
        <v>864875</v>
      </c>
      <c r="G224" s="554">
        <v>216081</v>
      </c>
      <c r="H224" s="554">
        <v>481226</v>
      </c>
      <c r="I224" s="554">
        <v>496975</v>
      </c>
      <c r="J224" s="554">
        <v>3239411</v>
      </c>
      <c r="K224" s="554">
        <v>5954782</v>
      </c>
      <c r="L224" s="554">
        <v>2340707</v>
      </c>
      <c r="M224" s="554">
        <v>15443185</v>
      </c>
    </row>
    <row r="225" spans="2:12" ht="45" customHeight="1" x14ac:dyDescent="0.3">
      <c r="B225" s="840" t="s">
        <v>1321</v>
      </c>
      <c r="C225" s="840"/>
      <c r="D225" s="840"/>
      <c r="E225" s="840"/>
      <c r="F225" s="840"/>
      <c r="G225" s="840"/>
      <c r="H225" s="840"/>
      <c r="I225" s="840"/>
      <c r="J225" s="840"/>
      <c r="K225" s="97"/>
    </row>
    <row r="226" spans="2:12" ht="15" customHeight="1" x14ac:dyDescent="0.3">
      <c r="B226" s="882"/>
      <c r="C226" s="882"/>
      <c r="D226" s="882"/>
      <c r="E226" s="882"/>
      <c r="F226" s="882"/>
      <c r="G226" s="882"/>
      <c r="H226" s="882"/>
      <c r="I226" s="882"/>
      <c r="J226" s="406"/>
      <c r="K226" s="97"/>
    </row>
    <row r="227" spans="2:12" ht="23.25" customHeight="1" x14ac:dyDescent="0.3">
      <c r="B227" s="99"/>
      <c r="C227" s="97"/>
      <c r="D227" s="99"/>
      <c r="E227" s="99"/>
      <c r="F227" s="99"/>
      <c r="G227" s="126"/>
      <c r="H227" s="95"/>
      <c r="I227" s="97"/>
      <c r="J227" s="97"/>
      <c r="K227" s="97"/>
    </row>
    <row r="228" spans="2:12" ht="23.25" customHeight="1" x14ac:dyDescent="0.3">
      <c r="B228" s="832" t="s">
        <v>1249</v>
      </c>
      <c r="C228" s="832"/>
      <c r="D228" s="832"/>
      <c r="E228" s="832"/>
      <c r="F228" s="832"/>
      <c r="G228" s="832"/>
      <c r="H228" s="832"/>
      <c r="I228" s="832"/>
      <c r="J228" s="832"/>
      <c r="K228" s="97"/>
    </row>
    <row r="229" spans="2:12" ht="23.25" customHeight="1" x14ac:dyDescent="0.3">
      <c r="B229" s="582" t="s">
        <v>437</v>
      </c>
      <c r="C229" s="583">
        <v>2018</v>
      </c>
      <c r="D229" s="583">
        <v>2019</v>
      </c>
      <c r="E229" s="583">
        <v>2021</v>
      </c>
      <c r="F229" s="583">
        <v>2022</v>
      </c>
      <c r="G229" s="583">
        <v>2023</v>
      </c>
      <c r="H229" s="583">
        <v>2024</v>
      </c>
      <c r="I229" s="583">
        <v>2025</v>
      </c>
      <c r="J229" s="583">
        <v>2026</v>
      </c>
      <c r="K229" s="584" t="s">
        <v>46</v>
      </c>
    </row>
    <row r="230" spans="2:12" ht="17.25" customHeight="1" x14ac:dyDescent="0.3">
      <c r="B230" s="489" t="s">
        <v>538</v>
      </c>
      <c r="C230" s="482">
        <v>15712</v>
      </c>
      <c r="D230" s="482">
        <v>5142</v>
      </c>
      <c r="E230" s="482">
        <v>28712</v>
      </c>
      <c r="F230" s="482">
        <v>24956</v>
      </c>
      <c r="G230" s="482">
        <v>20712</v>
      </c>
      <c r="H230" s="482">
        <v>18351</v>
      </c>
      <c r="I230" s="482">
        <v>40085</v>
      </c>
      <c r="J230" s="482">
        <v>17007</v>
      </c>
      <c r="K230" s="585">
        <f>+SUM(C230:J230)</f>
        <v>170677</v>
      </c>
    </row>
    <row r="231" spans="2:12" ht="27.6" customHeight="1" x14ac:dyDescent="0.3">
      <c r="B231" s="593" t="s">
        <v>1530</v>
      </c>
      <c r="C231" s="591"/>
      <c r="D231" s="591"/>
      <c r="E231" s="591"/>
      <c r="F231" s="591"/>
      <c r="G231" s="591"/>
      <c r="H231" s="592"/>
      <c r="I231" s="592">
        <v>871</v>
      </c>
      <c r="J231" s="591">
        <v>383</v>
      </c>
      <c r="K231" s="585">
        <v>10</v>
      </c>
    </row>
    <row r="232" spans="2:12" ht="23.25" customHeight="1" x14ac:dyDescent="0.3">
      <c r="F232" s="62"/>
      <c r="K232" s="66"/>
      <c r="L232" s="66"/>
    </row>
    <row r="233" spans="2:12" s="66" customFormat="1" ht="23.25" customHeight="1" x14ac:dyDescent="0.3">
      <c r="B233" s="690" t="s">
        <v>668</v>
      </c>
      <c r="C233" s="691" t="s">
        <v>444</v>
      </c>
      <c r="D233" s="691">
        <v>2017</v>
      </c>
      <c r="E233" s="691">
        <v>2020</v>
      </c>
      <c r="F233" s="691">
        <v>2021</v>
      </c>
      <c r="G233" s="691">
        <v>2022</v>
      </c>
      <c r="H233" s="691">
        <v>2023</v>
      </c>
      <c r="I233" s="691">
        <v>2024</v>
      </c>
      <c r="J233" s="691">
        <v>2025</v>
      </c>
      <c r="K233" s="691">
        <v>2026</v>
      </c>
      <c r="L233" s="953" t="s">
        <v>46</v>
      </c>
    </row>
    <row r="234" spans="2:12" s="651" customFormat="1" ht="26.4" x14ac:dyDescent="0.3">
      <c r="B234" s="955" t="s">
        <v>1557</v>
      </c>
      <c r="C234" s="955" t="s">
        <v>534</v>
      </c>
      <c r="D234" s="954"/>
      <c r="E234" s="954"/>
      <c r="F234" s="954"/>
      <c r="G234" s="954"/>
      <c r="H234" s="954">
        <v>8</v>
      </c>
      <c r="I234" s="956">
        <v>4</v>
      </c>
      <c r="J234" s="956"/>
      <c r="K234" s="956"/>
      <c r="L234" s="651">
        <v>12</v>
      </c>
    </row>
    <row r="235" spans="2:12" s="651" customFormat="1" ht="26.4" x14ac:dyDescent="0.3">
      <c r="B235" s="955" t="s">
        <v>1557</v>
      </c>
      <c r="C235" s="955" t="s">
        <v>1533</v>
      </c>
      <c r="D235" s="954"/>
      <c r="E235" s="954"/>
      <c r="F235" s="954"/>
      <c r="G235" s="954"/>
      <c r="H235" s="954"/>
      <c r="I235" s="956"/>
      <c r="J235" s="956">
        <v>49</v>
      </c>
      <c r="K235" s="956">
        <v>15</v>
      </c>
      <c r="L235" s="651">
        <v>64</v>
      </c>
    </row>
    <row r="236" spans="2:12" s="651" customFormat="1" ht="26.4" x14ac:dyDescent="0.3">
      <c r="B236" s="955" t="s">
        <v>1557</v>
      </c>
      <c r="C236" s="955" t="s">
        <v>1534</v>
      </c>
      <c r="D236" s="954"/>
      <c r="E236" s="954"/>
      <c r="F236" s="954"/>
      <c r="G236" s="954"/>
      <c r="H236" s="954"/>
      <c r="I236" s="956"/>
      <c r="J236" s="956">
        <v>2</v>
      </c>
      <c r="K236" s="956">
        <v>0</v>
      </c>
      <c r="L236" s="651">
        <v>2</v>
      </c>
    </row>
    <row r="237" spans="2:12" s="651" customFormat="1" ht="26.4" x14ac:dyDescent="0.3">
      <c r="B237" s="955" t="s">
        <v>1557</v>
      </c>
      <c r="C237" s="955" t="s">
        <v>1535</v>
      </c>
      <c r="D237" s="954"/>
      <c r="E237" s="954"/>
      <c r="F237" s="954"/>
      <c r="G237" s="954"/>
      <c r="H237" s="954"/>
      <c r="I237" s="956"/>
      <c r="J237" s="956">
        <v>15</v>
      </c>
      <c r="K237" s="956"/>
      <c r="L237" s="651">
        <v>15</v>
      </c>
    </row>
    <row r="238" spans="2:12" s="651" customFormat="1" ht="26.4" x14ac:dyDescent="0.3">
      <c r="B238" s="955" t="s">
        <v>1557</v>
      </c>
      <c r="C238" s="955" t="s">
        <v>1558</v>
      </c>
      <c r="D238" s="954"/>
      <c r="E238" s="954"/>
      <c r="F238" s="954"/>
      <c r="G238" s="954"/>
      <c r="H238" s="954">
        <v>4</v>
      </c>
      <c r="I238" s="956">
        <v>2</v>
      </c>
      <c r="J238" s="956"/>
      <c r="K238" s="956"/>
      <c r="L238" s="651">
        <v>6</v>
      </c>
    </row>
    <row r="239" spans="2:12" s="651" customFormat="1" ht="26.4" x14ac:dyDescent="0.3">
      <c r="B239" s="955" t="s">
        <v>1557</v>
      </c>
      <c r="C239" s="955" t="s">
        <v>186</v>
      </c>
      <c r="D239" s="954"/>
      <c r="E239" s="954"/>
      <c r="F239" s="954"/>
      <c r="G239" s="954"/>
      <c r="H239" s="954"/>
      <c r="I239" s="956"/>
      <c r="J239" s="956">
        <v>1</v>
      </c>
      <c r="K239" s="956"/>
      <c r="L239" s="651">
        <v>1</v>
      </c>
    </row>
    <row r="240" spans="2:12" s="651" customFormat="1" ht="26.4" x14ac:dyDescent="0.3">
      <c r="B240" s="955" t="s">
        <v>1557</v>
      </c>
      <c r="C240" s="955" t="s">
        <v>1536</v>
      </c>
      <c r="D240" s="954"/>
      <c r="E240" s="954"/>
      <c r="F240" s="954"/>
      <c r="G240" s="954"/>
      <c r="H240" s="954">
        <v>9</v>
      </c>
      <c r="I240" s="956">
        <v>1</v>
      </c>
      <c r="J240" s="956"/>
      <c r="K240" s="956"/>
      <c r="L240" s="651">
        <v>10</v>
      </c>
    </row>
    <row r="241" spans="2:12" s="651" customFormat="1" ht="26.4" x14ac:dyDescent="0.3">
      <c r="B241" s="955" t="s">
        <v>1557</v>
      </c>
      <c r="C241" s="955" t="s">
        <v>1537</v>
      </c>
      <c r="D241" s="954"/>
      <c r="E241" s="954"/>
      <c r="F241" s="954"/>
      <c r="G241" s="954"/>
      <c r="H241" s="954">
        <v>1</v>
      </c>
      <c r="I241" s="956"/>
      <c r="J241" s="956"/>
      <c r="K241" s="956"/>
      <c r="L241" s="651">
        <v>1</v>
      </c>
    </row>
    <row r="242" spans="2:12" s="651" customFormat="1" ht="26.4" x14ac:dyDescent="0.3">
      <c r="B242" s="955" t="s">
        <v>1557</v>
      </c>
      <c r="C242" s="955" t="s">
        <v>535</v>
      </c>
      <c r="D242" s="954"/>
      <c r="E242" s="954"/>
      <c r="F242" s="954"/>
      <c r="G242" s="954"/>
      <c r="H242" s="954">
        <v>148</v>
      </c>
      <c r="I242" s="956">
        <v>55</v>
      </c>
      <c r="J242" s="956">
        <v>38</v>
      </c>
      <c r="K242" s="956"/>
      <c r="L242" s="651">
        <v>241</v>
      </c>
    </row>
    <row r="243" spans="2:12" s="651" customFormat="1" ht="26.4" x14ac:dyDescent="0.3">
      <c r="B243" s="955" t="s">
        <v>1557</v>
      </c>
      <c r="C243" s="955" t="s">
        <v>536</v>
      </c>
      <c r="D243" s="954"/>
      <c r="E243" s="954"/>
      <c r="F243" s="954"/>
      <c r="G243" s="954"/>
      <c r="H243" s="954">
        <v>51</v>
      </c>
      <c r="I243" s="956">
        <v>23</v>
      </c>
      <c r="J243" s="956">
        <v>0</v>
      </c>
      <c r="K243" s="956">
        <v>0</v>
      </c>
      <c r="L243" s="651">
        <v>74</v>
      </c>
    </row>
    <row r="244" spans="2:12" s="651" customFormat="1" ht="26.4" x14ac:dyDescent="0.3">
      <c r="B244" s="955" t="s">
        <v>1557</v>
      </c>
      <c r="C244" s="955" t="s">
        <v>1538</v>
      </c>
      <c r="D244" s="954"/>
      <c r="E244" s="954"/>
      <c r="F244" s="954"/>
      <c r="G244" s="954"/>
      <c r="H244" s="954"/>
      <c r="I244" s="956"/>
      <c r="J244" s="956">
        <v>0</v>
      </c>
      <c r="K244" s="956"/>
      <c r="L244" s="651">
        <v>0</v>
      </c>
    </row>
    <row r="245" spans="2:12" s="651" customFormat="1" ht="26.4" x14ac:dyDescent="0.3">
      <c r="B245" s="955" t="s">
        <v>1557</v>
      </c>
      <c r="C245" s="955" t="s">
        <v>537</v>
      </c>
      <c r="D245" s="954"/>
      <c r="E245" s="954"/>
      <c r="F245" s="954"/>
      <c r="G245" s="954"/>
      <c r="H245" s="954">
        <v>8</v>
      </c>
      <c r="I245" s="956">
        <v>10</v>
      </c>
      <c r="J245" s="956">
        <v>73</v>
      </c>
      <c r="K245" s="956"/>
      <c r="L245" s="651">
        <v>91</v>
      </c>
    </row>
    <row r="246" spans="2:12" s="651" customFormat="1" ht="26.4" x14ac:dyDescent="0.3">
      <c r="B246" s="955" t="s">
        <v>1557</v>
      </c>
      <c r="C246" s="955" t="s">
        <v>1539</v>
      </c>
      <c r="D246" s="954"/>
      <c r="E246" s="954"/>
      <c r="F246" s="954"/>
      <c r="G246" s="954"/>
      <c r="H246" s="954">
        <v>11</v>
      </c>
      <c r="I246" s="956">
        <v>1</v>
      </c>
      <c r="J246" s="956">
        <v>5</v>
      </c>
      <c r="K246" s="956"/>
      <c r="L246" s="651">
        <v>17</v>
      </c>
    </row>
    <row r="247" spans="2:12" s="651" customFormat="1" ht="26.4" x14ac:dyDescent="0.3">
      <c r="B247" s="955" t="s">
        <v>1557</v>
      </c>
      <c r="C247" s="955" t="s">
        <v>1540</v>
      </c>
      <c r="D247" s="954"/>
      <c r="E247" s="954"/>
      <c r="F247" s="954"/>
      <c r="G247" s="954"/>
      <c r="H247" s="954">
        <v>1</v>
      </c>
      <c r="I247" s="956"/>
      <c r="J247" s="956"/>
      <c r="K247" s="956"/>
      <c r="L247" s="651">
        <v>1</v>
      </c>
    </row>
    <row r="248" spans="2:12" s="651" customFormat="1" ht="26.4" x14ac:dyDescent="0.3">
      <c r="B248" s="955" t="s">
        <v>1557</v>
      </c>
      <c r="C248" s="955" t="s">
        <v>1541</v>
      </c>
      <c r="D248" s="954"/>
      <c r="E248" s="954"/>
      <c r="F248" s="954"/>
      <c r="G248" s="954"/>
      <c r="H248" s="954"/>
      <c r="I248" s="956"/>
      <c r="J248" s="956">
        <v>5</v>
      </c>
      <c r="K248" s="956"/>
      <c r="L248" s="651">
        <v>5</v>
      </c>
    </row>
    <row r="249" spans="2:12" s="651" customFormat="1" ht="26.4" x14ac:dyDescent="0.3">
      <c r="B249" s="959" t="s">
        <v>1554</v>
      </c>
      <c r="C249" s="957" t="s">
        <v>1559</v>
      </c>
      <c r="D249" s="957"/>
      <c r="E249" s="957"/>
      <c r="F249" s="958">
        <v>23</v>
      </c>
      <c r="G249" s="957"/>
      <c r="L249" s="651">
        <v>23</v>
      </c>
    </row>
    <row r="250" spans="2:12" s="651" customFormat="1" ht="26.4" x14ac:dyDescent="0.3">
      <c r="B250" s="959" t="s">
        <v>1554</v>
      </c>
      <c r="C250" s="957" t="s">
        <v>533</v>
      </c>
      <c r="D250" s="957">
        <v>4</v>
      </c>
      <c r="E250" s="957"/>
      <c r="F250" s="958">
        <v>5</v>
      </c>
      <c r="G250" s="957"/>
      <c r="H250" s="651">
        <v>2</v>
      </c>
      <c r="J250" s="651">
        <v>4</v>
      </c>
      <c r="L250" s="651">
        <v>15</v>
      </c>
    </row>
    <row r="251" spans="2:12" s="651" customFormat="1" ht="26.4" x14ac:dyDescent="0.3">
      <c r="B251" s="959" t="s">
        <v>1554</v>
      </c>
      <c r="C251" s="957" t="s">
        <v>1560</v>
      </c>
      <c r="D251" s="957"/>
      <c r="E251" s="957"/>
      <c r="F251" s="958"/>
      <c r="G251" s="957"/>
      <c r="J251" s="651">
        <v>0</v>
      </c>
      <c r="L251" s="651">
        <v>0</v>
      </c>
    </row>
    <row r="252" spans="2:12" s="651" customFormat="1" ht="26.4" x14ac:dyDescent="0.3">
      <c r="B252" s="959" t="s">
        <v>1554</v>
      </c>
      <c r="C252" s="957" t="s">
        <v>1561</v>
      </c>
      <c r="D252" s="957">
        <v>2</v>
      </c>
      <c r="E252" s="957">
        <v>1</v>
      </c>
      <c r="F252" s="958">
        <v>0</v>
      </c>
      <c r="G252" s="957"/>
      <c r="L252" s="651">
        <v>3</v>
      </c>
    </row>
    <row r="253" spans="2:12" s="651" customFormat="1" ht="26.4" x14ac:dyDescent="0.3">
      <c r="B253" s="959" t="s">
        <v>1554</v>
      </c>
      <c r="C253" s="957" t="s">
        <v>611</v>
      </c>
      <c r="D253" s="957"/>
      <c r="E253" s="957"/>
      <c r="F253" s="958">
        <v>7</v>
      </c>
      <c r="G253" s="957"/>
      <c r="L253" s="651">
        <v>7</v>
      </c>
    </row>
    <row r="254" spans="2:12" s="651" customFormat="1" ht="26.4" x14ac:dyDescent="0.3">
      <c r="B254" s="959" t="s">
        <v>1554</v>
      </c>
      <c r="C254" s="957" t="s">
        <v>1562</v>
      </c>
      <c r="D254" s="957"/>
      <c r="E254" s="957">
        <v>1</v>
      </c>
      <c r="F254" s="958">
        <v>0</v>
      </c>
      <c r="G254" s="957"/>
      <c r="L254" s="651">
        <v>1</v>
      </c>
    </row>
    <row r="255" spans="2:12" s="651" customFormat="1" ht="26.4" x14ac:dyDescent="0.3">
      <c r="B255" s="959" t="s">
        <v>1554</v>
      </c>
      <c r="C255" s="957" t="s">
        <v>1563</v>
      </c>
      <c r="D255" s="957"/>
      <c r="E255" s="957"/>
      <c r="F255" s="958">
        <v>35</v>
      </c>
      <c r="G255" s="957"/>
      <c r="J255" s="651">
        <v>0</v>
      </c>
      <c r="L255" s="651">
        <v>35</v>
      </c>
    </row>
    <row r="256" spans="2:12" s="651" customFormat="1" ht="26.4" x14ac:dyDescent="0.3">
      <c r="B256" s="959" t="s">
        <v>1554</v>
      </c>
      <c r="C256" s="957" t="s">
        <v>534</v>
      </c>
      <c r="D256" s="957">
        <v>2</v>
      </c>
      <c r="E256" s="957">
        <v>2</v>
      </c>
      <c r="F256" s="958">
        <v>0</v>
      </c>
      <c r="G256" s="957"/>
      <c r="L256" s="651">
        <v>4</v>
      </c>
    </row>
    <row r="257" spans="2:12" s="651" customFormat="1" ht="26.4" x14ac:dyDescent="0.3">
      <c r="B257" s="959" t="s">
        <v>1554</v>
      </c>
      <c r="C257" s="957" t="s">
        <v>1564</v>
      </c>
      <c r="D257" s="957">
        <v>8</v>
      </c>
      <c r="E257" s="957"/>
      <c r="F257" s="958">
        <v>0</v>
      </c>
      <c r="G257" s="957"/>
      <c r="L257" s="651">
        <v>8</v>
      </c>
    </row>
    <row r="258" spans="2:12" s="651" customFormat="1" ht="26.4" x14ac:dyDescent="0.3">
      <c r="B258" s="959" t="s">
        <v>1554</v>
      </c>
      <c r="C258" s="957" t="s">
        <v>1565</v>
      </c>
      <c r="D258" s="957">
        <v>2</v>
      </c>
      <c r="E258" s="957"/>
      <c r="F258" s="958">
        <v>0</v>
      </c>
      <c r="G258" s="957"/>
      <c r="L258" s="651">
        <v>2</v>
      </c>
    </row>
    <row r="259" spans="2:12" s="651" customFormat="1" ht="26.4" x14ac:dyDescent="0.3">
      <c r="B259" s="959" t="s">
        <v>1554</v>
      </c>
      <c r="C259" s="957" t="s">
        <v>209</v>
      </c>
      <c r="D259" s="957"/>
      <c r="E259" s="957"/>
      <c r="F259" s="958"/>
      <c r="G259" s="957"/>
      <c r="J259" s="651">
        <v>0</v>
      </c>
      <c r="L259" s="651">
        <v>0</v>
      </c>
    </row>
    <row r="260" spans="2:12" s="651" customFormat="1" ht="26.4" x14ac:dyDescent="0.3">
      <c r="B260" s="959" t="s">
        <v>1554</v>
      </c>
      <c r="C260" s="957" t="s">
        <v>1566</v>
      </c>
      <c r="D260" s="957"/>
      <c r="E260" s="957">
        <v>4</v>
      </c>
      <c r="F260" s="958">
        <v>0</v>
      </c>
      <c r="G260" s="957"/>
      <c r="L260" s="651">
        <v>4</v>
      </c>
    </row>
    <row r="261" spans="2:12" s="651" customFormat="1" ht="26.4" x14ac:dyDescent="0.3">
      <c r="B261" s="959" t="s">
        <v>1554</v>
      </c>
      <c r="C261" s="957" t="s">
        <v>1567</v>
      </c>
      <c r="D261" s="957">
        <v>1</v>
      </c>
      <c r="E261" s="957"/>
      <c r="F261" s="958">
        <v>0</v>
      </c>
      <c r="G261" s="957"/>
      <c r="L261" s="651">
        <v>1</v>
      </c>
    </row>
    <row r="262" spans="2:12" s="651" customFormat="1" ht="26.4" x14ac:dyDescent="0.3">
      <c r="B262" s="959" t="s">
        <v>1554</v>
      </c>
      <c r="C262" s="957" t="s">
        <v>1533</v>
      </c>
      <c r="D262" s="957">
        <v>33</v>
      </c>
      <c r="E262" s="957">
        <v>1</v>
      </c>
      <c r="F262" s="958">
        <v>0</v>
      </c>
      <c r="G262" s="957"/>
      <c r="J262" s="651">
        <v>15</v>
      </c>
      <c r="K262" s="651">
        <v>3</v>
      </c>
      <c r="L262" s="651">
        <v>52</v>
      </c>
    </row>
    <row r="263" spans="2:12" s="651" customFormat="1" ht="26.4" x14ac:dyDescent="0.3">
      <c r="B263" s="959" t="s">
        <v>1554</v>
      </c>
      <c r="C263" s="957" t="s">
        <v>1534</v>
      </c>
      <c r="D263" s="957">
        <v>1</v>
      </c>
      <c r="E263" s="957"/>
      <c r="F263" s="958">
        <v>0</v>
      </c>
      <c r="G263" s="957"/>
      <c r="J263" s="651">
        <v>0</v>
      </c>
      <c r="L263" s="651">
        <v>1</v>
      </c>
    </row>
    <row r="264" spans="2:12" s="651" customFormat="1" ht="26.4" x14ac:dyDescent="0.3">
      <c r="B264" s="959" t="s">
        <v>1554</v>
      </c>
      <c r="C264" s="957" t="s">
        <v>128</v>
      </c>
      <c r="D264" s="957">
        <v>2</v>
      </c>
      <c r="E264" s="957">
        <v>1</v>
      </c>
      <c r="F264" s="958">
        <v>0</v>
      </c>
      <c r="G264" s="957"/>
      <c r="L264" s="651">
        <v>3</v>
      </c>
    </row>
    <row r="265" spans="2:12" s="651" customFormat="1" ht="26.4" x14ac:dyDescent="0.3">
      <c r="B265" s="959" t="s">
        <v>1554</v>
      </c>
      <c r="C265" s="957" t="s">
        <v>1568</v>
      </c>
      <c r="D265" s="957">
        <v>4</v>
      </c>
      <c r="E265" s="957"/>
      <c r="F265" s="958">
        <v>0</v>
      </c>
      <c r="G265" s="957"/>
      <c r="L265" s="651">
        <v>4</v>
      </c>
    </row>
    <row r="266" spans="2:12" s="651" customFormat="1" ht="26.4" x14ac:dyDescent="0.3">
      <c r="B266" s="959" t="s">
        <v>1554</v>
      </c>
      <c r="C266" s="957" t="s">
        <v>1535</v>
      </c>
      <c r="D266" s="957"/>
      <c r="E266" s="957"/>
      <c r="F266" s="958"/>
      <c r="G266" s="957"/>
      <c r="J266" s="651">
        <v>0</v>
      </c>
      <c r="K266" s="651">
        <v>23</v>
      </c>
      <c r="L266" s="651">
        <v>23</v>
      </c>
    </row>
    <row r="267" spans="2:12" s="651" customFormat="1" ht="26.4" x14ac:dyDescent="0.3">
      <c r="B267" s="959" t="s">
        <v>1554</v>
      </c>
      <c r="C267" s="957" t="s">
        <v>1558</v>
      </c>
      <c r="D267" s="957"/>
      <c r="E267" s="957"/>
      <c r="F267" s="958">
        <v>26</v>
      </c>
      <c r="G267" s="957"/>
      <c r="J267" s="651">
        <v>4</v>
      </c>
      <c r="L267" s="651">
        <v>30</v>
      </c>
    </row>
    <row r="268" spans="2:12" s="651" customFormat="1" ht="26.4" x14ac:dyDescent="0.3">
      <c r="B268" s="959" t="s">
        <v>1554</v>
      </c>
      <c r="C268" s="957" t="s">
        <v>1569</v>
      </c>
      <c r="D268" s="957">
        <v>3</v>
      </c>
      <c r="E268" s="957"/>
      <c r="F268" s="958">
        <v>5</v>
      </c>
      <c r="G268" s="957"/>
      <c r="L268" s="651">
        <v>8</v>
      </c>
    </row>
    <row r="269" spans="2:12" s="651" customFormat="1" ht="26.4" x14ac:dyDescent="0.3">
      <c r="B269" s="959" t="s">
        <v>1554</v>
      </c>
      <c r="C269" s="957" t="s">
        <v>186</v>
      </c>
      <c r="D269" s="957">
        <v>1</v>
      </c>
      <c r="E269" s="957"/>
      <c r="F269" s="958">
        <v>0</v>
      </c>
      <c r="G269" s="957"/>
      <c r="L269" s="651">
        <v>1</v>
      </c>
    </row>
    <row r="270" spans="2:12" s="651" customFormat="1" ht="26.4" x14ac:dyDescent="0.3">
      <c r="B270" s="959" t="s">
        <v>1554</v>
      </c>
      <c r="C270" s="957" t="s">
        <v>1536</v>
      </c>
      <c r="D270" s="957"/>
      <c r="E270" s="957"/>
      <c r="F270" s="958">
        <v>19</v>
      </c>
      <c r="G270" s="957"/>
      <c r="L270" s="651">
        <v>19</v>
      </c>
    </row>
    <row r="271" spans="2:12" s="651" customFormat="1" ht="26.4" x14ac:dyDescent="0.3">
      <c r="B271" s="959" t="s">
        <v>1554</v>
      </c>
      <c r="C271" s="957" t="s">
        <v>1537</v>
      </c>
      <c r="D271" s="957"/>
      <c r="E271" s="957"/>
      <c r="F271" s="958">
        <v>9</v>
      </c>
      <c r="G271" s="957"/>
      <c r="J271" s="651">
        <v>5</v>
      </c>
      <c r="L271" s="651">
        <v>14</v>
      </c>
    </row>
    <row r="272" spans="2:12" s="651" customFormat="1" ht="26.4" x14ac:dyDescent="0.3">
      <c r="B272" s="959" t="s">
        <v>1554</v>
      </c>
      <c r="C272" s="957" t="s">
        <v>535</v>
      </c>
      <c r="D272" s="957">
        <v>12</v>
      </c>
      <c r="E272" s="957">
        <v>10</v>
      </c>
      <c r="F272" s="958">
        <v>197</v>
      </c>
      <c r="G272" s="957"/>
      <c r="H272" s="651">
        <v>112</v>
      </c>
      <c r="I272" s="651">
        <v>34</v>
      </c>
      <c r="J272" s="651">
        <v>42</v>
      </c>
      <c r="K272" s="651">
        <v>6</v>
      </c>
      <c r="L272" s="651">
        <v>413</v>
      </c>
    </row>
    <row r="273" spans="2:12" s="651" customFormat="1" ht="26.4" x14ac:dyDescent="0.3">
      <c r="B273" s="959" t="s">
        <v>1554</v>
      </c>
      <c r="C273" s="957" t="s">
        <v>1570</v>
      </c>
      <c r="D273" s="957">
        <v>2</v>
      </c>
      <c r="E273" s="957"/>
      <c r="F273" s="958">
        <v>0</v>
      </c>
      <c r="G273" s="957"/>
      <c r="L273" s="651">
        <v>2</v>
      </c>
    </row>
    <row r="274" spans="2:12" s="651" customFormat="1" ht="26.4" x14ac:dyDescent="0.3">
      <c r="B274" s="959" t="s">
        <v>1554</v>
      </c>
      <c r="C274" s="957" t="s">
        <v>536</v>
      </c>
      <c r="D274" s="957">
        <v>2</v>
      </c>
      <c r="E274" s="957">
        <v>51</v>
      </c>
      <c r="F274" s="958">
        <v>62</v>
      </c>
      <c r="G274" s="957"/>
      <c r="H274" s="651">
        <v>103</v>
      </c>
      <c r="I274" s="651">
        <v>30</v>
      </c>
      <c r="J274" s="651">
        <v>0</v>
      </c>
      <c r="K274" s="651">
        <v>0</v>
      </c>
      <c r="L274" s="651">
        <v>248</v>
      </c>
    </row>
    <row r="275" spans="2:12" s="651" customFormat="1" ht="26.4" x14ac:dyDescent="0.3">
      <c r="B275" s="959" t="s">
        <v>1554</v>
      </c>
      <c r="C275" s="957" t="s">
        <v>1538</v>
      </c>
      <c r="D275" s="957"/>
      <c r="E275" s="957"/>
      <c r="F275" s="958"/>
      <c r="G275" s="957"/>
      <c r="J275" s="651">
        <v>0</v>
      </c>
      <c r="L275" s="651">
        <v>0</v>
      </c>
    </row>
    <row r="276" spans="2:12" s="651" customFormat="1" ht="26.4" x14ac:dyDescent="0.3">
      <c r="B276" s="959" t="s">
        <v>1554</v>
      </c>
      <c r="C276" s="957" t="s">
        <v>537</v>
      </c>
      <c r="D276" s="957">
        <v>12</v>
      </c>
      <c r="E276" s="957">
        <v>4</v>
      </c>
      <c r="F276" s="958">
        <v>25</v>
      </c>
      <c r="G276" s="957"/>
      <c r="H276" s="651">
        <v>7</v>
      </c>
      <c r="I276" s="651">
        <v>25</v>
      </c>
      <c r="J276" s="651">
        <v>46</v>
      </c>
      <c r="L276" s="651">
        <v>119</v>
      </c>
    </row>
    <row r="277" spans="2:12" s="651" customFormat="1" ht="26.4" x14ac:dyDescent="0.3">
      <c r="B277" s="959" t="s">
        <v>1554</v>
      </c>
      <c r="C277" s="957" t="s">
        <v>1539</v>
      </c>
      <c r="D277" s="957"/>
      <c r="E277" s="957"/>
      <c r="F277" s="958">
        <v>1</v>
      </c>
      <c r="G277" s="957"/>
      <c r="H277" s="651">
        <v>3</v>
      </c>
      <c r="I277" s="651">
        <v>5</v>
      </c>
      <c r="J277" s="651">
        <v>9</v>
      </c>
      <c r="L277" s="651">
        <v>18</v>
      </c>
    </row>
    <row r="278" spans="2:12" s="651" customFormat="1" ht="26.4" x14ac:dyDescent="0.3">
      <c r="B278" s="959" t="s">
        <v>1554</v>
      </c>
      <c r="C278" s="957" t="s">
        <v>1540</v>
      </c>
      <c r="D278" s="957"/>
      <c r="E278" s="957"/>
      <c r="F278" s="958">
        <v>27</v>
      </c>
      <c r="G278" s="957"/>
      <c r="H278" s="651">
        <v>4</v>
      </c>
      <c r="I278" s="651">
        <v>1</v>
      </c>
      <c r="J278" s="651">
        <v>1</v>
      </c>
      <c r="L278" s="651">
        <v>33</v>
      </c>
    </row>
    <row r="279" spans="2:12" s="651" customFormat="1" ht="26.4" x14ac:dyDescent="0.3">
      <c r="B279" s="959" t="s">
        <v>1554</v>
      </c>
      <c r="C279" s="957" t="s">
        <v>1571</v>
      </c>
      <c r="D279" s="957">
        <v>2</v>
      </c>
      <c r="E279" s="957">
        <v>4</v>
      </c>
      <c r="F279" s="958">
        <v>0</v>
      </c>
      <c r="G279" s="957"/>
      <c r="L279" s="651">
        <v>6</v>
      </c>
    </row>
    <row r="280" spans="2:12" s="651" customFormat="1" ht="26.4" x14ac:dyDescent="0.3">
      <c r="B280" s="959" t="s">
        <v>1572</v>
      </c>
      <c r="C280" s="957" t="s">
        <v>1573</v>
      </c>
      <c r="D280" s="957">
        <v>4</v>
      </c>
      <c r="E280" s="957"/>
      <c r="F280" s="958">
        <v>0</v>
      </c>
      <c r="G280" s="957"/>
      <c r="L280" s="651">
        <v>4</v>
      </c>
    </row>
    <row r="281" spans="2:12" s="651" customFormat="1" ht="26.4" x14ac:dyDescent="0.3">
      <c r="B281" s="959" t="s">
        <v>1572</v>
      </c>
      <c r="C281" s="957" t="s">
        <v>1559</v>
      </c>
      <c r="D281" s="957"/>
      <c r="E281" s="957"/>
      <c r="F281" s="958">
        <v>8</v>
      </c>
      <c r="G281" s="957"/>
      <c r="L281" s="651">
        <v>8</v>
      </c>
    </row>
    <row r="282" spans="2:12" s="651" customFormat="1" ht="26.4" x14ac:dyDescent="0.3">
      <c r="B282" s="959" t="s">
        <v>1572</v>
      </c>
      <c r="C282" s="957" t="s">
        <v>533</v>
      </c>
      <c r="D282" s="957">
        <v>2</v>
      </c>
      <c r="E282" s="957"/>
      <c r="F282" s="958">
        <v>6</v>
      </c>
      <c r="G282" s="957"/>
      <c r="H282" s="651">
        <v>1</v>
      </c>
      <c r="L282" s="651">
        <v>9</v>
      </c>
    </row>
    <row r="283" spans="2:12" s="651" customFormat="1" ht="26.4" x14ac:dyDescent="0.3">
      <c r="B283" s="959" t="s">
        <v>1572</v>
      </c>
      <c r="C283" s="957" t="s">
        <v>1560</v>
      </c>
      <c r="D283" s="957"/>
      <c r="E283" s="957"/>
      <c r="F283" s="958"/>
      <c r="G283" s="957"/>
      <c r="H283" s="651">
        <v>1</v>
      </c>
      <c r="L283" s="651">
        <v>1</v>
      </c>
    </row>
    <row r="284" spans="2:12" s="651" customFormat="1" ht="26.4" x14ac:dyDescent="0.3">
      <c r="B284" s="959" t="s">
        <v>1572</v>
      </c>
      <c r="C284" s="957" t="s">
        <v>1561</v>
      </c>
      <c r="D284" s="957">
        <v>2</v>
      </c>
      <c r="E284" s="957">
        <v>1</v>
      </c>
      <c r="F284" s="958">
        <v>0</v>
      </c>
      <c r="G284" s="957"/>
      <c r="L284" s="651">
        <v>3</v>
      </c>
    </row>
    <row r="285" spans="2:12" s="651" customFormat="1" ht="26.4" x14ac:dyDescent="0.3">
      <c r="B285" s="959" t="s">
        <v>1572</v>
      </c>
      <c r="C285" s="957" t="s">
        <v>611</v>
      </c>
      <c r="D285" s="957">
        <v>4</v>
      </c>
      <c r="E285" s="957">
        <v>1</v>
      </c>
      <c r="F285" s="958">
        <v>3</v>
      </c>
      <c r="G285" s="957"/>
      <c r="L285" s="651">
        <v>8</v>
      </c>
    </row>
    <row r="286" spans="2:12" s="651" customFormat="1" ht="26.4" x14ac:dyDescent="0.3">
      <c r="B286" s="959" t="s">
        <v>1572</v>
      </c>
      <c r="C286" s="957" t="s">
        <v>1562</v>
      </c>
      <c r="D286" s="957"/>
      <c r="E286" s="957">
        <v>2</v>
      </c>
      <c r="F286" s="958">
        <v>0</v>
      </c>
      <c r="G286" s="957"/>
      <c r="L286" s="651">
        <v>2</v>
      </c>
    </row>
    <row r="287" spans="2:12" s="651" customFormat="1" ht="26.4" x14ac:dyDescent="0.3">
      <c r="B287" s="959" t="s">
        <v>1572</v>
      </c>
      <c r="C287" s="957" t="s">
        <v>1563</v>
      </c>
      <c r="D287" s="957"/>
      <c r="E287" s="957"/>
      <c r="F287" s="958">
        <v>58</v>
      </c>
      <c r="G287" s="957"/>
      <c r="H287" s="651">
        <v>1</v>
      </c>
      <c r="I287" s="651">
        <v>2</v>
      </c>
      <c r="J287" s="651">
        <v>1</v>
      </c>
      <c r="L287" s="651">
        <v>62</v>
      </c>
    </row>
    <row r="288" spans="2:12" s="651" customFormat="1" ht="26.4" x14ac:dyDescent="0.3">
      <c r="B288" s="959" t="s">
        <v>1572</v>
      </c>
      <c r="C288" s="957" t="s">
        <v>534</v>
      </c>
      <c r="D288" s="957">
        <v>3</v>
      </c>
      <c r="E288" s="957">
        <v>2</v>
      </c>
      <c r="F288" s="958">
        <v>0</v>
      </c>
      <c r="G288" s="957"/>
      <c r="H288" s="651">
        <v>10</v>
      </c>
      <c r="I288" s="651">
        <v>17</v>
      </c>
      <c r="L288" s="651">
        <v>32</v>
      </c>
    </row>
    <row r="289" spans="2:12" s="651" customFormat="1" ht="26.4" x14ac:dyDescent="0.3">
      <c r="B289" s="959" t="s">
        <v>1572</v>
      </c>
      <c r="C289" s="957" t="s">
        <v>1574</v>
      </c>
      <c r="D289" s="957"/>
      <c r="E289" s="957"/>
      <c r="F289" s="958"/>
      <c r="G289" s="957"/>
      <c r="J289" s="651">
        <v>0</v>
      </c>
      <c r="L289" s="651">
        <v>0</v>
      </c>
    </row>
    <row r="290" spans="2:12" s="651" customFormat="1" ht="26.4" x14ac:dyDescent="0.3">
      <c r="B290" s="959" t="s">
        <v>1572</v>
      </c>
      <c r="C290" s="957" t="s">
        <v>1564</v>
      </c>
      <c r="D290" s="957">
        <v>6</v>
      </c>
      <c r="E290" s="957"/>
      <c r="F290" s="958">
        <v>0</v>
      </c>
      <c r="G290" s="957"/>
      <c r="L290" s="651">
        <v>6</v>
      </c>
    </row>
    <row r="291" spans="2:12" s="651" customFormat="1" ht="26.4" x14ac:dyDescent="0.3">
      <c r="B291" s="959" t="s">
        <v>1572</v>
      </c>
      <c r="C291" s="957" t="s">
        <v>1566</v>
      </c>
      <c r="D291" s="957"/>
      <c r="E291" s="957">
        <v>3</v>
      </c>
      <c r="F291" s="958">
        <v>0</v>
      </c>
      <c r="G291" s="957"/>
      <c r="L291" s="651">
        <v>3</v>
      </c>
    </row>
    <row r="292" spans="2:12" s="651" customFormat="1" ht="26.4" x14ac:dyDescent="0.3">
      <c r="B292" s="959" t="s">
        <v>1572</v>
      </c>
      <c r="C292" s="957" t="s">
        <v>1575</v>
      </c>
      <c r="D292" s="957">
        <v>1</v>
      </c>
      <c r="E292" s="957">
        <v>34</v>
      </c>
      <c r="F292" s="958">
        <v>0</v>
      </c>
      <c r="G292" s="957"/>
      <c r="L292" s="651">
        <v>35</v>
      </c>
    </row>
    <row r="293" spans="2:12" s="651" customFormat="1" ht="26.4" x14ac:dyDescent="0.3">
      <c r="B293" s="959" t="s">
        <v>1572</v>
      </c>
      <c r="C293" s="957" t="s">
        <v>1567</v>
      </c>
      <c r="D293" s="957">
        <v>1</v>
      </c>
      <c r="E293" s="957"/>
      <c r="F293" s="958">
        <v>0</v>
      </c>
      <c r="G293" s="957"/>
      <c r="L293" s="651">
        <v>1</v>
      </c>
    </row>
    <row r="294" spans="2:12" s="651" customFormat="1" ht="26.4" x14ac:dyDescent="0.3">
      <c r="B294" s="959" t="s">
        <v>1572</v>
      </c>
      <c r="C294" s="957" t="s">
        <v>1533</v>
      </c>
      <c r="D294" s="957">
        <v>62</v>
      </c>
      <c r="E294" s="957">
        <v>4</v>
      </c>
      <c r="F294" s="958">
        <v>0</v>
      </c>
      <c r="G294" s="957"/>
      <c r="J294" s="651">
        <v>206</v>
      </c>
      <c r="K294" s="651">
        <v>63</v>
      </c>
      <c r="L294" s="651">
        <v>335</v>
      </c>
    </row>
    <row r="295" spans="2:12" s="651" customFormat="1" ht="26.4" x14ac:dyDescent="0.3">
      <c r="B295" s="959" t="s">
        <v>1572</v>
      </c>
      <c r="C295" s="957" t="s">
        <v>1534</v>
      </c>
      <c r="D295" s="957">
        <v>3</v>
      </c>
      <c r="E295" s="957"/>
      <c r="F295" s="958">
        <v>0</v>
      </c>
      <c r="G295" s="957"/>
      <c r="H295" s="651">
        <v>1</v>
      </c>
      <c r="I295" s="651">
        <v>2</v>
      </c>
      <c r="L295" s="651">
        <v>6</v>
      </c>
    </row>
    <row r="296" spans="2:12" s="651" customFormat="1" ht="26.4" x14ac:dyDescent="0.3">
      <c r="B296" s="959" t="s">
        <v>1572</v>
      </c>
      <c r="C296" s="957" t="s">
        <v>1576</v>
      </c>
      <c r="D296" s="957"/>
      <c r="E296" s="957">
        <v>2</v>
      </c>
      <c r="F296" s="958">
        <v>0</v>
      </c>
      <c r="G296" s="957"/>
      <c r="L296" s="651">
        <v>2</v>
      </c>
    </row>
    <row r="297" spans="2:12" s="651" customFormat="1" ht="26.4" x14ac:dyDescent="0.3">
      <c r="B297" s="959" t="s">
        <v>1572</v>
      </c>
      <c r="C297" s="957" t="s">
        <v>128</v>
      </c>
      <c r="D297" s="957">
        <v>2</v>
      </c>
      <c r="E297" s="957">
        <v>3</v>
      </c>
      <c r="F297" s="958">
        <v>0</v>
      </c>
      <c r="G297" s="957"/>
      <c r="L297" s="651">
        <v>5</v>
      </c>
    </row>
    <row r="298" spans="2:12" s="651" customFormat="1" ht="26.4" x14ac:dyDescent="0.3">
      <c r="B298" s="959" t="s">
        <v>1572</v>
      </c>
      <c r="C298" s="957" t="s">
        <v>1568</v>
      </c>
      <c r="D298" s="957">
        <v>18</v>
      </c>
      <c r="E298" s="957"/>
      <c r="F298" s="958">
        <v>0</v>
      </c>
      <c r="G298" s="957"/>
      <c r="L298" s="651">
        <v>18</v>
      </c>
    </row>
    <row r="299" spans="2:12" s="651" customFormat="1" ht="26.4" x14ac:dyDescent="0.3">
      <c r="B299" s="959" t="s">
        <v>1572</v>
      </c>
      <c r="C299" s="957" t="s">
        <v>1535</v>
      </c>
      <c r="D299" s="957"/>
      <c r="E299" s="957"/>
      <c r="F299" s="958"/>
      <c r="G299" s="957"/>
      <c r="J299" s="651">
        <v>35</v>
      </c>
      <c r="L299" s="651">
        <v>35</v>
      </c>
    </row>
    <row r="300" spans="2:12" s="651" customFormat="1" ht="26.4" x14ac:dyDescent="0.3">
      <c r="B300" s="959" t="s">
        <v>1572</v>
      </c>
      <c r="C300" s="957" t="s">
        <v>1558</v>
      </c>
      <c r="D300" s="957"/>
      <c r="E300" s="957"/>
      <c r="F300" s="958">
        <v>30</v>
      </c>
      <c r="G300" s="957"/>
      <c r="H300" s="651">
        <v>7</v>
      </c>
      <c r="L300" s="651">
        <v>37</v>
      </c>
    </row>
    <row r="301" spans="2:12" s="651" customFormat="1" ht="26.4" x14ac:dyDescent="0.3">
      <c r="B301" s="959" t="s">
        <v>1572</v>
      </c>
      <c r="C301" s="957" t="s">
        <v>1569</v>
      </c>
      <c r="D301" s="957"/>
      <c r="E301" s="957"/>
      <c r="F301" s="958">
        <v>117</v>
      </c>
      <c r="G301" s="957"/>
      <c r="L301" s="651">
        <v>117</v>
      </c>
    </row>
    <row r="302" spans="2:12" s="651" customFormat="1" ht="26.4" x14ac:dyDescent="0.3">
      <c r="B302" s="959" t="s">
        <v>1572</v>
      </c>
      <c r="C302" s="957" t="s">
        <v>1577</v>
      </c>
      <c r="D302" s="957"/>
      <c r="E302" s="957"/>
      <c r="F302" s="958"/>
      <c r="G302" s="957"/>
      <c r="J302" s="651">
        <v>0</v>
      </c>
      <c r="L302" s="651">
        <v>0</v>
      </c>
    </row>
    <row r="303" spans="2:12" s="651" customFormat="1" ht="26.4" x14ac:dyDescent="0.3">
      <c r="B303" s="959" t="s">
        <v>1572</v>
      </c>
      <c r="C303" s="957" t="s">
        <v>1536</v>
      </c>
      <c r="D303" s="957"/>
      <c r="E303" s="957"/>
      <c r="F303" s="958">
        <v>30</v>
      </c>
      <c r="G303" s="957"/>
      <c r="H303" s="651">
        <v>1</v>
      </c>
      <c r="I303" s="651">
        <v>2</v>
      </c>
      <c r="J303" s="651">
        <v>2</v>
      </c>
      <c r="K303" s="651">
        <v>10</v>
      </c>
      <c r="L303" s="651">
        <v>45</v>
      </c>
    </row>
    <row r="304" spans="2:12" s="651" customFormat="1" ht="26.4" x14ac:dyDescent="0.3">
      <c r="B304" s="959" t="s">
        <v>1572</v>
      </c>
      <c r="C304" s="957" t="s">
        <v>1537</v>
      </c>
      <c r="D304" s="957"/>
      <c r="E304" s="957"/>
      <c r="F304" s="958"/>
      <c r="G304" s="957"/>
      <c r="H304" s="651">
        <v>1</v>
      </c>
      <c r="I304" s="651">
        <v>2</v>
      </c>
      <c r="J304" s="651">
        <v>3</v>
      </c>
      <c r="K304" s="651">
        <v>0</v>
      </c>
      <c r="L304" s="651">
        <v>6</v>
      </c>
    </row>
    <row r="305" spans="2:12" s="651" customFormat="1" ht="26.4" x14ac:dyDescent="0.3">
      <c r="B305" s="959" t="s">
        <v>1572</v>
      </c>
      <c r="C305" s="957" t="s">
        <v>1578</v>
      </c>
      <c r="D305" s="957"/>
      <c r="E305" s="957"/>
      <c r="F305" s="958"/>
      <c r="G305" s="957"/>
      <c r="K305" s="651">
        <v>0</v>
      </c>
      <c r="L305" s="651">
        <v>0</v>
      </c>
    </row>
    <row r="306" spans="2:12" s="651" customFormat="1" ht="26.4" x14ac:dyDescent="0.3">
      <c r="B306" s="959" t="s">
        <v>1572</v>
      </c>
      <c r="C306" s="957" t="s">
        <v>535</v>
      </c>
      <c r="D306" s="957">
        <v>3</v>
      </c>
      <c r="E306" s="957">
        <v>9</v>
      </c>
      <c r="F306" s="958">
        <v>252</v>
      </c>
      <c r="G306" s="957"/>
      <c r="H306" s="651">
        <v>192</v>
      </c>
      <c r="I306" s="651">
        <v>106</v>
      </c>
      <c r="J306" s="651">
        <v>128</v>
      </c>
      <c r="K306" s="651">
        <v>18</v>
      </c>
      <c r="L306" s="651">
        <v>708</v>
      </c>
    </row>
    <row r="307" spans="2:12" s="651" customFormat="1" ht="26.4" x14ac:dyDescent="0.3">
      <c r="B307" s="959" t="s">
        <v>1572</v>
      </c>
      <c r="C307" s="957" t="s">
        <v>536</v>
      </c>
      <c r="D307" s="957">
        <v>5</v>
      </c>
      <c r="E307" s="957">
        <v>12</v>
      </c>
      <c r="F307" s="958">
        <v>107</v>
      </c>
      <c r="G307" s="957"/>
      <c r="H307" s="651">
        <v>2</v>
      </c>
      <c r="I307" s="651">
        <v>88</v>
      </c>
      <c r="J307" s="651">
        <v>0</v>
      </c>
      <c r="K307" s="651">
        <v>0</v>
      </c>
      <c r="L307" s="651">
        <v>214</v>
      </c>
    </row>
    <row r="308" spans="2:12" s="651" customFormat="1" ht="26.4" x14ac:dyDescent="0.3">
      <c r="B308" s="959" t="s">
        <v>1572</v>
      </c>
      <c r="C308" s="957" t="s">
        <v>1538</v>
      </c>
      <c r="D308" s="957"/>
      <c r="E308" s="957"/>
      <c r="F308" s="958"/>
      <c r="G308" s="957"/>
      <c r="J308" s="651">
        <v>0</v>
      </c>
      <c r="K308" s="651">
        <v>0</v>
      </c>
      <c r="L308" s="651">
        <v>0</v>
      </c>
    </row>
    <row r="309" spans="2:12" s="651" customFormat="1" ht="26.4" x14ac:dyDescent="0.3">
      <c r="B309" s="959" t="s">
        <v>1572</v>
      </c>
      <c r="C309" s="957" t="s">
        <v>537</v>
      </c>
      <c r="D309" s="957">
        <v>10</v>
      </c>
      <c r="E309" s="957">
        <v>11</v>
      </c>
      <c r="F309" s="958">
        <v>126</v>
      </c>
      <c r="G309" s="957"/>
      <c r="H309" s="651">
        <v>40</v>
      </c>
      <c r="I309" s="651">
        <v>40</v>
      </c>
      <c r="J309" s="651">
        <v>75</v>
      </c>
      <c r="K309" s="651">
        <v>19</v>
      </c>
      <c r="L309" s="651">
        <v>321</v>
      </c>
    </row>
    <row r="310" spans="2:12" s="651" customFormat="1" ht="26.4" x14ac:dyDescent="0.3">
      <c r="B310" s="959" t="s">
        <v>1572</v>
      </c>
      <c r="C310" s="957" t="s">
        <v>1539</v>
      </c>
      <c r="D310" s="957"/>
      <c r="E310" s="957"/>
      <c r="F310" s="958">
        <v>28</v>
      </c>
      <c r="G310" s="957"/>
      <c r="H310" s="651">
        <v>15</v>
      </c>
      <c r="I310" s="651">
        <v>4</v>
      </c>
      <c r="J310" s="651">
        <v>12</v>
      </c>
      <c r="K310" s="651">
        <v>1</v>
      </c>
      <c r="L310" s="651">
        <v>60</v>
      </c>
    </row>
    <row r="311" spans="2:12" s="651" customFormat="1" ht="26.4" x14ac:dyDescent="0.3">
      <c r="B311" s="959" t="s">
        <v>1572</v>
      </c>
      <c r="C311" s="957" t="s">
        <v>1540</v>
      </c>
      <c r="D311" s="957"/>
      <c r="E311" s="957"/>
      <c r="F311" s="958">
        <v>23</v>
      </c>
      <c r="G311" s="957"/>
      <c r="H311" s="651">
        <v>32</v>
      </c>
      <c r="I311" s="651">
        <v>2</v>
      </c>
      <c r="J311" s="651">
        <v>9</v>
      </c>
      <c r="L311" s="651">
        <v>66</v>
      </c>
    </row>
    <row r="312" spans="2:12" s="651" customFormat="1" ht="26.4" x14ac:dyDescent="0.3">
      <c r="B312" s="959" t="s">
        <v>1572</v>
      </c>
      <c r="C312" s="957" t="s">
        <v>1541</v>
      </c>
      <c r="D312" s="957"/>
      <c r="E312" s="957"/>
      <c r="F312" s="958"/>
      <c r="G312" s="957"/>
      <c r="J312" s="651">
        <v>14</v>
      </c>
      <c r="K312" s="651">
        <v>0</v>
      </c>
      <c r="L312" s="651">
        <v>14</v>
      </c>
    </row>
    <row r="313" spans="2:12" s="651" customFormat="1" ht="26.4" x14ac:dyDescent="0.3">
      <c r="B313" s="959" t="s">
        <v>1572</v>
      </c>
      <c r="C313" s="957" t="s">
        <v>1571</v>
      </c>
      <c r="D313" s="957">
        <v>2</v>
      </c>
      <c r="E313" s="957">
        <v>3</v>
      </c>
      <c r="F313" s="958">
        <v>0</v>
      </c>
      <c r="G313" s="957"/>
      <c r="L313" s="651">
        <v>5</v>
      </c>
    </row>
    <row r="314" spans="2:12" s="651" customFormat="1" ht="26.4" x14ac:dyDescent="0.3">
      <c r="B314" s="959" t="s">
        <v>1572</v>
      </c>
      <c r="C314" s="957" t="s">
        <v>1559</v>
      </c>
      <c r="D314" s="957"/>
      <c r="E314" s="957"/>
      <c r="F314" s="958">
        <v>2</v>
      </c>
      <c r="G314" s="957"/>
      <c r="L314" s="651">
        <v>2</v>
      </c>
    </row>
    <row r="315" spans="2:12" s="651" customFormat="1" ht="26.4" x14ac:dyDescent="0.3">
      <c r="B315" s="959" t="s">
        <v>1572</v>
      </c>
      <c r="C315" s="957" t="s">
        <v>533</v>
      </c>
      <c r="D315" s="957">
        <v>12</v>
      </c>
      <c r="E315" s="957"/>
      <c r="F315" s="958">
        <v>0</v>
      </c>
      <c r="G315" s="957"/>
      <c r="L315" s="651">
        <v>12</v>
      </c>
    </row>
    <row r="316" spans="2:12" s="651" customFormat="1" ht="26.4" x14ac:dyDescent="0.3">
      <c r="B316" s="959" t="s">
        <v>1572</v>
      </c>
      <c r="C316" s="957" t="s">
        <v>1579</v>
      </c>
      <c r="D316" s="957"/>
      <c r="E316" s="957">
        <v>2</v>
      </c>
      <c r="F316" s="958">
        <v>0</v>
      </c>
      <c r="G316" s="957"/>
      <c r="L316" s="651">
        <v>2</v>
      </c>
    </row>
    <row r="317" spans="2:12" s="651" customFormat="1" ht="26.4" x14ac:dyDescent="0.3">
      <c r="B317" s="959" t="s">
        <v>1572</v>
      </c>
      <c r="C317" s="957" t="s">
        <v>1580</v>
      </c>
      <c r="D317" s="957">
        <v>4</v>
      </c>
      <c r="E317" s="957"/>
      <c r="F317" s="958">
        <v>0</v>
      </c>
      <c r="G317" s="957"/>
      <c r="L317" s="651">
        <v>4</v>
      </c>
    </row>
    <row r="318" spans="2:12" s="651" customFormat="1" ht="26.4" x14ac:dyDescent="0.3">
      <c r="B318" s="959" t="s">
        <v>1572</v>
      </c>
      <c r="C318" s="957" t="s">
        <v>152</v>
      </c>
      <c r="D318" s="957">
        <v>1</v>
      </c>
      <c r="E318" s="957"/>
      <c r="F318" s="958">
        <v>0</v>
      </c>
      <c r="G318" s="957"/>
      <c r="L318" s="651">
        <v>1</v>
      </c>
    </row>
    <row r="319" spans="2:12" s="651" customFormat="1" ht="26.4" x14ac:dyDescent="0.3">
      <c r="B319" s="959" t="s">
        <v>1572</v>
      </c>
      <c r="C319" s="957" t="s">
        <v>609</v>
      </c>
      <c r="D319" s="957"/>
      <c r="E319" s="957">
        <v>1</v>
      </c>
      <c r="F319" s="958">
        <v>0</v>
      </c>
      <c r="G319" s="957"/>
      <c r="L319" s="651">
        <v>1</v>
      </c>
    </row>
    <row r="320" spans="2:12" s="651" customFormat="1" ht="26.4" x14ac:dyDescent="0.3">
      <c r="B320" s="959" t="s">
        <v>1572</v>
      </c>
      <c r="C320" s="957" t="s">
        <v>1561</v>
      </c>
      <c r="D320" s="957"/>
      <c r="E320" s="957">
        <v>3</v>
      </c>
      <c r="F320" s="958">
        <v>0</v>
      </c>
      <c r="G320" s="957"/>
      <c r="L320" s="651">
        <v>3</v>
      </c>
    </row>
    <row r="321" spans="2:12" s="651" customFormat="1" ht="26.4" x14ac:dyDescent="0.3">
      <c r="B321" s="959" t="s">
        <v>1572</v>
      </c>
      <c r="C321" s="957" t="s">
        <v>611</v>
      </c>
      <c r="D321" s="957">
        <v>9</v>
      </c>
      <c r="E321" s="957"/>
      <c r="F321" s="958">
        <v>0</v>
      </c>
      <c r="G321" s="957"/>
      <c r="J321" s="651">
        <v>0</v>
      </c>
      <c r="L321" s="651">
        <v>9</v>
      </c>
    </row>
    <row r="322" spans="2:12" s="651" customFormat="1" ht="26.4" x14ac:dyDescent="0.3">
      <c r="B322" s="959" t="s">
        <v>1572</v>
      </c>
      <c r="C322" s="957" t="s">
        <v>1562</v>
      </c>
      <c r="D322" s="957">
        <v>1</v>
      </c>
      <c r="E322" s="957"/>
      <c r="F322" s="958">
        <v>0</v>
      </c>
      <c r="G322" s="957"/>
      <c r="L322" s="651">
        <v>1</v>
      </c>
    </row>
    <row r="323" spans="2:12" s="651" customFormat="1" ht="26.4" x14ac:dyDescent="0.3">
      <c r="B323" s="959" t="s">
        <v>1572</v>
      </c>
      <c r="C323" s="957" t="s">
        <v>1563</v>
      </c>
      <c r="D323" s="957"/>
      <c r="E323" s="957"/>
      <c r="F323" s="958">
        <v>6</v>
      </c>
      <c r="G323" s="957"/>
      <c r="H323" s="651">
        <v>5</v>
      </c>
      <c r="J323" s="651">
        <v>3</v>
      </c>
      <c r="L323" s="651">
        <v>14</v>
      </c>
    </row>
    <row r="324" spans="2:12" s="651" customFormat="1" ht="26.4" x14ac:dyDescent="0.3">
      <c r="B324" s="959" t="s">
        <v>1572</v>
      </c>
      <c r="C324" s="957" t="s">
        <v>534</v>
      </c>
      <c r="D324" s="957">
        <v>7</v>
      </c>
      <c r="E324" s="957">
        <v>5</v>
      </c>
      <c r="F324" s="958">
        <v>0</v>
      </c>
      <c r="G324" s="957"/>
      <c r="H324" s="651">
        <v>9</v>
      </c>
      <c r="I324" s="651">
        <v>1</v>
      </c>
      <c r="L324" s="651">
        <v>22</v>
      </c>
    </row>
    <row r="325" spans="2:12" s="651" customFormat="1" ht="26.4" x14ac:dyDescent="0.3">
      <c r="B325" s="959" t="s">
        <v>1572</v>
      </c>
      <c r="C325" s="957" t="s">
        <v>1564</v>
      </c>
      <c r="D325" s="957">
        <v>16</v>
      </c>
      <c r="E325" s="957"/>
      <c r="F325" s="958">
        <v>0</v>
      </c>
      <c r="G325" s="957"/>
      <c r="L325" s="651">
        <v>16</v>
      </c>
    </row>
    <row r="326" spans="2:12" s="651" customFormat="1" ht="26.4" x14ac:dyDescent="0.3">
      <c r="B326" s="959" t="s">
        <v>1572</v>
      </c>
      <c r="C326" s="957" t="s">
        <v>1581</v>
      </c>
      <c r="D326" s="957"/>
      <c r="E326" s="957">
        <v>2</v>
      </c>
      <c r="F326" s="958">
        <v>0</v>
      </c>
      <c r="G326" s="957"/>
      <c r="L326" s="651">
        <v>2</v>
      </c>
    </row>
    <row r="327" spans="2:12" s="651" customFormat="1" ht="26.4" x14ac:dyDescent="0.3">
      <c r="B327" s="959" t="s">
        <v>1572</v>
      </c>
      <c r="C327" s="957" t="s">
        <v>1565</v>
      </c>
      <c r="D327" s="957">
        <v>4</v>
      </c>
      <c r="E327" s="957"/>
      <c r="F327" s="958">
        <v>0</v>
      </c>
      <c r="G327" s="957"/>
      <c r="L327" s="651">
        <v>4</v>
      </c>
    </row>
    <row r="328" spans="2:12" s="651" customFormat="1" ht="26.4" x14ac:dyDescent="0.3">
      <c r="B328" s="959" t="s">
        <v>1572</v>
      </c>
      <c r="C328" s="957" t="s">
        <v>1582</v>
      </c>
      <c r="D328" s="957">
        <v>7</v>
      </c>
      <c r="E328" s="957"/>
      <c r="F328" s="958">
        <v>0</v>
      </c>
      <c r="G328" s="957"/>
      <c r="L328" s="651">
        <v>7</v>
      </c>
    </row>
    <row r="329" spans="2:12" s="651" customFormat="1" ht="26.4" x14ac:dyDescent="0.3">
      <c r="B329" s="959" t="s">
        <v>1572</v>
      </c>
      <c r="C329" s="957" t="s">
        <v>1566</v>
      </c>
      <c r="D329" s="957"/>
      <c r="E329" s="957">
        <v>10</v>
      </c>
      <c r="F329" s="958">
        <v>0</v>
      </c>
      <c r="G329" s="957"/>
      <c r="L329" s="651">
        <v>10</v>
      </c>
    </row>
    <row r="330" spans="2:12" s="651" customFormat="1" ht="26.4" x14ac:dyDescent="0.3">
      <c r="B330" s="959" t="s">
        <v>1572</v>
      </c>
      <c r="C330" s="957" t="s">
        <v>1575</v>
      </c>
      <c r="D330" s="957">
        <v>1</v>
      </c>
      <c r="E330" s="957">
        <v>5</v>
      </c>
      <c r="F330" s="958">
        <v>0</v>
      </c>
      <c r="G330" s="957"/>
      <c r="L330" s="651">
        <v>6</v>
      </c>
    </row>
    <row r="331" spans="2:12" s="651" customFormat="1" ht="26.4" x14ac:dyDescent="0.3">
      <c r="B331" s="959" t="s">
        <v>1572</v>
      </c>
      <c r="C331" s="957" t="s">
        <v>1567</v>
      </c>
      <c r="D331" s="957">
        <v>3</v>
      </c>
      <c r="E331" s="957"/>
      <c r="F331" s="958">
        <v>0</v>
      </c>
      <c r="G331" s="957"/>
      <c r="L331" s="651">
        <v>3</v>
      </c>
    </row>
    <row r="332" spans="2:12" s="651" customFormat="1" ht="26.4" x14ac:dyDescent="0.3">
      <c r="B332" s="959" t="s">
        <v>1572</v>
      </c>
      <c r="C332" s="957" t="s">
        <v>1533</v>
      </c>
      <c r="D332" s="957">
        <v>231</v>
      </c>
      <c r="E332" s="957">
        <v>18</v>
      </c>
      <c r="F332" s="958">
        <v>0</v>
      </c>
      <c r="G332" s="957"/>
      <c r="J332" s="651">
        <v>74</v>
      </c>
      <c r="L332" s="651">
        <v>323</v>
      </c>
    </row>
    <row r="333" spans="2:12" s="651" customFormat="1" ht="26.4" x14ac:dyDescent="0.3">
      <c r="B333" s="959" t="s">
        <v>1572</v>
      </c>
      <c r="C333" s="957" t="s">
        <v>1534</v>
      </c>
      <c r="D333" s="957">
        <v>4</v>
      </c>
      <c r="E333" s="957"/>
      <c r="F333" s="958">
        <v>0</v>
      </c>
      <c r="G333" s="957"/>
      <c r="H333" s="651">
        <v>1</v>
      </c>
      <c r="J333" s="651">
        <v>4</v>
      </c>
      <c r="L333" s="651">
        <v>9</v>
      </c>
    </row>
    <row r="334" spans="2:12" s="651" customFormat="1" ht="26.4" x14ac:dyDescent="0.3">
      <c r="B334" s="959" t="s">
        <v>1572</v>
      </c>
      <c r="C334" s="957" t="s">
        <v>549</v>
      </c>
      <c r="D334" s="957">
        <v>3</v>
      </c>
      <c r="E334" s="957"/>
      <c r="F334" s="958">
        <v>0</v>
      </c>
      <c r="G334" s="957"/>
      <c r="L334" s="651">
        <v>3</v>
      </c>
    </row>
    <row r="335" spans="2:12" s="651" customFormat="1" ht="26.4" x14ac:dyDescent="0.3">
      <c r="B335" s="959" t="s">
        <v>1572</v>
      </c>
      <c r="C335" s="957" t="s">
        <v>1576</v>
      </c>
      <c r="D335" s="957">
        <v>3</v>
      </c>
      <c r="E335" s="957"/>
      <c r="F335" s="958">
        <v>0</v>
      </c>
      <c r="G335" s="957"/>
      <c r="L335" s="651">
        <v>3</v>
      </c>
    </row>
    <row r="336" spans="2:12" s="651" customFormat="1" ht="26.4" x14ac:dyDescent="0.3">
      <c r="B336" s="959" t="s">
        <v>1572</v>
      </c>
      <c r="C336" s="957" t="s">
        <v>128</v>
      </c>
      <c r="D336" s="957"/>
      <c r="E336" s="957">
        <v>2</v>
      </c>
      <c r="F336" s="958">
        <v>2</v>
      </c>
      <c r="G336" s="957"/>
      <c r="L336" s="651">
        <v>4</v>
      </c>
    </row>
    <row r="337" spans="2:12" s="651" customFormat="1" ht="26.4" x14ac:dyDescent="0.3">
      <c r="B337" s="959" t="s">
        <v>1572</v>
      </c>
      <c r="C337" s="957" t="s">
        <v>1568</v>
      </c>
      <c r="D337" s="957">
        <v>12</v>
      </c>
      <c r="E337" s="957"/>
      <c r="F337" s="958">
        <v>0</v>
      </c>
      <c r="G337" s="957"/>
      <c r="L337" s="651">
        <v>12</v>
      </c>
    </row>
    <row r="338" spans="2:12" s="651" customFormat="1" ht="26.4" x14ac:dyDescent="0.3">
      <c r="B338" s="959" t="s">
        <v>1572</v>
      </c>
      <c r="C338" s="957" t="s">
        <v>1535</v>
      </c>
      <c r="D338" s="957"/>
      <c r="E338" s="957"/>
      <c r="F338" s="958"/>
      <c r="G338" s="957"/>
      <c r="J338" s="651">
        <v>46</v>
      </c>
      <c r="L338" s="651">
        <v>46</v>
      </c>
    </row>
    <row r="339" spans="2:12" s="651" customFormat="1" ht="26.4" x14ac:dyDescent="0.3">
      <c r="B339" s="959" t="s">
        <v>1572</v>
      </c>
      <c r="C339" s="957" t="s">
        <v>1558</v>
      </c>
      <c r="D339" s="957"/>
      <c r="E339" s="957"/>
      <c r="F339" s="958">
        <v>4</v>
      </c>
      <c r="G339" s="957"/>
      <c r="H339" s="651">
        <v>1</v>
      </c>
      <c r="J339" s="651">
        <v>6</v>
      </c>
      <c r="L339" s="651">
        <v>11</v>
      </c>
    </row>
    <row r="340" spans="2:12" s="651" customFormat="1" ht="26.4" x14ac:dyDescent="0.3">
      <c r="B340" s="959" t="s">
        <v>1572</v>
      </c>
      <c r="C340" s="957" t="s">
        <v>1569</v>
      </c>
      <c r="D340" s="957">
        <v>4</v>
      </c>
      <c r="E340" s="957"/>
      <c r="F340" s="958">
        <v>4</v>
      </c>
      <c r="G340" s="957"/>
      <c r="H340" s="651">
        <v>6</v>
      </c>
      <c r="L340" s="651">
        <v>14</v>
      </c>
    </row>
    <row r="341" spans="2:12" s="651" customFormat="1" ht="26.4" x14ac:dyDescent="0.3">
      <c r="B341" s="959" t="s">
        <v>1572</v>
      </c>
      <c r="C341" s="957" t="s">
        <v>186</v>
      </c>
      <c r="D341" s="957">
        <v>1</v>
      </c>
      <c r="E341" s="957"/>
      <c r="F341" s="958">
        <v>0</v>
      </c>
      <c r="G341" s="957"/>
      <c r="L341" s="651">
        <v>1</v>
      </c>
    </row>
    <row r="342" spans="2:12" s="651" customFormat="1" ht="26.4" x14ac:dyDescent="0.3">
      <c r="B342" s="959" t="s">
        <v>1572</v>
      </c>
      <c r="C342" s="957" t="s">
        <v>1583</v>
      </c>
      <c r="D342" s="957">
        <v>2</v>
      </c>
      <c r="E342" s="957"/>
      <c r="F342" s="958">
        <v>0</v>
      </c>
      <c r="G342" s="957"/>
      <c r="L342" s="651">
        <v>2</v>
      </c>
    </row>
    <row r="343" spans="2:12" s="651" customFormat="1" ht="26.4" x14ac:dyDescent="0.3">
      <c r="B343" s="959" t="s">
        <v>1572</v>
      </c>
      <c r="C343" s="957" t="s">
        <v>1584</v>
      </c>
      <c r="D343" s="957">
        <v>2</v>
      </c>
      <c r="E343" s="957"/>
      <c r="F343" s="958">
        <v>0</v>
      </c>
      <c r="G343" s="957"/>
      <c r="L343" s="651">
        <v>2</v>
      </c>
    </row>
    <row r="344" spans="2:12" s="651" customFormat="1" ht="26.4" x14ac:dyDescent="0.3">
      <c r="B344" s="959" t="s">
        <v>1572</v>
      </c>
      <c r="C344" s="957" t="s">
        <v>1536</v>
      </c>
      <c r="D344" s="957"/>
      <c r="E344" s="957"/>
      <c r="F344" s="958"/>
      <c r="G344" s="957"/>
      <c r="H344" s="651">
        <v>5</v>
      </c>
      <c r="I344" s="651">
        <v>2</v>
      </c>
      <c r="L344" s="651">
        <v>7</v>
      </c>
    </row>
    <row r="345" spans="2:12" s="651" customFormat="1" ht="26.4" x14ac:dyDescent="0.3">
      <c r="B345" s="959" t="s">
        <v>1572</v>
      </c>
      <c r="C345" s="957" t="s">
        <v>1537</v>
      </c>
      <c r="D345" s="957"/>
      <c r="E345" s="957"/>
      <c r="F345" s="958"/>
      <c r="G345" s="957"/>
      <c r="J345" s="651">
        <v>4</v>
      </c>
      <c r="L345" s="651">
        <v>4</v>
      </c>
    </row>
    <row r="346" spans="2:12" s="651" customFormat="1" ht="26.4" x14ac:dyDescent="0.3">
      <c r="B346" s="959" t="s">
        <v>1572</v>
      </c>
      <c r="C346" s="957" t="s">
        <v>1585</v>
      </c>
      <c r="D346" s="957">
        <v>4</v>
      </c>
      <c r="E346" s="957"/>
      <c r="F346" s="958">
        <v>0</v>
      </c>
      <c r="G346" s="957"/>
      <c r="L346" s="651">
        <v>4</v>
      </c>
    </row>
    <row r="347" spans="2:12" s="651" customFormat="1" ht="26.4" x14ac:dyDescent="0.3">
      <c r="B347" s="959" t="s">
        <v>1572</v>
      </c>
      <c r="C347" s="957" t="s">
        <v>535</v>
      </c>
      <c r="D347" s="957">
        <v>17</v>
      </c>
      <c r="E347" s="957">
        <v>19</v>
      </c>
      <c r="F347" s="958">
        <v>38</v>
      </c>
      <c r="G347" s="957"/>
      <c r="H347" s="651">
        <v>479</v>
      </c>
      <c r="I347" s="651">
        <v>20</v>
      </c>
      <c r="J347" s="651">
        <v>1</v>
      </c>
      <c r="L347" s="651">
        <v>574</v>
      </c>
    </row>
    <row r="348" spans="2:12" s="651" customFormat="1" ht="26.4" x14ac:dyDescent="0.3">
      <c r="B348" s="959" t="s">
        <v>1572</v>
      </c>
      <c r="C348" s="957" t="s">
        <v>1570</v>
      </c>
      <c r="D348" s="957">
        <v>1</v>
      </c>
      <c r="E348" s="957"/>
      <c r="F348" s="958">
        <v>0</v>
      </c>
      <c r="G348" s="957"/>
      <c r="L348" s="651">
        <v>1</v>
      </c>
    </row>
    <row r="349" spans="2:12" s="651" customFormat="1" ht="26.4" x14ac:dyDescent="0.3">
      <c r="B349" s="959" t="s">
        <v>1572</v>
      </c>
      <c r="C349" s="957" t="s">
        <v>536</v>
      </c>
      <c r="D349" s="957">
        <v>5</v>
      </c>
      <c r="E349" s="957">
        <v>5</v>
      </c>
      <c r="F349" s="958">
        <v>0</v>
      </c>
      <c r="G349" s="957"/>
      <c r="H349" s="651">
        <v>470</v>
      </c>
      <c r="I349" s="651">
        <v>67</v>
      </c>
      <c r="J349" s="651">
        <v>0</v>
      </c>
      <c r="L349" s="651">
        <v>547</v>
      </c>
    </row>
    <row r="350" spans="2:12" s="651" customFormat="1" ht="26.4" x14ac:dyDescent="0.3">
      <c r="B350" s="959" t="s">
        <v>1572</v>
      </c>
      <c r="C350" s="957" t="s">
        <v>1538</v>
      </c>
      <c r="D350" s="957"/>
      <c r="E350" s="957"/>
      <c r="F350" s="958"/>
      <c r="G350" s="957"/>
      <c r="J350" s="651">
        <v>0</v>
      </c>
      <c r="L350" s="651">
        <v>0</v>
      </c>
    </row>
    <row r="351" spans="2:12" s="651" customFormat="1" ht="26.4" x14ac:dyDescent="0.3">
      <c r="B351" s="959" t="s">
        <v>1572</v>
      </c>
      <c r="C351" s="957" t="s">
        <v>537</v>
      </c>
      <c r="D351" s="957">
        <v>30</v>
      </c>
      <c r="E351" s="957">
        <v>9</v>
      </c>
      <c r="F351" s="958">
        <v>0</v>
      </c>
      <c r="G351" s="957"/>
      <c r="H351" s="651">
        <v>6</v>
      </c>
      <c r="I351" s="651">
        <v>6</v>
      </c>
      <c r="J351" s="651">
        <v>30</v>
      </c>
      <c r="L351" s="651">
        <v>81</v>
      </c>
    </row>
    <row r="352" spans="2:12" s="651" customFormat="1" ht="26.4" x14ac:dyDescent="0.3">
      <c r="B352" s="959" t="s">
        <v>1572</v>
      </c>
      <c r="C352" s="957" t="s">
        <v>1539</v>
      </c>
      <c r="D352" s="957"/>
      <c r="E352" s="957"/>
      <c r="F352" s="958"/>
      <c r="G352" s="957"/>
      <c r="H352" s="651">
        <v>3</v>
      </c>
      <c r="I352" s="651">
        <v>5</v>
      </c>
      <c r="J352" s="651">
        <v>2</v>
      </c>
      <c r="L352" s="651">
        <v>10</v>
      </c>
    </row>
    <row r="353" spans="2:12" s="651" customFormat="1" ht="26.4" x14ac:dyDescent="0.3">
      <c r="B353" s="959" t="s">
        <v>1572</v>
      </c>
      <c r="C353" s="957" t="s">
        <v>1540</v>
      </c>
      <c r="D353" s="957"/>
      <c r="E353" s="957"/>
      <c r="F353" s="958"/>
      <c r="G353" s="957"/>
      <c r="H353" s="651">
        <v>14</v>
      </c>
      <c r="I353" s="651">
        <v>3</v>
      </c>
      <c r="L353" s="651">
        <v>17</v>
      </c>
    </row>
    <row r="354" spans="2:12" s="651" customFormat="1" ht="26.4" x14ac:dyDescent="0.3">
      <c r="B354" s="959" t="s">
        <v>1572</v>
      </c>
      <c r="C354" s="957" t="s">
        <v>1586</v>
      </c>
      <c r="D354" s="957">
        <v>2</v>
      </c>
      <c r="E354" s="957"/>
      <c r="F354" s="958">
        <v>0</v>
      </c>
      <c r="G354" s="957"/>
      <c r="L354" s="651">
        <v>2</v>
      </c>
    </row>
    <row r="355" spans="2:12" s="651" customFormat="1" ht="26.4" x14ac:dyDescent="0.3">
      <c r="B355" s="959" t="s">
        <v>1572</v>
      </c>
      <c r="C355" s="957" t="s">
        <v>1541</v>
      </c>
      <c r="D355" s="957"/>
      <c r="E355" s="957"/>
      <c r="F355" s="958"/>
      <c r="G355" s="957"/>
      <c r="H355" s="651">
        <v>1</v>
      </c>
      <c r="I355" s="651">
        <v>1</v>
      </c>
      <c r="J355" s="651">
        <v>28</v>
      </c>
      <c r="L355" s="651">
        <v>30</v>
      </c>
    </row>
    <row r="356" spans="2:12" s="651" customFormat="1" ht="26.4" x14ac:dyDescent="0.3">
      <c r="B356" s="959" t="s">
        <v>1572</v>
      </c>
      <c r="C356" s="957" t="s">
        <v>1571</v>
      </c>
      <c r="D356" s="957">
        <v>13</v>
      </c>
      <c r="E356" s="957">
        <v>2</v>
      </c>
      <c r="F356" s="958">
        <v>0</v>
      </c>
      <c r="G356" s="957"/>
      <c r="L356" s="651">
        <v>15</v>
      </c>
    </row>
    <row r="357" spans="2:12" s="651" customFormat="1" ht="26.4" x14ac:dyDescent="0.3">
      <c r="B357" s="959" t="s">
        <v>1530</v>
      </c>
      <c r="C357" s="957" t="s">
        <v>533</v>
      </c>
      <c r="D357" s="957"/>
      <c r="E357" s="957"/>
      <c r="F357" s="958"/>
      <c r="G357" s="957"/>
      <c r="J357" s="651">
        <v>0</v>
      </c>
      <c r="L357" s="651">
        <v>0</v>
      </c>
    </row>
    <row r="358" spans="2:12" s="651" customFormat="1" ht="26.4" x14ac:dyDescent="0.3">
      <c r="B358" s="959" t="s">
        <v>1530</v>
      </c>
      <c r="C358" s="957" t="s">
        <v>1531</v>
      </c>
      <c r="D358" s="957"/>
      <c r="E358" s="957"/>
      <c r="F358" s="958"/>
      <c r="G358" s="957"/>
      <c r="J358" s="651">
        <v>0</v>
      </c>
      <c r="L358" s="651">
        <v>0</v>
      </c>
    </row>
    <row r="359" spans="2:12" s="651" customFormat="1" ht="26.4" x14ac:dyDescent="0.3">
      <c r="B359" s="959" t="s">
        <v>1530</v>
      </c>
      <c r="C359" s="957" t="s">
        <v>1532</v>
      </c>
      <c r="D359" s="957"/>
      <c r="E359" s="957"/>
      <c r="F359" s="958"/>
      <c r="G359" s="957"/>
      <c r="J359" s="651">
        <v>0</v>
      </c>
      <c r="L359" s="651">
        <v>0</v>
      </c>
    </row>
    <row r="360" spans="2:12" s="651" customFormat="1" ht="26.4" x14ac:dyDescent="0.3">
      <c r="B360" s="959" t="s">
        <v>1530</v>
      </c>
      <c r="C360" s="957" t="s">
        <v>1533</v>
      </c>
      <c r="D360" s="957"/>
      <c r="E360" s="957"/>
      <c r="F360" s="958"/>
      <c r="G360" s="957"/>
      <c r="J360" s="651">
        <v>444</v>
      </c>
      <c r="K360" s="651">
        <v>221</v>
      </c>
      <c r="L360" s="651">
        <v>665</v>
      </c>
    </row>
    <row r="361" spans="2:12" s="651" customFormat="1" ht="26.4" x14ac:dyDescent="0.3">
      <c r="B361" s="959" t="s">
        <v>1530</v>
      </c>
      <c r="C361" s="957" t="s">
        <v>1534</v>
      </c>
      <c r="D361" s="957"/>
      <c r="E361" s="957"/>
      <c r="F361" s="958"/>
      <c r="G361" s="957"/>
      <c r="J361" s="651">
        <v>4</v>
      </c>
      <c r="L361" s="651">
        <v>4</v>
      </c>
    </row>
    <row r="362" spans="2:12" s="651" customFormat="1" ht="26.4" x14ac:dyDescent="0.3">
      <c r="B362" s="959" t="s">
        <v>1530</v>
      </c>
      <c r="C362" s="957" t="s">
        <v>1535</v>
      </c>
      <c r="D362" s="957"/>
      <c r="E362" s="957"/>
      <c r="F362" s="958"/>
      <c r="G362" s="957"/>
      <c r="J362" s="651">
        <v>8</v>
      </c>
      <c r="L362" s="651">
        <v>8</v>
      </c>
    </row>
    <row r="363" spans="2:12" s="651" customFormat="1" ht="26.4" x14ac:dyDescent="0.3">
      <c r="B363" s="959" t="s">
        <v>1530</v>
      </c>
      <c r="C363" s="957" t="s">
        <v>1536</v>
      </c>
      <c r="D363" s="957"/>
      <c r="E363" s="957"/>
      <c r="F363" s="958"/>
      <c r="G363" s="957"/>
      <c r="J363" s="651">
        <v>2</v>
      </c>
      <c r="L363" s="651">
        <v>2</v>
      </c>
    </row>
    <row r="364" spans="2:12" s="651" customFormat="1" ht="26.4" x14ac:dyDescent="0.3">
      <c r="B364" s="959" t="s">
        <v>1530</v>
      </c>
      <c r="C364" s="957" t="s">
        <v>1537</v>
      </c>
      <c r="D364" s="957"/>
      <c r="E364" s="957"/>
      <c r="F364" s="958"/>
      <c r="G364" s="957"/>
      <c r="J364" s="651">
        <v>5</v>
      </c>
      <c r="L364" s="651">
        <v>5</v>
      </c>
    </row>
    <row r="365" spans="2:12" s="651" customFormat="1" ht="26.4" x14ac:dyDescent="0.3">
      <c r="B365" s="959" t="s">
        <v>1530</v>
      </c>
      <c r="C365" s="957" t="s">
        <v>535</v>
      </c>
      <c r="D365" s="957"/>
      <c r="E365" s="957"/>
      <c r="F365" s="958"/>
      <c r="G365" s="957"/>
      <c r="J365" s="651">
        <v>215</v>
      </c>
      <c r="K365" s="651">
        <v>114</v>
      </c>
      <c r="L365" s="651">
        <v>329</v>
      </c>
    </row>
    <row r="366" spans="2:12" s="651" customFormat="1" ht="26.4" x14ac:dyDescent="0.3">
      <c r="B366" s="959" t="s">
        <v>1530</v>
      </c>
      <c r="C366" s="957" t="s">
        <v>536</v>
      </c>
      <c r="D366" s="957"/>
      <c r="E366" s="957"/>
      <c r="F366" s="958"/>
      <c r="G366" s="957"/>
      <c r="J366" s="651">
        <v>0</v>
      </c>
      <c r="K366" s="651">
        <v>0</v>
      </c>
      <c r="L366" s="651">
        <v>0</v>
      </c>
    </row>
    <row r="367" spans="2:12" s="651" customFormat="1" ht="26.4" x14ac:dyDescent="0.3">
      <c r="B367" s="959" t="s">
        <v>1530</v>
      </c>
      <c r="C367" s="957" t="s">
        <v>1538</v>
      </c>
      <c r="D367" s="957"/>
      <c r="E367" s="957"/>
      <c r="F367" s="958"/>
      <c r="G367" s="957"/>
      <c r="J367" s="651">
        <v>0</v>
      </c>
      <c r="K367" s="651">
        <v>0</v>
      </c>
      <c r="L367" s="651">
        <v>0</v>
      </c>
    </row>
    <row r="368" spans="2:12" s="651" customFormat="1" ht="26.4" x14ac:dyDescent="0.3">
      <c r="B368" s="959" t="s">
        <v>1530</v>
      </c>
      <c r="C368" s="957" t="s">
        <v>537</v>
      </c>
      <c r="D368" s="957"/>
      <c r="E368" s="957"/>
      <c r="F368" s="958"/>
      <c r="G368" s="957"/>
      <c r="J368" s="651">
        <v>113</v>
      </c>
      <c r="K368" s="651">
        <v>40</v>
      </c>
      <c r="L368" s="651">
        <v>153</v>
      </c>
    </row>
    <row r="369" spans="2:12" s="651" customFormat="1" ht="26.4" x14ac:dyDescent="0.3">
      <c r="B369" s="959" t="s">
        <v>1530</v>
      </c>
      <c r="C369" s="957" t="s">
        <v>1539</v>
      </c>
      <c r="D369" s="957"/>
      <c r="E369" s="957"/>
      <c r="F369" s="958"/>
      <c r="G369" s="957"/>
      <c r="J369" s="651">
        <v>6</v>
      </c>
      <c r="L369" s="651">
        <v>6</v>
      </c>
    </row>
    <row r="370" spans="2:12" s="651" customFormat="1" ht="26.4" x14ac:dyDescent="0.3">
      <c r="B370" s="959" t="s">
        <v>1530</v>
      </c>
      <c r="C370" s="957" t="s">
        <v>1540</v>
      </c>
      <c r="D370" s="957"/>
      <c r="E370" s="957"/>
      <c r="F370" s="958"/>
      <c r="G370" s="957"/>
      <c r="J370" s="651">
        <v>0</v>
      </c>
      <c r="K370" s="651">
        <v>0</v>
      </c>
      <c r="L370" s="651">
        <v>0</v>
      </c>
    </row>
    <row r="371" spans="2:12" s="651" customFormat="1" ht="26.4" x14ac:dyDescent="0.3">
      <c r="B371" s="959" t="s">
        <v>1530</v>
      </c>
      <c r="C371" s="957" t="s">
        <v>1541</v>
      </c>
      <c r="D371" s="957"/>
      <c r="E371" s="957"/>
      <c r="F371" s="958"/>
      <c r="G371" s="957"/>
      <c r="J371" s="651">
        <v>74</v>
      </c>
      <c r="K371" s="651">
        <v>8</v>
      </c>
      <c r="L371" s="651">
        <v>82</v>
      </c>
    </row>
    <row r="372" spans="2:12" ht="23.25" customHeight="1" x14ac:dyDescent="0.3">
      <c r="F372" s="62"/>
    </row>
    <row r="373" spans="2:12" ht="23.25" customHeight="1" x14ac:dyDescent="0.3">
      <c r="F373" s="62"/>
    </row>
    <row r="374" spans="2:12" ht="23.25" customHeight="1" x14ac:dyDescent="0.3">
      <c r="F374" s="62"/>
    </row>
    <row r="375" spans="2:12" ht="23.25" customHeight="1" x14ac:dyDescent="0.3">
      <c r="F375" s="62"/>
    </row>
    <row r="376" spans="2:12" ht="23.25" customHeight="1" x14ac:dyDescent="0.3">
      <c r="F376" s="62"/>
    </row>
    <row r="377" spans="2:12" ht="23.25" customHeight="1" x14ac:dyDescent="0.3">
      <c r="F377" s="62"/>
    </row>
    <row r="378" spans="2:12" ht="23.25" customHeight="1" x14ac:dyDescent="0.3">
      <c r="F378" s="62"/>
    </row>
    <row r="379" spans="2:12" ht="23.25" customHeight="1" x14ac:dyDescent="0.3">
      <c r="F379" s="62"/>
    </row>
    <row r="380" spans="2:12" ht="23.25" customHeight="1" x14ac:dyDescent="0.3">
      <c r="F380" s="62"/>
    </row>
    <row r="381" spans="2:12" ht="23.25" customHeight="1" x14ac:dyDescent="0.3">
      <c r="F381" s="62"/>
    </row>
    <row r="382" spans="2:12" ht="23.25" customHeight="1" x14ac:dyDescent="0.3">
      <c r="F382" s="62"/>
    </row>
    <row r="383" spans="2:12" ht="23.25" customHeight="1" x14ac:dyDescent="0.3">
      <c r="F383" s="62"/>
    </row>
    <row r="384" spans="2:12" ht="23.25" customHeight="1" x14ac:dyDescent="0.3">
      <c r="F384" s="62"/>
    </row>
    <row r="385" spans="6:6" ht="23.25" customHeight="1" x14ac:dyDescent="0.3">
      <c r="F385" s="62"/>
    </row>
    <row r="386" spans="6:6" ht="23.25" customHeight="1" x14ac:dyDescent="0.3">
      <c r="F386" s="62"/>
    </row>
    <row r="387" spans="6:6" ht="23.25" customHeight="1" x14ac:dyDescent="0.3">
      <c r="F387" s="62"/>
    </row>
    <row r="388" spans="6:6" ht="23.25" customHeight="1" x14ac:dyDescent="0.3">
      <c r="F388" s="62"/>
    </row>
    <row r="389" spans="6:6" ht="23.25" customHeight="1" x14ac:dyDescent="0.3">
      <c r="F389" s="62"/>
    </row>
    <row r="390" spans="6:6" ht="23.25" customHeight="1" x14ac:dyDescent="0.3">
      <c r="F390" s="62"/>
    </row>
    <row r="391" spans="6:6" ht="23.25" customHeight="1" x14ac:dyDescent="0.3">
      <c r="F391" s="62"/>
    </row>
    <row r="392" spans="6:6" ht="23.25" customHeight="1" x14ac:dyDescent="0.3">
      <c r="F392" s="62"/>
    </row>
    <row r="393" spans="6:6" ht="23.25" customHeight="1" x14ac:dyDescent="0.3">
      <c r="F393" s="62"/>
    </row>
    <row r="394" spans="6:6" ht="23.25" customHeight="1" x14ac:dyDescent="0.3">
      <c r="F394" s="62"/>
    </row>
    <row r="395" spans="6:6" ht="23.25" customHeight="1" x14ac:dyDescent="0.3">
      <c r="F395" s="62"/>
    </row>
    <row r="396" spans="6:6" ht="23.25" customHeight="1" x14ac:dyDescent="0.3">
      <c r="F396" s="62"/>
    </row>
    <row r="397" spans="6:6" ht="23.25" customHeight="1" x14ac:dyDescent="0.3">
      <c r="F397" s="62"/>
    </row>
    <row r="398" spans="6:6" ht="23.25" customHeight="1" x14ac:dyDescent="0.3">
      <c r="F398" s="62"/>
    </row>
    <row r="399" spans="6:6" ht="23.25" customHeight="1" x14ac:dyDescent="0.3">
      <c r="F399" s="62"/>
    </row>
    <row r="400" spans="6:6" ht="23.25" customHeight="1" x14ac:dyDescent="0.3">
      <c r="F400" s="62"/>
    </row>
    <row r="401" spans="6:6" ht="23.25" customHeight="1" x14ac:dyDescent="0.3">
      <c r="F401" s="62"/>
    </row>
    <row r="402" spans="6:6" ht="23.25" customHeight="1" x14ac:dyDescent="0.3">
      <c r="F402" s="62"/>
    </row>
    <row r="403" spans="6:6" ht="23.25" customHeight="1" x14ac:dyDescent="0.3">
      <c r="F403" s="62"/>
    </row>
    <row r="404" spans="6:6" ht="23.25" customHeight="1" x14ac:dyDescent="0.3">
      <c r="F404" s="62"/>
    </row>
    <row r="405" spans="6:6" ht="23.25" customHeight="1" x14ac:dyDescent="0.3">
      <c r="F405" s="62"/>
    </row>
    <row r="406" spans="6:6" ht="23.25" customHeight="1" x14ac:dyDescent="0.3">
      <c r="F406" s="62"/>
    </row>
    <row r="407" spans="6:6" ht="23.25" customHeight="1" x14ac:dyDescent="0.3">
      <c r="F407" s="62"/>
    </row>
    <row r="408" spans="6:6" ht="23.25" customHeight="1" x14ac:dyDescent="0.3">
      <c r="F408" s="62"/>
    </row>
    <row r="409" spans="6:6" ht="23.25" customHeight="1" x14ac:dyDescent="0.3">
      <c r="F409" s="62"/>
    </row>
    <row r="410" spans="6:6" ht="23.25" customHeight="1" x14ac:dyDescent="0.3">
      <c r="F410" s="62"/>
    </row>
    <row r="411" spans="6:6" ht="23.25" customHeight="1" x14ac:dyDescent="0.3">
      <c r="F411" s="62"/>
    </row>
    <row r="412" spans="6:6" ht="23.25" customHeight="1" x14ac:dyDescent="0.3">
      <c r="F412" s="62"/>
    </row>
    <row r="413" spans="6:6" ht="23.25" customHeight="1" x14ac:dyDescent="0.3">
      <c r="F413" s="62"/>
    </row>
    <row r="414" spans="6:6" ht="23.25" customHeight="1" x14ac:dyDescent="0.3">
      <c r="F414" s="62"/>
    </row>
    <row r="415" spans="6:6" ht="23.25" customHeight="1" x14ac:dyDescent="0.3">
      <c r="F415" s="62"/>
    </row>
    <row r="416" spans="6:6" ht="23.25" customHeight="1" x14ac:dyDescent="0.3">
      <c r="F416" s="62"/>
    </row>
    <row r="417" spans="6:6" ht="23.25" customHeight="1" x14ac:dyDescent="0.3">
      <c r="F417" s="62"/>
    </row>
    <row r="418" spans="6:6" ht="23.25" customHeight="1" x14ac:dyDescent="0.3">
      <c r="F418" s="62"/>
    </row>
    <row r="419" spans="6:6" ht="23.25" customHeight="1" x14ac:dyDescent="0.3">
      <c r="F419" s="62"/>
    </row>
    <row r="420" spans="6:6" ht="23.25" customHeight="1" x14ac:dyDescent="0.3">
      <c r="F420" s="62"/>
    </row>
    <row r="421" spans="6:6" ht="23.25" customHeight="1" x14ac:dyDescent="0.3">
      <c r="F421" s="62"/>
    </row>
    <row r="422" spans="6:6" ht="23.25" customHeight="1" x14ac:dyDescent="0.3">
      <c r="F422" s="62"/>
    </row>
    <row r="423" spans="6:6" ht="23.25" customHeight="1" x14ac:dyDescent="0.3">
      <c r="F423" s="62"/>
    </row>
    <row r="424" spans="6:6" ht="23.25" customHeight="1" x14ac:dyDescent="0.3">
      <c r="F424" s="62"/>
    </row>
    <row r="425" spans="6:6" ht="23.25" customHeight="1" x14ac:dyDescent="0.3">
      <c r="F425" s="62"/>
    </row>
    <row r="426" spans="6:6" ht="23.25" customHeight="1" x14ac:dyDescent="0.3">
      <c r="F426" s="62"/>
    </row>
    <row r="427" spans="6:6" ht="23.25" customHeight="1" x14ac:dyDescent="0.3">
      <c r="F427" s="62"/>
    </row>
    <row r="428" spans="6:6" ht="23.25" customHeight="1" x14ac:dyDescent="0.3">
      <c r="F428" s="62"/>
    </row>
    <row r="429" spans="6:6" ht="23.25" customHeight="1" x14ac:dyDescent="0.3">
      <c r="F429" s="62"/>
    </row>
    <row r="430" spans="6:6" ht="23.25" customHeight="1" x14ac:dyDescent="0.3">
      <c r="F430" s="62"/>
    </row>
    <row r="431" spans="6:6" ht="23.25" customHeight="1" x14ac:dyDescent="0.3">
      <c r="F431" s="62"/>
    </row>
    <row r="432" spans="6:6" ht="23.25" customHeight="1" x14ac:dyDescent="0.3">
      <c r="F432" s="62"/>
    </row>
    <row r="433" spans="6:6" ht="23.25" customHeight="1" x14ac:dyDescent="0.3">
      <c r="F433" s="62"/>
    </row>
    <row r="434" spans="6:6" ht="23.25" customHeight="1" x14ac:dyDescent="0.3">
      <c r="F434" s="62"/>
    </row>
    <row r="435" spans="6:6" ht="23.25" customHeight="1" x14ac:dyDescent="0.3">
      <c r="F435" s="62"/>
    </row>
    <row r="436" spans="6:6" ht="23.25" customHeight="1" x14ac:dyDescent="0.3">
      <c r="F436" s="62"/>
    </row>
    <row r="437" spans="6:6" ht="23.25" customHeight="1" x14ac:dyDescent="0.3">
      <c r="F437" s="62"/>
    </row>
    <row r="438" spans="6:6" ht="23.25" customHeight="1" x14ac:dyDescent="0.3">
      <c r="F438" s="62"/>
    </row>
    <row r="439" spans="6:6" ht="23.25" customHeight="1" x14ac:dyDescent="0.3">
      <c r="F439" s="62"/>
    </row>
    <row r="440" spans="6:6" ht="23.25" customHeight="1" x14ac:dyDescent="0.3">
      <c r="F440" s="62"/>
    </row>
    <row r="441" spans="6:6" ht="23.25" customHeight="1" x14ac:dyDescent="0.3">
      <c r="F441" s="62"/>
    </row>
    <row r="442" spans="6:6" ht="23.25" customHeight="1" x14ac:dyDescent="0.3">
      <c r="F442" s="62"/>
    </row>
    <row r="443" spans="6:6" ht="23.25" customHeight="1" x14ac:dyDescent="0.3">
      <c r="F443" s="62"/>
    </row>
    <row r="444" spans="6:6" ht="23.25" customHeight="1" x14ac:dyDescent="0.3">
      <c r="F444" s="62"/>
    </row>
    <row r="445" spans="6:6" ht="23.25" customHeight="1" x14ac:dyDescent="0.3">
      <c r="F445" s="62"/>
    </row>
    <row r="446" spans="6:6" ht="23.25" customHeight="1" x14ac:dyDescent="0.3">
      <c r="F446" s="62"/>
    </row>
    <row r="447" spans="6:6" ht="23.25" customHeight="1" x14ac:dyDescent="0.3">
      <c r="F447" s="62"/>
    </row>
    <row r="448" spans="6:6" ht="23.25" customHeight="1" x14ac:dyDescent="0.3">
      <c r="F448" s="62"/>
    </row>
    <row r="449" spans="6:6" ht="23.25" customHeight="1" x14ac:dyDescent="0.3">
      <c r="F449" s="62"/>
    </row>
    <row r="450" spans="6:6" ht="23.25" customHeight="1" x14ac:dyDescent="0.3">
      <c r="F450" s="62"/>
    </row>
    <row r="451" spans="6:6" ht="23.25" customHeight="1" x14ac:dyDescent="0.3">
      <c r="F451" s="62"/>
    </row>
    <row r="452" spans="6:6" ht="23.25" customHeight="1" x14ac:dyDescent="0.3">
      <c r="F452" s="62"/>
    </row>
    <row r="453" spans="6:6" ht="23.25" customHeight="1" x14ac:dyDescent="0.3">
      <c r="F453" s="62"/>
    </row>
    <row r="454" spans="6:6" ht="23.25" customHeight="1" x14ac:dyDescent="0.3">
      <c r="F454" s="62"/>
    </row>
    <row r="455" spans="6:6" ht="23.25" customHeight="1" x14ac:dyDescent="0.3">
      <c r="F455" s="62"/>
    </row>
    <row r="456" spans="6:6" ht="23.25" customHeight="1" x14ac:dyDescent="0.3">
      <c r="F456" s="62"/>
    </row>
    <row r="457" spans="6:6" ht="23.25" customHeight="1" x14ac:dyDescent="0.3">
      <c r="F457" s="62"/>
    </row>
    <row r="458" spans="6:6" ht="23.25" customHeight="1" x14ac:dyDescent="0.3">
      <c r="F458" s="62"/>
    </row>
    <row r="459" spans="6:6" ht="23.25" customHeight="1" x14ac:dyDescent="0.3">
      <c r="F459" s="62"/>
    </row>
    <row r="460" spans="6:6" ht="23.25" customHeight="1" x14ac:dyDescent="0.3">
      <c r="F460" s="62"/>
    </row>
    <row r="461" spans="6:6" ht="23.25" customHeight="1" x14ac:dyDescent="0.3">
      <c r="F461" s="62"/>
    </row>
    <row r="462" spans="6:6" ht="23.25" customHeight="1" x14ac:dyDescent="0.3">
      <c r="F462" s="62"/>
    </row>
    <row r="463" spans="6:6" ht="23.25" customHeight="1" x14ac:dyDescent="0.3">
      <c r="F463" s="62"/>
    </row>
    <row r="464" spans="6:6" ht="23.25" customHeight="1" x14ac:dyDescent="0.3">
      <c r="F464" s="62"/>
    </row>
    <row r="465" spans="6:6" ht="23.25" customHeight="1" x14ac:dyDescent="0.3">
      <c r="F465" s="62"/>
    </row>
    <row r="466" spans="6:6" ht="23.25" customHeight="1" x14ac:dyDescent="0.3">
      <c r="F466" s="62"/>
    </row>
    <row r="467" spans="6:6" ht="23.25" customHeight="1" x14ac:dyDescent="0.3">
      <c r="F467" s="62"/>
    </row>
    <row r="468" spans="6:6" ht="23.25" customHeight="1" x14ac:dyDescent="0.3">
      <c r="F468" s="62"/>
    </row>
    <row r="469" spans="6:6" ht="23.25" customHeight="1" x14ac:dyDescent="0.3">
      <c r="F469" s="62"/>
    </row>
    <row r="470" spans="6:6" ht="23.25" customHeight="1" x14ac:dyDescent="0.3">
      <c r="F470" s="62"/>
    </row>
    <row r="471" spans="6:6" ht="23.25" customHeight="1" x14ac:dyDescent="0.3">
      <c r="F471" s="62"/>
    </row>
    <row r="472" spans="6:6" ht="23.25" customHeight="1" x14ac:dyDescent="0.3">
      <c r="F472" s="62"/>
    </row>
    <row r="473" spans="6:6" ht="23.25" customHeight="1" x14ac:dyDescent="0.3">
      <c r="F473" s="62"/>
    </row>
    <row r="474" spans="6:6" ht="23.25" customHeight="1" x14ac:dyDescent="0.3">
      <c r="F474" s="62"/>
    </row>
    <row r="475" spans="6:6" ht="23.25" customHeight="1" x14ac:dyDescent="0.3">
      <c r="F475" s="62"/>
    </row>
    <row r="476" spans="6:6" ht="23.25" customHeight="1" x14ac:dyDescent="0.3">
      <c r="F476" s="62"/>
    </row>
    <row r="477" spans="6:6" ht="23.25" customHeight="1" x14ac:dyDescent="0.3">
      <c r="F477" s="62"/>
    </row>
    <row r="478" spans="6:6" ht="23.25" customHeight="1" x14ac:dyDescent="0.3">
      <c r="F478" s="62"/>
    </row>
    <row r="479" spans="6:6" ht="23.25" customHeight="1" x14ac:dyDescent="0.3">
      <c r="F479" s="62"/>
    </row>
    <row r="480" spans="6:6" ht="23.25" customHeight="1" x14ac:dyDescent="0.3">
      <c r="F480" s="62"/>
    </row>
    <row r="481" spans="6:6" ht="23.25" customHeight="1" x14ac:dyDescent="0.3">
      <c r="F481" s="62"/>
    </row>
    <row r="482" spans="6:6" ht="23.25" customHeight="1" x14ac:dyDescent="0.3">
      <c r="F482" s="62"/>
    </row>
    <row r="483" spans="6:6" ht="23.25" customHeight="1" x14ac:dyDescent="0.3">
      <c r="F483" s="62"/>
    </row>
    <row r="484" spans="6:6" ht="23.25" customHeight="1" x14ac:dyDescent="0.3">
      <c r="F484" s="62"/>
    </row>
    <row r="485" spans="6:6" ht="23.25" customHeight="1" x14ac:dyDescent="0.3">
      <c r="F485" s="62"/>
    </row>
    <row r="486" spans="6:6" ht="23.25" customHeight="1" x14ac:dyDescent="0.3">
      <c r="F486" s="62"/>
    </row>
    <row r="487" spans="6:6" ht="23.25" customHeight="1" x14ac:dyDescent="0.3">
      <c r="F487" s="62"/>
    </row>
    <row r="488" spans="6:6" ht="23.25" customHeight="1" x14ac:dyDescent="0.3">
      <c r="F488" s="62"/>
    </row>
    <row r="489" spans="6:6" ht="23.25" customHeight="1" x14ac:dyDescent="0.3">
      <c r="F489" s="62"/>
    </row>
    <row r="490" spans="6:6" ht="23.25" customHeight="1" x14ac:dyDescent="0.3">
      <c r="F490" s="62"/>
    </row>
    <row r="491" spans="6:6" ht="23.25" customHeight="1" x14ac:dyDescent="0.3">
      <c r="F491" s="62"/>
    </row>
    <row r="492" spans="6:6" ht="23.25" customHeight="1" x14ac:dyDescent="0.3">
      <c r="F492" s="62"/>
    </row>
    <row r="493" spans="6:6" ht="23.25" customHeight="1" x14ac:dyDescent="0.3">
      <c r="F493" s="62"/>
    </row>
    <row r="494" spans="6:6" ht="23.25" customHeight="1" x14ac:dyDescent="0.3">
      <c r="F494" s="62"/>
    </row>
    <row r="495" spans="6:6" ht="23.25" customHeight="1" x14ac:dyDescent="0.3">
      <c r="F495" s="62"/>
    </row>
    <row r="496" spans="6:6" ht="23.25" customHeight="1" x14ac:dyDescent="0.3">
      <c r="F496" s="62"/>
    </row>
    <row r="497" spans="6:6" ht="23.25" customHeight="1" x14ac:dyDescent="0.3">
      <c r="F497" s="62"/>
    </row>
    <row r="498" spans="6:6" ht="23.25" customHeight="1" x14ac:dyDescent="0.3">
      <c r="F498" s="62"/>
    </row>
    <row r="499" spans="6:6" ht="23.25" customHeight="1" x14ac:dyDescent="0.3">
      <c r="F499" s="62"/>
    </row>
    <row r="500" spans="6:6" ht="23.25" customHeight="1" x14ac:dyDescent="0.3">
      <c r="F500" s="62"/>
    </row>
    <row r="501" spans="6:6" ht="23.25" customHeight="1" x14ac:dyDescent="0.3">
      <c r="F501" s="62"/>
    </row>
    <row r="502" spans="6:6" ht="23.25" customHeight="1" x14ac:dyDescent="0.3">
      <c r="F502" s="62"/>
    </row>
    <row r="503" spans="6:6" ht="23.25" customHeight="1" x14ac:dyDescent="0.3">
      <c r="F503" s="62"/>
    </row>
    <row r="504" spans="6:6" ht="23.25" customHeight="1" x14ac:dyDescent="0.3">
      <c r="F504" s="62"/>
    </row>
    <row r="505" spans="6:6" ht="23.25" customHeight="1" x14ac:dyDescent="0.3">
      <c r="F505" s="62"/>
    </row>
    <row r="506" spans="6:6" ht="23.25" customHeight="1" x14ac:dyDescent="0.3">
      <c r="F506" s="62"/>
    </row>
    <row r="507" spans="6:6" ht="23.25" customHeight="1" x14ac:dyDescent="0.3">
      <c r="F507" s="62"/>
    </row>
    <row r="508" spans="6:6" ht="23.25" customHeight="1" x14ac:dyDescent="0.3">
      <c r="F508" s="62"/>
    </row>
    <row r="509" spans="6:6" ht="23.25" customHeight="1" x14ac:dyDescent="0.3">
      <c r="F509" s="62"/>
    </row>
    <row r="510" spans="6:6" ht="23.25" customHeight="1" x14ac:dyDescent="0.3">
      <c r="F510" s="62"/>
    </row>
    <row r="511" spans="6:6" ht="23.25" customHeight="1" x14ac:dyDescent="0.3">
      <c r="F511" s="62"/>
    </row>
    <row r="512" spans="6:6" ht="23.25" customHeight="1" x14ac:dyDescent="0.3">
      <c r="F512" s="62"/>
    </row>
  </sheetData>
  <autoFilter ref="C233:L233" xr:uid="{00000000-0001-0000-0400-000000000000}">
    <sortState xmlns:xlrd2="http://schemas.microsoft.com/office/spreadsheetml/2017/richdata2" ref="C234:L248">
      <sortCondition descending="1" ref="L233"/>
    </sortState>
  </autoFilter>
  <mergeCells count="65">
    <mergeCell ref="B226:I226"/>
    <mergeCell ref="K76:K77"/>
    <mergeCell ref="L76:L77"/>
    <mergeCell ref="B90:B91"/>
    <mergeCell ref="B92:B108"/>
    <mergeCell ref="L163:L183"/>
    <mergeCell ref="D76:D77"/>
    <mergeCell ref="E76:E77"/>
    <mergeCell ref="B112:M112"/>
    <mergeCell ref="F76:F77"/>
    <mergeCell ref="G76:G77"/>
    <mergeCell ref="H76:H77"/>
    <mergeCell ref="I76:I77"/>
    <mergeCell ref="J76:J77"/>
    <mergeCell ref="B224:C224"/>
    <mergeCell ref="B26:B27"/>
    <mergeCell ref="C26:C27"/>
    <mergeCell ref="D26:D27"/>
    <mergeCell ref="B28:B36"/>
    <mergeCell ref="B37:B40"/>
    <mergeCell ref="B41:B43"/>
    <mergeCell ref="B184:B185"/>
    <mergeCell ref="B188:B194"/>
    <mergeCell ref="B195:B205"/>
    <mergeCell ref="B211:B219"/>
    <mergeCell ref="B46:B47"/>
    <mergeCell ref="B48:B49"/>
    <mergeCell ref="B54:B55"/>
    <mergeCell ref="B56:B58"/>
    <mergeCell ref="B61:B86"/>
    <mergeCell ref="D2:G2"/>
    <mergeCell ref="D3:G3"/>
    <mergeCell ref="B15:B21"/>
    <mergeCell ref="H11:I11"/>
    <mergeCell ref="E11:E12"/>
    <mergeCell ref="D11:D12"/>
    <mergeCell ref="C11:C12"/>
    <mergeCell ref="B11:B12"/>
    <mergeCell ref="B8:D8"/>
    <mergeCell ref="D4:K4"/>
    <mergeCell ref="T11:U11"/>
    <mergeCell ref="V11:W11"/>
    <mergeCell ref="G11:G12"/>
    <mergeCell ref="F11:F12"/>
    <mergeCell ref="J11:K11"/>
    <mergeCell ref="L11:M11"/>
    <mergeCell ref="N11:O11"/>
    <mergeCell ref="P11:Q11"/>
    <mergeCell ref="R11:S11"/>
    <mergeCell ref="B228:J228"/>
    <mergeCell ref="B154:B155"/>
    <mergeCell ref="B156:B158"/>
    <mergeCell ref="D118:K118"/>
    <mergeCell ref="D119:K119"/>
    <mergeCell ref="D120:K120"/>
    <mergeCell ref="B126:B137"/>
    <mergeCell ref="B138:B140"/>
    <mergeCell ref="B225:J225"/>
    <mergeCell ref="H163:H183"/>
    <mergeCell ref="I163:I183"/>
    <mergeCell ref="J163:J183"/>
    <mergeCell ref="K163:K183"/>
    <mergeCell ref="B141:B143"/>
    <mergeCell ref="B146:B147"/>
    <mergeCell ref="B148:B149"/>
  </mergeCells>
  <hyperlinks>
    <hyperlink ref="G13" r:id="rId1" xr:uid="{00000000-0004-0000-0400-000000000000}"/>
    <hyperlink ref="E15" r:id="rId2" xr:uid="{00000000-0004-0000-0400-000001000000}"/>
    <hyperlink ref="G15" r:id="rId3" xr:uid="{00000000-0004-0000-0400-000002000000}"/>
    <hyperlink ref="G18" r:id="rId4" xr:uid="{00000000-0004-0000-0400-000003000000}"/>
    <hyperlink ref="G19" r:id="rId5" xr:uid="{00000000-0004-0000-0400-000004000000}"/>
    <hyperlink ref="G20" r:id="rId6" xr:uid="{00000000-0004-0000-0400-000005000000}"/>
    <hyperlink ref="G21" r:id="rId7" xr:uid="{00000000-0004-0000-0400-000006000000}"/>
    <hyperlink ref="C6" r:id="rId8" xr:uid="{00000000-0004-0000-0400-000007000000}"/>
    <hyperlink ref="G14" r:id="rId9" xr:uid="{00000000-0004-0000-0400-000008000000}"/>
    <hyperlink ref="G16" r:id="rId10" xr:uid="{00000000-0004-0000-0400-000009000000}"/>
    <hyperlink ref="BE113" r:id="rId11" display="https://login.bdigital.udistrital.edu.co/login?url=https://www.oreilly.com/library-access/" xr:uid="{BACEC9B2-DDC9-4715-AA15-C90B0A96C0D9}"/>
  </hyperlinks>
  <pageMargins left="0.7" right="0.7" top="0.75" bottom="0.75" header="0" footer="0"/>
  <pageSetup orientation="landscape" r:id="rId12"/>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2:O57"/>
  <sheetViews>
    <sheetView showGridLines="0" topLeftCell="A36" workbookViewId="0">
      <selection activeCell="I54" sqref="I54:I57"/>
    </sheetView>
  </sheetViews>
  <sheetFormatPr baseColWidth="10" defaultColWidth="11.44140625" defaultRowHeight="13.8" x14ac:dyDescent="0.3"/>
  <cols>
    <col min="1" max="1" width="11.44140625" style="1"/>
    <col min="2" max="2" width="42.33203125" style="1" customWidth="1"/>
    <col min="3" max="3" width="14.5546875" style="1" customWidth="1"/>
    <col min="4" max="4" width="32" style="1" customWidth="1"/>
    <col min="5" max="5" width="15" style="1" customWidth="1"/>
    <col min="6" max="7" width="8.77734375" style="1" customWidth="1"/>
    <col min="8" max="8" width="6.77734375" style="1" customWidth="1"/>
    <col min="9" max="11" width="8.77734375" style="1" customWidth="1"/>
    <col min="12" max="13" width="6.6640625" style="1" customWidth="1"/>
    <col min="14" max="14" width="7.44140625" style="1" customWidth="1"/>
    <col min="15" max="16384" width="11.44140625" style="1"/>
  </cols>
  <sheetData>
    <row r="2" spans="1:15" ht="15" customHeight="1" x14ac:dyDescent="0.3">
      <c r="E2" s="898" t="s">
        <v>0</v>
      </c>
      <c r="F2" s="898"/>
      <c r="G2" s="898"/>
      <c r="H2" s="898"/>
      <c r="I2" s="898"/>
      <c r="J2" s="898"/>
      <c r="K2" s="898"/>
    </row>
    <row r="3" spans="1:15" ht="15" customHeight="1" x14ac:dyDescent="0.3">
      <c r="E3" s="899" t="s">
        <v>94</v>
      </c>
      <c r="F3" s="899"/>
      <c r="G3" s="899"/>
      <c r="H3" s="899"/>
      <c r="I3" s="899"/>
      <c r="J3" s="899"/>
      <c r="K3" s="899"/>
    </row>
    <row r="4" spans="1:15" ht="12.75" customHeight="1" x14ac:dyDescent="0.3">
      <c r="D4" s="901" t="s">
        <v>436</v>
      </c>
      <c r="E4" s="901"/>
      <c r="F4" s="901"/>
      <c r="G4" s="901"/>
      <c r="H4" s="901"/>
      <c r="I4" s="901"/>
      <c r="J4" s="901"/>
      <c r="K4" s="901"/>
      <c r="L4" s="901"/>
    </row>
    <row r="6" spans="1:15" x14ac:dyDescent="0.3">
      <c r="B6" s="49" t="s">
        <v>101</v>
      </c>
      <c r="C6" s="48" t="s">
        <v>72</v>
      </c>
      <c r="D6" s="49"/>
      <c r="E6" s="49"/>
    </row>
    <row r="8" spans="1:15" x14ac:dyDescent="0.3">
      <c r="A8" s="902" t="s">
        <v>1250</v>
      </c>
      <c r="B8" s="902"/>
      <c r="C8" s="902"/>
      <c r="D8" s="902"/>
      <c r="E8" s="902"/>
      <c r="F8" s="902"/>
      <c r="G8" s="902"/>
      <c r="H8" s="902"/>
      <c r="I8" s="902"/>
      <c r="J8" s="902"/>
      <c r="K8" s="902"/>
      <c r="L8" s="902"/>
      <c r="M8" s="902"/>
      <c r="N8" s="902"/>
      <c r="O8" s="256"/>
    </row>
    <row r="9" spans="1:15" ht="41.4" x14ac:dyDescent="0.3">
      <c r="A9" s="27" t="s">
        <v>4</v>
      </c>
      <c r="B9" s="27" t="s">
        <v>5</v>
      </c>
      <c r="C9" s="27" t="s">
        <v>6</v>
      </c>
      <c r="D9" s="28" t="s">
        <v>7</v>
      </c>
      <c r="E9" s="28" t="s">
        <v>8</v>
      </c>
      <c r="F9" s="27">
        <v>2018</v>
      </c>
      <c r="G9" s="27">
        <v>2019</v>
      </c>
      <c r="H9" s="27">
        <v>2020</v>
      </c>
      <c r="I9" s="27">
        <v>2021</v>
      </c>
      <c r="J9" s="27">
        <v>2022</v>
      </c>
      <c r="K9" s="27">
        <v>2023</v>
      </c>
      <c r="L9" s="27">
        <v>2024</v>
      </c>
      <c r="M9" s="27">
        <v>2025</v>
      </c>
      <c r="N9" s="27">
        <v>2026</v>
      </c>
    </row>
    <row r="10" spans="1:15" ht="68.25" customHeight="1" x14ac:dyDescent="0.3">
      <c r="A10" s="12"/>
      <c r="B10" s="259" t="s">
        <v>221</v>
      </c>
      <c r="C10" s="259" t="s">
        <v>23</v>
      </c>
      <c r="D10" s="259" t="s">
        <v>24</v>
      </c>
      <c r="E10" s="260" t="s">
        <v>25</v>
      </c>
      <c r="F10" s="261"/>
      <c r="G10" s="261">
        <v>11187</v>
      </c>
      <c r="H10" s="261">
        <v>1929</v>
      </c>
      <c r="I10" s="261">
        <v>2002</v>
      </c>
      <c r="J10" s="261">
        <v>2362</v>
      </c>
      <c r="K10" s="261">
        <v>2616</v>
      </c>
      <c r="L10" s="261">
        <v>3322</v>
      </c>
      <c r="M10" s="370">
        <v>3756</v>
      </c>
      <c r="N10" s="40">
        <v>3881</v>
      </c>
    </row>
    <row r="11" spans="1:15" ht="68.25" customHeight="1" x14ac:dyDescent="0.3">
      <c r="B11" s="15" t="s">
        <v>220</v>
      </c>
      <c r="C11" s="15" t="s">
        <v>23</v>
      </c>
      <c r="D11" s="15" t="s">
        <v>24</v>
      </c>
      <c r="E11" s="13" t="s">
        <v>25</v>
      </c>
      <c r="F11" s="16"/>
      <c r="G11" s="16"/>
      <c r="H11" s="16">
        <f>13979-1929</f>
        <v>12050</v>
      </c>
      <c r="I11" s="16">
        <v>13397</v>
      </c>
      <c r="J11" s="16">
        <f>17046-3262</f>
        <v>13784</v>
      </c>
      <c r="K11" s="16">
        <v>15710</v>
      </c>
      <c r="L11" s="16">
        <v>19882</v>
      </c>
      <c r="M11" s="370">
        <v>23476</v>
      </c>
      <c r="N11" s="40">
        <v>24292</v>
      </c>
    </row>
    <row r="12" spans="1:15" ht="109.5" customHeight="1" x14ac:dyDescent="0.3">
      <c r="B12" s="15" t="s">
        <v>39</v>
      </c>
      <c r="C12" s="15" t="s">
        <v>40</v>
      </c>
      <c r="D12" s="18" t="s">
        <v>41</v>
      </c>
      <c r="E12" s="13" t="s">
        <v>25</v>
      </c>
      <c r="F12" s="16">
        <v>0</v>
      </c>
      <c r="G12" s="16">
        <v>0</v>
      </c>
      <c r="H12" s="16">
        <v>4170</v>
      </c>
      <c r="I12" s="16">
        <v>4172</v>
      </c>
      <c r="J12" s="16">
        <v>10135</v>
      </c>
      <c r="K12" s="16">
        <v>10135</v>
      </c>
      <c r="L12" s="16">
        <v>10135</v>
      </c>
      <c r="M12" s="370">
        <v>10135</v>
      </c>
      <c r="N12" s="40">
        <v>10135</v>
      </c>
    </row>
    <row r="13" spans="1:15" ht="52.5" customHeight="1" x14ac:dyDescent="0.3">
      <c r="B13" s="15" t="s">
        <v>219</v>
      </c>
      <c r="C13" s="15" t="s">
        <v>23</v>
      </c>
      <c r="D13" s="15" t="s">
        <v>24</v>
      </c>
      <c r="E13" s="13" t="s">
        <v>25</v>
      </c>
      <c r="F13" s="30"/>
      <c r="G13" s="16"/>
      <c r="H13" s="16"/>
      <c r="I13" s="16"/>
      <c r="J13" s="16"/>
      <c r="K13" s="16">
        <v>1119</v>
      </c>
      <c r="L13" s="16">
        <v>5777</v>
      </c>
      <c r="M13" s="370">
        <v>8685</v>
      </c>
      <c r="N13" s="40">
        <v>8886</v>
      </c>
    </row>
    <row r="14" spans="1:15" ht="69" x14ac:dyDescent="0.3">
      <c r="B14" s="15" t="s">
        <v>43</v>
      </c>
      <c r="C14" s="15" t="s">
        <v>23</v>
      </c>
      <c r="D14" s="15" t="s">
        <v>24</v>
      </c>
      <c r="E14" s="13" t="s">
        <v>25</v>
      </c>
      <c r="F14" s="30"/>
      <c r="G14" s="16"/>
      <c r="H14" s="16">
        <v>5738</v>
      </c>
      <c r="I14" s="16">
        <v>6444</v>
      </c>
      <c r="J14" s="16">
        <v>6444</v>
      </c>
      <c r="K14" s="16">
        <v>6568</v>
      </c>
      <c r="L14" s="16">
        <v>6619</v>
      </c>
      <c r="M14" s="370">
        <v>6638</v>
      </c>
      <c r="N14" s="40">
        <v>6639</v>
      </c>
    </row>
    <row r="15" spans="1:15" ht="69" x14ac:dyDescent="0.3">
      <c r="B15" s="89" t="s">
        <v>44</v>
      </c>
      <c r="C15" s="89" t="s">
        <v>23</v>
      </c>
      <c r="D15" s="89" t="s">
        <v>45</v>
      </c>
      <c r="E15" s="92" t="s">
        <v>25</v>
      </c>
      <c r="F15" s="90"/>
      <c r="G15" s="91"/>
      <c r="H15" s="91"/>
      <c r="I15" s="91"/>
      <c r="J15" s="91"/>
      <c r="K15" s="91"/>
      <c r="L15" s="91">
        <v>48945</v>
      </c>
      <c r="M15" s="407">
        <v>49067</v>
      </c>
      <c r="N15" s="40">
        <v>49202</v>
      </c>
    </row>
    <row r="16" spans="1:15" ht="28.5" customHeight="1" x14ac:dyDescent="0.3">
      <c r="B16" s="31" t="s">
        <v>218</v>
      </c>
      <c r="C16" s="15" t="s">
        <v>23</v>
      </c>
      <c r="D16" s="31"/>
      <c r="E16" s="15" t="s">
        <v>25</v>
      </c>
      <c r="F16" s="31"/>
      <c r="G16" s="31"/>
      <c r="H16" s="31"/>
      <c r="I16" s="31">
        <v>1</v>
      </c>
      <c r="J16" s="31"/>
      <c r="K16" s="31">
        <v>11</v>
      </c>
      <c r="L16" s="31">
        <v>11</v>
      </c>
      <c r="M16" s="408">
        <v>104</v>
      </c>
      <c r="N16" s="378">
        <v>104</v>
      </c>
    </row>
    <row r="21" spans="2:11" x14ac:dyDescent="0.3">
      <c r="B21" s="900" t="s">
        <v>0</v>
      </c>
      <c r="C21" s="900"/>
      <c r="D21" s="900"/>
      <c r="E21" s="900"/>
      <c r="F21" s="900"/>
      <c r="G21" s="900"/>
      <c r="H21" s="900"/>
      <c r="I21" s="900"/>
      <c r="J21" s="900"/>
      <c r="K21" s="900"/>
    </row>
    <row r="22" spans="2:11" x14ac:dyDescent="0.3">
      <c r="B22" s="900" t="s">
        <v>397</v>
      </c>
      <c r="C22" s="900"/>
      <c r="D22" s="900"/>
      <c r="E22" s="900"/>
      <c r="F22" s="900"/>
      <c r="G22" s="900"/>
      <c r="H22" s="900"/>
      <c r="I22" s="900"/>
      <c r="J22" s="900"/>
      <c r="K22" s="900"/>
    </row>
    <row r="23" spans="2:11" x14ac:dyDescent="0.3">
      <c r="B23" s="900" t="s">
        <v>1251</v>
      </c>
      <c r="C23" s="900"/>
      <c r="D23" s="900"/>
      <c r="E23" s="900"/>
      <c r="F23" s="900"/>
      <c r="G23" s="900"/>
      <c r="H23" s="900"/>
      <c r="I23" s="900"/>
      <c r="J23" s="900"/>
      <c r="K23" s="900"/>
    </row>
    <row r="24" spans="2:11" x14ac:dyDescent="0.3">
      <c r="B24" s="98"/>
      <c r="C24" s="98"/>
      <c r="D24" s="98"/>
      <c r="E24" s="98"/>
      <c r="F24" s="98"/>
      <c r="G24" s="98"/>
      <c r="H24" s="98"/>
      <c r="I24" s="98"/>
      <c r="J24" s="98"/>
      <c r="K24" s="98"/>
    </row>
    <row r="25" spans="2:11" x14ac:dyDescent="0.3">
      <c r="B25" s="118" t="s">
        <v>101</v>
      </c>
      <c r="C25" s="48" t="s">
        <v>72</v>
      </c>
      <c r="D25" s="100"/>
      <c r="E25" s="100"/>
      <c r="F25" s="100"/>
      <c r="G25" s="100"/>
      <c r="H25" s="100"/>
      <c r="I25" s="100"/>
      <c r="J25" s="99"/>
      <c r="K25" s="99"/>
    </row>
    <row r="26" spans="2:11" x14ac:dyDescent="0.3">
      <c r="B26" s="118" t="s">
        <v>398</v>
      </c>
      <c r="C26" s="48" t="s">
        <v>399</v>
      </c>
      <c r="D26" s="100"/>
      <c r="E26" s="100"/>
      <c r="F26" s="100"/>
      <c r="G26" s="100"/>
      <c r="H26" s="100"/>
      <c r="I26" s="100"/>
      <c r="J26" s="99"/>
      <c r="K26" s="99"/>
    </row>
    <row r="27" spans="2:11" x14ac:dyDescent="0.3">
      <c r="B27" s="127"/>
      <c r="C27" s="98"/>
      <c r="D27" s="98"/>
      <c r="E27" s="98"/>
      <c r="F27" s="98"/>
      <c r="G27" s="98"/>
      <c r="H27" s="98"/>
      <c r="I27" s="98"/>
      <c r="J27" s="98"/>
      <c r="K27" s="98"/>
    </row>
    <row r="28" spans="2:11" x14ac:dyDescent="0.3">
      <c r="B28" s="903" t="s">
        <v>400</v>
      </c>
      <c r="C28" s="903"/>
      <c r="D28" s="903"/>
      <c r="E28" s="903"/>
      <c r="F28" s="903"/>
      <c r="G28" s="903"/>
      <c r="H28" s="903"/>
      <c r="I28" s="903"/>
      <c r="J28" s="98"/>
      <c r="K28" s="98"/>
    </row>
    <row r="29" spans="2:11" x14ac:dyDescent="0.3">
      <c r="B29" s="128" t="s">
        <v>401</v>
      </c>
      <c r="C29" s="129">
        <v>2021</v>
      </c>
      <c r="D29" s="130">
        <v>2022</v>
      </c>
      <c r="E29" s="130">
        <v>2023</v>
      </c>
      <c r="F29" s="130">
        <v>2024</v>
      </c>
      <c r="G29" s="130">
        <v>2025</v>
      </c>
      <c r="H29" s="130">
        <v>2026</v>
      </c>
      <c r="I29" s="130" t="s">
        <v>46</v>
      </c>
      <c r="J29" s="97"/>
      <c r="K29" s="131"/>
    </row>
    <row r="30" spans="2:11" x14ac:dyDescent="0.3">
      <c r="B30" s="132" t="s">
        <v>402</v>
      </c>
      <c r="C30" s="133">
        <v>361945</v>
      </c>
      <c r="D30" s="133">
        <v>445909</v>
      </c>
      <c r="E30" s="133">
        <v>109832</v>
      </c>
      <c r="F30" s="134">
        <v>277186</v>
      </c>
      <c r="G30" s="264">
        <v>79311</v>
      </c>
      <c r="H30" s="264">
        <v>30186</v>
      </c>
      <c r="I30" s="133">
        <f>+SUM(C30:H30)</f>
        <v>1304369</v>
      </c>
      <c r="J30" s="97"/>
      <c r="K30" s="131"/>
    </row>
    <row r="31" spans="2:11" x14ac:dyDescent="0.3">
      <c r="B31" s="132" t="s">
        <v>403</v>
      </c>
      <c r="C31" s="133">
        <v>224056</v>
      </c>
      <c r="D31" s="133">
        <v>256292</v>
      </c>
      <c r="E31" s="133">
        <v>56866</v>
      </c>
      <c r="F31" s="134">
        <v>426116</v>
      </c>
      <c r="G31" s="264">
        <v>6561</v>
      </c>
      <c r="H31" s="264">
        <v>4230</v>
      </c>
      <c r="I31" s="133">
        <f t="shared" ref="I31:I33" si="0">+SUM(C31:H31)</f>
        <v>974121</v>
      </c>
      <c r="J31" s="97"/>
      <c r="K31" s="131"/>
    </row>
    <row r="32" spans="2:11" x14ac:dyDescent="0.3">
      <c r="B32" s="135" t="s">
        <v>404</v>
      </c>
      <c r="C32" s="136">
        <v>543614</v>
      </c>
      <c r="D32" s="137">
        <v>635283</v>
      </c>
      <c r="E32" s="137">
        <v>152640</v>
      </c>
      <c r="F32" s="138">
        <v>598144</v>
      </c>
      <c r="G32" s="264">
        <v>110221</v>
      </c>
      <c r="H32" s="266"/>
      <c r="I32" s="133">
        <f t="shared" si="0"/>
        <v>2039902</v>
      </c>
      <c r="J32" s="98"/>
      <c r="K32" s="98"/>
    </row>
    <row r="33" spans="2:11" x14ac:dyDescent="0.3">
      <c r="B33" s="135" t="s">
        <v>405</v>
      </c>
      <c r="C33" s="136">
        <f>+C48</f>
        <v>350568</v>
      </c>
      <c r="D33" s="136">
        <f>+D48</f>
        <v>432590</v>
      </c>
      <c r="E33" s="136">
        <f>+E48</f>
        <v>106292</v>
      </c>
      <c r="F33" s="136">
        <f>+F48</f>
        <v>524065</v>
      </c>
      <c r="G33" s="264">
        <v>274211</v>
      </c>
      <c r="H33" s="264">
        <v>97700</v>
      </c>
      <c r="I33" s="133">
        <f t="shared" si="0"/>
        <v>1785426</v>
      </c>
      <c r="J33" s="98"/>
      <c r="K33" s="98"/>
    </row>
    <row r="34" spans="2:11" ht="75" customHeight="1" x14ac:dyDescent="0.3">
      <c r="B34" s="904" t="s">
        <v>406</v>
      </c>
      <c r="C34" s="905"/>
      <c r="D34" s="905"/>
      <c r="E34" s="905"/>
      <c r="F34" s="905"/>
      <c r="G34" s="905"/>
      <c r="H34" s="905"/>
      <c r="I34" s="905"/>
      <c r="J34" s="139"/>
      <c r="K34" s="139"/>
    </row>
    <row r="35" spans="2:11" x14ac:dyDescent="0.3">
      <c r="B35" s="98"/>
      <c r="C35" s="98"/>
      <c r="D35" s="98"/>
      <c r="E35" s="98"/>
      <c r="F35" s="98"/>
      <c r="G35" s="98"/>
      <c r="H35" s="98"/>
      <c r="I35" s="98"/>
      <c r="J35" s="98"/>
      <c r="K35" s="98"/>
    </row>
    <row r="36" spans="2:11" x14ac:dyDescent="0.3">
      <c r="B36" s="98"/>
      <c r="C36" s="98"/>
      <c r="D36" s="98"/>
      <c r="E36" s="98"/>
      <c r="F36" s="98"/>
      <c r="G36" s="98"/>
      <c r="H36" s="98"/>
      <c r="I36" s="98"/>
      <c r="J36" s="98"/>
      <c r="K36" s="98"/>
    </row>
    <row r="37" spans="2:11" x14ac:dyDescent="0.3">
      <c r="B37" s="98"/>
      <c r="C37" s="98"/>
      <c r="D37" s="98"/>
      <c r="E37" s="98"/>
      <c r="F37" s="98"/>
      <c r="G37" s="98"/>
      <c r="H37" s="98"/>
      <c r="I37" s="98"/>
      <c r="J37" s="98"/>
      <c r="K37" s="98"/>
    </row>
    <row r="38" spans="2:11" ht="13.8" customHeight="1" x14ac:dyDescent="0.3">
      <c r="B38" s="896" t="s">
        <v>407</v>
      </c>
      <c r="C38" s="896"/>
      <c r="D38" s="896"/>
      <c r="E38" s="896"/>
      <c r="F38" s="896"/>
      <c r="G38" s="896"/>
      <c r="H38" s="896"/>
      <c r="I38" s="896"/>
      <c r="J38" s="98"/>
      <c r="K38" s="98"/>
    </row>
    <row r="39" spans="2:11" x14ac:dyDescent="0.3">
      <c r="B39" s="896" t="s">
        <v>408</v>
      </c>
      <c r="C39" s="896"/>
      <c r="D39" s="896"/>
      <c r="E39" s="896"/>
      <c r="F39" s="896"/>
      <c r="G39" s="896"/>
      <c r="H39" s="896"/>
      <c r="I39" s="896"/>
      <c r="J39" s="98"/>
      <c r="K39" s="98"/>
    </row>
    <row r="40" spans="2:11" x14ac:dyDescent="0.3">
      <c r="B40" s="140" t="s">
        <v>409</v>
      </c>
      <c r="C40" s="140">
        <v>2021</v>
      </c>
      <c r="D40" s="140">
        <v>2022</v>
      </c>
      <c r="E40" s="140">
        <v>2023</v>
      </c>
      <c r="F40" s="140">
        <v>2024</v>
      </c>
      <c r="G40" s="409">
        <v>2025</v>
      </c>
      <c r="H40" s="409">
        <v>2026</v>
      </c>
      <c r="I40" s="140" t="s">
        <v>46</v>
      </c>
      <c r="J40" s="98"/>
      <c r="K40" s="98"/>
    </row>
    <row r="41" spans="2:11" x14ac:dyDescent="0.3">
      <c r="B41" s="141" t="s">
        <v>410</v>
      </c>
      <c r="C41" s="142">
        <f>13127+13318</f>
        <v>26445</v>
      </c>
      <c r="D41" s="142">
        <f>16937+17298</f>
        <v>34235</v>
      </c>
      <c r="E41" s="142">
        <f>3991+4167</f>
        <v>8158</v>
      </c>
      <c r="F41" s="143">
        <f>14229+18138</f>
        <v>32367</v>
      </c>
      <c r="G41" s="410">
        <v>10910</v>
      </c>
      <c r="H41" s="410">
        <v>1949</v>
      </c>
      <c r="I41" s="142">
        <f>+SUM(C41:H41)</f>
        <v>114064</v>
      </c>
      <c r="J41" s="98"/>
      <c r="K41" s="98"/>
    </row>
    <row r="42" spans="2:11" x14ac:dyDescent="0.3">
      <c r="B42" s="141" t="s">
        <v>411</v>
      </c>
      <c r="C42" s="144">
        <v>280160</v>
      </c>
      <c r="D42" s="144">
        <v>339679</v>
      </c>
      <c r="E42" s="142">
        <v>81965</v>
      </c>
      <c r="F42" s="145">
        <v>392380</v>
      </c>
      <c r="G42" s="411">
        <v>194834</v>
      </c>
      <c r="H42" s="411">
        <v>37291</v>
      </c>
      <c r="I42" s="142">
        <f t="shared" ref="I42:I47" si="1">+SUM(C42:H42)</f>
        <v>1326309</v>
      </c>
      <c r="J42" s="98"/>
      <c r="K42" s="98"/>
    </row>
    <row r="43" spans="2:11" x14ac:dyDescent="0.3">
      <c r="B43" s="141" t="s">
        <v>412</v>
      </c>
      <c r="C43" s="142">
        <v>43963</v>
      </c>
      <c r="D43" s="142">
        <v>58676</v>
      </c>
      <c r="E43" s="142">
        <v>16169</v>
      </c>
      <c r="F43" s="145">
        <v>85131</v>
      </c>
      <c r="G43" s="411">
        <v>55864</v>
      </c>
      <c r="H43" s="411">
        <v>8734</v>
      </c>
      <c r="I43" s="142">
        <f t="shared" si="1"/>
        <v>268537</v>
      </c>
      <c r="J43" s="98"/>
      <c r="K43" s="98"/>
    </row>
    <row r="44" spans="2:11" x14ac:dyDescent="0.3">
      <c r="B44" s="146" t="s">
        <v>413</v>
      </c>
      <c r="C44" s="147"/>
      <c r="D44" s="147"/>
      <c r="E44" s="147"/>
      <c r="F44" s="143">
        <v>11617</v>
      </c>
      <c r="G44" s="410">
        <v>8187</v>
      </c>
      <c r="H44" s="410">
        <v>2057</v>
      </c>
      <c r="I44" s="142">
        <f t="shared" si="1"/>
        <v>21861</v>
      </c>
      <c r="J44" s="98"/>
      <c r="K44" s="98"/>
    </row>
    <row r="45" spans="2:11" x14ac:dyDescent="0.3">
      <c r="B45" s="146" t="s">
        <v>218</v>
      </c>
      <c r="C45" s="147"/>
      <c r="D45" s="147"/>
      <c r="E45" s="147"/>
      <c r="F45" s="143">
        <v>2487</v>
      </c>
      <c r="G45" s="410">
        <v>2823</v>
      </c>
      <c r="H45" s="410">
        <v>871</v>
      </c>
      <c r="I45" s="142">
        <f t="shared" si="1"/>
        <v>6181</v>
      </c>
      <c r="J45" s="98"/>
      <c r="K45" s="98"/>
    </row>
    <row r="46" spans="2:11" x14ac:dyDescent="0.3">
      <c r="B46" s="146" t="s">
        <v>414</v>
      </c>
      <c r="C46" s="148"/>
      <c r="D46" s="148"/>
      <c r="E46" s="148"/>
      <c r="F46" s="148">
        <v>83</v>
      </c>
      <c r="G46" s="266">
        <v>1593</v>
      </c>
      <c r="H46" s="586">
        <v>415</v>
      </c>
      <c r="I46" s="142">
        <f t="shared" si="1"/>
        <v>2091</v>
      </c>
      <c r="J46" s="98"/>
      <c r="K46" s="98"/>
    </row>
    <row r="47" spans="2:11" x14ac:dyDescent="0.3">
      <c r="B47" s="327" t="s">
        <v>1337</v>
      </c>
      <c r="C47" s="148"/>
      <c r="D47" s="148"/>
      <c r="E47" s="148"/>
      <c r="F47" s="148"/>
      <c r="G47" s="266"/>
      <c r="H47" s="586">
        <v>5622</v>
      </c>
      <c r="I47" s="142">
        <f t="shared" si="1"/>
        <v>5622</v>
      </c>
      <c r="J47" s="98"/>
      <c r="K47" s="98"/>
    </row>
    <row r="48" spans="2:11" x14ac:dyDescent="0.3">
      <c r="B48" s="149" t="s">
        <v>409</v>
      </c>
      <c r="C48" s="150">
        <f>+SUM(C41:C46)</f>
        <v>350568</v>
      </c>
      <c r="D48" s="150">
        <f>+SUM(D41:D46)</f>
        <v>432590</v>
      </c>
      <c r="E48" s="150">
        <f t="shared" ref="E48:G48" si="2">+SUM(E41:E46)</f>
        <v>106292</v>
      </c>
      <c r="F48" s="150">
        <f t="shared" si="2"/>
        <v>524065</v>
      </c>
      <c r="G48" s="150">
        <f t="shared" si="2"/>
        <v>274211</v>
      </c>
      <c r="H48" s="150">
        <f>+SUM(H41:H47)</f>
        <v>56939</v>
      </c>
      <c r="I48" s="150">
        <f>+SUM(I41:I47)</f>
        <v>1744665</v>
      </c>
      <c r="J48" s="98"/>
      <c r="K48" s="98"/>
    </row>
    <row r="52" spans="2:9" ht="12.75" customHeight="1" x14ac:dyDescent="0.3">
      <c r="B52" s="897" t="s">
        <v>1352</v>
      </c>
      <c r="C52" s="897"/>
      <c r="D52" s="897"/>
      <c r="E52" s="897"/>
      <c r="F52" s="897"/>
      <c r="G52" s="897"/>
      <c r="H52" s="897"/>
      <c r="I52" s="897"/>
    </row>
    <row r="53" spans="2:9" x14ac:dyDescent="0.3">
      <c r="B53" s="168" t="s">
        <v>437</v>
      </c>
      <c r="C53" s="170">
        <v>2021</v>
      </c>
      <c r="D53" s="170">
        <v>2022</v>
      </c>
      <c r="E53" s="170">
        <v>2023</v>
      </c>
      <c r="F53" s="170">
        <v>2024</v>
      </c>
      <c r="G53" s="170">
        <v>2025</v>
      </c>
      <c r="H53" s="170">
        <v>2026</v>
      </c>
      <c r="I53" s="170" t="s">
        <v>46</v>
      </c>
    </row>
    <row r="54" spans="2:9" ht="22.5" customHeight="1" x14ac:dyDescent="0.3">
      <c r="B54" s="667" t="s">
        <v>538</v>
      </c>
      <c r="C54" s="694">
        <v>92618</v>
      </c>
      <c r="D54" s="694">
        <v>114866</v>
      </c>
      <c r="E54" s="694">
        <v>125717</v>
      </c>
      <c r="F54" s="694">
        <v>160750</v>
      </c>
      <c r="G54" s="694">
        <v>13414</v>
      </c>
      <c r="H54" s="694">
        <v>7947</v>
      </c>
      <c r="I54" s="694">
        <f>+SUM(C54:H54)</f>
        <v>515312</v>
      </c>
    </row>
    <row r="55" spans="2:9" x14ac:dyDescent="0.3">
      <c r="B55" s="692" t="s">
        <v>1542</v>
      </c>
      <c r="C55" s="705">
        <v>2259</v>
      </c>
      <c r="D55" s="705">
        <v>2941</v>
      </c>
      <c r="E55" s="705">
        <v>3761</v>
      </c>
      <c r="F55" s="667">
        <v>5460</v>
      </c>
      <c r="G55" s="489">
        <v>804</v>
      </c>
      <c r="H55" s="489">
        <v>397</v>
      </c>
      <c r="I55" s="694">
        <f t="shared" ref="I55:I57" si="3">+SUM(C55:H55)</f>
        <v>15622</v>
      </c>
    </row>
    <row r="56" spans="2:9" ht="26.4" x14ac:dyDescent="0.3">
      <c r="B56" s="692" t="s">
        <v>1587</v>
      </c>
      <c r="C56" s="667"/>
      <c r="D56" s="667"/>
      <c r="E56" s="667"/>
      <c r="F56" s="667"/>
      <c r="G56" s="667"/>
      <c r="H56" s="489">
        <v>5</v>
      </c>
      <c r="I56" s="694">
        <f t="shared" si="3"/>
        <v>5</v>
      </c>
    </row>
    <row r="57" spans="2:9" ht="26.4" x14ac:dyDescent="0.3">
      <c r="B57" s="692" t="s">
        <v>1588</v>
      </c>
      <c r="C57" s="667"/>
      <c r="D57" s="667"/>
      <c r="E57" s="667"/>
      <c r="F57" s="667"/>
      <c r="G57" s="667"/>
      <c r="H57" s="489">
        <v>41</v>
      </c>
      <c r="I57" s="694">
        <f t="shared" si="3"/>
        <v>41</v>
      </c>
    </row>
  </sheetData>
  <mergeCells count="12">
    <mergeCell ref="B39:I39"/>
    <mergeCell ref="B52:I52"/>
    <mergeCell ref="E2:K2"/>
    <mergeCell ref="E3:K3"/>
    <mergeCell ref="B21:K21"/>
    <mergeCell ref="D4:L4"/>
    <mergeCell ref="B22:K22"/>
    <mergeCell ref="B23:K23"/>
    <mergeCell ref="A8:N8"/>
    <mergeCell ref="B28:I28"/>
    <mergeCell ref="B34:I34"/>
    <mergeCell ref="B38:I38"/>
  </mergeCells>
  <hyperlinks>
    <hyperlink ref="C6" r:id="rId1" xr:uid="{00000000-0004-0000-0500-000000000000}"/>
    <hyperlink ref="C25" r:id="rId2" xr:uid="{00000000-0004-0000-0500-000001000000}"/>
  </hyperlinks>
  <pageMargins left="0.7" right="0.7" top="0.75" bottom="0.75" header="0.3" footer="0.3"/>
  <pageSetup orientation="portrait" verticalDpi="300"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2:Q1007"/>
  <sheetViews>
    <sheetView showGridLines="0" workbookViewId="0">
      <selection activeCell="E16" sqref="E16"/>
    </sheetView>
  </sheetViews>
  <sheetFormatPr baseColWidth="10" defaultColWidth="14.44140625" defaultRowHeight="15" customHeight="1" x14ac:dyDescent="0.3"/>
  <cols>
    <col min="1" max="1" width="10" style="114" customWidth="1"/>
    <col min="2" max="2" width="40.6640625" style="114" customWidth="1"/>
    <col min="3" max="3" width="12.77734375" style="114" customWidth="1"/>
    <col min="4" max="4" width="36" style="117" customWidth="1"/>
    <col min="5" max="6" width="16.33203125" style="117" customWidth="1"/>
    <col min="7" max="8" width="10" style="117" customWidth="1"/>
    <col min="9" max="10" width="29.5546875" style="114" customWidth="1"/>
    <col min="11" max="11" width="7.21875" style="114" customWidth="1"/>
    <col min="12" max="13" width="10" style="114" customWidth="1"/>
    <col min="14" max="17" width="10" style="456" customWidth="1"/>
    <col min="18" max="23" width="10" style="114" customWidth="1"/>
    <col min="24" max="16384" width="14.44140625" style="114"/>
  </cols>
  <sheetData>
    <row r="2" spans="1:17" ht="12.75" customHeight="1" x14ac:dyDescent="0.3">
      <c r="D2" s="906" t="s">
        <v>0</v>
      </c>
      <c r="E2" s="906"/>
      <c r="F2" s="906"/>
      <c r="G2" s="906"/>
      <c r="H2" s="906"/>
    </row>
    <row r="3" spans="1:17" ht="12.75" customHeight="1" x14ac:dyDescent="0.3">
      <c r="D3" s="838" t="s">
        <v>336</v>
      </c>
      <c r="E3" s="838"/>
      <c r="F3" s="838"/>
      <c r="G3" s="838"/>
      <c r="H3" s="838"/>
    </row>
    <row r="4" spans="1:17" ht="12.75" customHeight="1" x14ac:dyDescent="0.3">
      <c r="B4" s="115"/>
      <c r="D4" s="907" t="s">
        <v>337</v>
      </c>
      <c r="E4" s="907"/>
      <c r="F4" s="907"/>
      <c r="G4" s="907"/>
      <c r="H4" s="907"/>
      <c r="I4" s="116"/>
      <c r="J4" s="116"/>
      <c r="K4" s="116"/>
    </row>
    <row r="5" spans="1:17" ht="13.8" x14ac:dyDescent="0.3">
      <c r="D5" s="114"/>
      <c r="E5" s="114"/>
      <c r="F5" s="114"/>
      <c r="G5" s="114"/>
      <c r="H5" s="114"/>
    </row>
    <row r="6" spans="1:17" ht="13.8" x14ac:dyDescent="0.3"/>
    <row r="7" spans="1:17" ht="14.4" x14ac:dyDescent="0.3">
      <c r="B7" s="416" t="s">
        <v>224</v>
      </c>
      <c r="C7" s="417" t="s">
        <v>225</v>
      </c>
      <c r="D7" s="114"/>
    </row>
    <row r="8" spans="1:17" ht="14.4" x14ac:dyDescent="0.3">
      <c r="B8" s="418" t="s">
        <v>338</v>
      </c>
      <c r="C8" s="419" t="s">
        <v>1234</v>
      </c>
      <c r="D8" s="114"/>
      <c r="E8" s="119"/>
      <c r="F8" s="119"/>
      <c r="G8" s="119"/>
    </row>
    <row r="9" spans="1:17" ht="14.4" x14ac:dyDescent="0.3">
      <c r="B9" s="418" t="s">
        <v>1235</v>
      </c>
      <c r="C9" s="417" t="s">
        <v>339</v>
      </c>
      <c r="D9" s="120"/>
      <c r="E9" s="120"/>
      <c r="F9" s="120"/>
      <c r="G9" s="120"/>
    </row>
    <row r="10" spans="1:17" ht="13.8" x14ac:dyDescent="0.3">
      <c r="B10" s="420" t="s">
        <v>340</v>
      </c>
      <c r="C10" s="421"/>
      <c r="D10" s="120"/>
      <c r="E10" s="120"/>
      <c r="F10" s="120"/>
      <c r="G10" s="120"/>
    </row>
    <row r="11" spans="1:17" ht="13.8" x14ac:dyDescent="0.3">
      <c r="B11" s="420"/>
      <c r="C11" s="421"/>
      <c r="D11" s="120"/>
      <c r="E11" s="120"/>
      <c r="F11" s="120"/>
      <c r="G11" s="120"/>
    </row>
    <row r="12" spans="1:17" ht="39.6" x14ac:dyDescent="0.3">
      <c r="A12" s="457" t="s">
        <v>341</v>
      </c>
      <c r="B12" s="458" t="s">
        <v>739</v>
      </c>
      <c r="C12" s="457" t="s">
        <v>740</v>
      </c>
      <c r="D12" s="458" t="s">
        <v>741</v>
      </c>
      <c r="E12" s="458" t="s">
        <v>742</v>
      </c>
      <c r="F12" s="457" t="s">
        <v>743</v>
      </c>
      <c r="G12" s="458" t="s">
        <v>744</v>
      </c>
      <c r="H12" s="458" t="s">
        <v>745</v>
      </c>
      <c r="I12" s="458" t="s">
        <v>746</v>
      </c>
      <c r="J12" s="457" t="s">
        <v>747</v>
      </c>
      <c r="K12" s="459" t="s">
        <v>748</v>
      </c>
      <c r="L12" s="460" t="s">
        <v>749</v>
      </c>
      <c r="M12" s="461" t="s">
        <v>1258</v>
      </c>
      <c r="N12" s="462">
        <v>2023</v>
      </c>
      <c r="O12" s="462">
        <v>2024</v>
      </c>
      <c r="P12" s="462">
        <v>2025</v>
      </c>
      <c r="Q12" s="462">
        <v>2026</v>
      </c>
    </row>
    <row r="13" spans="1:17" ht="26.4" x14ac:dyDescent="0.3">
      <c r="A13" s="435">
        <v>1</v>
      </c>
      <c r="B13" s="436" t="s">
        <v>342</v>
      </c>
      <c r="C13" s="436" t="s">
        <v>1080</v>
      </c>
      <c r="D13" s="437" t="s">
        <v>1081</v>
      </c>
      <c r="E13" s="437" t="s">
        <v>1082</v>
      </c>
      <c r="F13" s="436" t="s">
        <v>754</v>
      </c>
      <c r="G13" s="438" t="s">
        <v>755</v>
      </c>
      <c r="H13" s="436" t="s">
        <v>756</v>
      </c>
      <c r="I13" s="437" t="s">
        <v>1083</v>
      </c>
      <c r="J13" s="437" t="s">
        <v>1084</v>
      </c>
      <c r="K13" s="436">
        <v>2026</v>
      </c>
      <c r="L13" s="439">
        <v>46135</v>
      </c>
      <c r="M13" s="440">
        <v>46368</v>
      </c>
      <c r="N13" s="283"/>
      <c r="O13" s="283"/>
      <c r="P13" s="283"/>
      <c r="Q13" s="283" t="s">
        <v>91</v>
      </c>
    </row>
    <row r="14" spans="1:17" ht="26.4" x14ac:dyDescent="0.3">
      <c r="A14" s="435">
        <v>2</v>
      </c>
      <c r="B14" s="436" t="s">
        <v>583</v>
      </c>
      <c r="C14" s="436" t="s">
        <v>896</v>
      </c>
      <c r="D14" s="437" t="s">
        <v>583</v>
      </c>
      <c r="E14" s="437" t="s">
        <v>897</v>
      </c>
      <c r="F14" s="436" t="s">
        <v>754</v>
      </c>
      <c r="G14" s="441" t="s">
        <v>755</v>
      </c>
      <c r="H14" s="436" t="s">
        <v>756</v>
      </c>
      <c r="I14" s="437" t="s">
        <v>898</v>
      </c>
      <c r="J14" s="437" t="s">
        <v>898</v>
      </c>
      <c r="K14" s="436">
        <v>2025</v>
      </c>
      <c r="L14" s="439">
        <v>45694</v>
      </c>
      <c r="M14" s="440">
        <v>45991</v>
      </c>
      <c r="N14" s="283" t="s">
        <v>91</v>
      </c>
      <c r="O14" s="283" t="s">
        <v>91</v>
      </c>
      <c r="P14" s="283" t="s">
        <v>91</v>
      </c>
      <c r="Q14" s="283"/>
    </row>
    <row r="15" spans="1:17" ht="27" customHeight="1" x14ac:dyDescent="0.3">
      <c r="A15" s="435">
        <v>3</v>
      </c>
      <c r="B15" s="436" t="s">
        <v>750</v>
      </c>
      <c r="C15" s="436" t="s">
        <v>751</v>
      </c>
      <c r="D15" s="437" t="s">
        <v>752</v>
      </c>
      <c r="E15" s="437" t="s">
        <v>753</v>
      </c>
      <c r="F15" s="436" t="s">
        <v>754</v>
      </c>
      <c r="G15" s="441" t="s">
        <v>755</v>
      </c>
      <c r="H15" s="436" t="s">
        <v>756</v>
      </c>
      <c r="I15" s="437" t="s">
        <v>757</v>
      </c>
      <c r="J15" s="437" t="s">
        <v>757</v>
      </c>
      <c r="K15" s="436">
        <v>2026</v>
      </c>
      <c r="L15" s="439">
        <v>46064</v>
      </c>
      <c r="M15" s="440">
        <v>46368</v>
      </c>
      <c r="N15" s="283"/>
      <c r="O15" s="283"/>
      <c r="P15" s="283"/>
      <c r="Q15" s="283" t="s">
        <v>91</v>
      </c>
    </row>
    <row r="16" spans="1:17" ht="39.6" x14ac:dyDescent="0.3">
      <c r="A16" s="435">
        <v>4</v>
      </c>
      <c r="B16" s="436" t="s">
        <v>343</v>
      </c>
      <c r="C16" s="436" t="s">
        <v>758</v>
      </c>
      <c r="D16" s="437" t="s">
        <v>759</v>
      </c>
      <c r="E16" s="437" t="s">
        <v>760</v>
      </c>
      <c r="F16" s="436" t="s">
        <v>754</v>
      </c>
      <c r="G16" s="441" t="s">
        <v>761</v>
      </c>
      <c r="H16" s="436" t="s">
        <v>756</v>
      </c>
      <c r="I16" s="437" t="s">
        <v>762</v>
      </c>
      <c r="J16" s="437" t="s">
        <v>763</v>
      </c>
      <c r="K16" s="436">
        <v>2026</v>
      </c>
      <c r="L16" s="439">
        <v>46063</v>
      </c>
      <c r="M16" s="440">
        <v>46368</v>
      </c>
      <c r="N16" s="283"/>
      <c r="O16" s="283"/>
      <c r="P16" s="283"/>
      <c r="Q16" s="283" t="s">
        <v>91</v>
      </c>
    </row>
    <row r="17" spans="1:17" ht="26.4" x14ac:dyDescent="0.3">
      <c r="A17" s="435">
        <v>5</v>
      </c>
      <c r="B17" s="436" t="s">
        <v>344</v>
      </c>
      <c r="C17" s="436" t="s">
        <v>1085</v>
      </c>
      <c r="D17" s="437" t="s">
        <v>1086</v>
      </c>
      <c r="E17" s="437" t="s">
        <v>1087</v>
      </c>
      <c r="F17" s="436" t="s">
        <v>1259</v>
      </c>
      <c r="G17" s="441" t="s">
        <v>1260</v>
      </c>
      <c r="H17" s="436" t="s">
        <v>756</v>
      </c>
      <c r="I17" s="437" t="s">
        <v>1088</v>
      </c>
      <c r="J17" s="437" t="s">
        <v>1089</v>
      </c>
      <c r="K17" s="436">
        <v>2023</v>
      </c>
      <c r="L17" s="439">
        <v>44995</v>
      </c>
      <c r="M17" s="440">
        <v>45260</v>
      </c>
      <c r="N17" s="283" t="s">
        <v>91</v>
      </c>
      <c r="O17" s="283"/>
      <c r="P17" s="283"/>
      <c r="Q17" s="283"/>
    </row>
    <row r="18" spans="1:17" ht="26.4" x14ac:dyDescent="0.3">
      <c r="A18" s="435">
        <v>6</v>
      </c>
      <c r="B18" s="436" t="s">
        <v>578</v>
      </c>
      <c r="C18" s="436" t="s">
        <v>899</v>
      </c>
      <c r="D18" s="437" t="s">
        <v>900</v>
      </c>
      <c r="E18" s="437" t="s">
        <v>1261</v>
      </c>
      <c r="F18" s="436" t="s">
        <v>754</v>
      </c>
      <c r="G18" s="441" t="s">
        <v>761</v>
      </c>
      <c r="H18" s="436" t="s">
        <v>756</v>
      </c>
      <c r="I18" s="437" t="s">
        <v>901</v>
      </c>
      <c r="J18" s="437" t="s">
        <v>902</v>
      </c>
      <c r="K18" s="436">
        <v>2026</v>
      </c>
      <c r="L18" s="439">
        <v>46064</v>
      </c>
      <c r="M18" s="440">
        <v>46356</v>
      </c>
      <c r="N18" s="283"/>
      <c r="O18" s="283"/>
      <c r="P18" s="283"/>
      <c r="Q18" s="283" t="s">
        <v>91</v>
      </c>
    </row>
    <row r="19" spans="1:17" ht="14.4" x14ac:dyDescent="0.3">
      <c r="A19" s="435">
        <v>7</v>
      </c>
      <c r="B19" s="436" t="s">
        <v>1090</v>
      </c>
      <c r="C19" s="436" t="s">
        <v>1091</v>
      </c>
      <c r="D19" s="437" t="s">
        <v>1092</v>
      </c>
      <c r="E19" s="437" t="s">
        <v>1093</v>
      </c>
      <c r="F19" s="436" t="s">
        <v>754</v>
      </c>
      <c r="G19" s="441" t="s">
        <v>755</v>
      </c>
      <c r="H19" s="436" t="s">
        <v>756</v>
      </c>
      <c r="I19" s="437" t="s">
        <v>1094</v>
      </c>
      <c r="J19" s="437" t="s">
        <v>1095</v>
      </c>
      <c r="K19" s="436">
        <v>2026</v>
      </c>
      <c r="L19" s="439">
        <v>46133</v>
      </c>
      <c r="M19" s="440">
        <v>46368</v>
      </c>
      <c r="N19" s="283"/>
      <c r="O19" s="283"/>
      <c r="P19" s="283"/>
      <c r="Q19" s="283" t="s">
        <v>91</v>
      </c>
    </row>
    <row r="20" spans="1:17" ht="26.4" x14ac:dyDescent="0.3">
      <c r="A20" s="435">
        <v>8</v>
      </c>
      <c r="B20" s="436" t="s">
        <v>903</v>
      </c>
      <c r="C20" s="436" t="s">
        <v>904</v>
      </c>
      <c r="D20" s="437" t="s">
        <v>905</v>
      </c>
      <c r="E20" s="437" t="s">
        <v>906</v>
      </c>
      <c r="F20" s="436" t="s">
        <v>754</v>
      </c>
      <c r="G20" s="441" t="s">
        <v>755</v>
      </c>
      <c r="H20" s="436" t="s">
        <v>756</v>
      </c>
      <c r="I20" s="437" t="s">
        <v>907</v>
      </c>
      <c r="J20" s="437" t="s">
        <v>907</v>
      </c>
      <c r="K20" s="436">
        <v>2025</v>
      </c>
      <c r="L20" s="439">
        <v>45694</v>
      </c>
      <c r="M20" s="440">
        <v>45991</v>
      </c>
      <c r="N20" s="283" t="s">
        <v>91</v>
      </c>
      <c r="O20" s="283" t="s">
        <v>91</v>
      </c>
      <c r="P20" s="283" t="s">
        <v>91</v>
      </c>
      <c r="Q20" s="283"/>
    </row>
    <row r="21" spans="1:17" ht="14.4" x14ac:dyDescent="0.3">
      <c r="A21" s="435">
        <v>9</v>
      </c>
      <c r="B21" s="436" t="s">
        <v>584</v>
      </c>
      <c r="C21" s="436" t="s">
        <v>908</v>
      </c>
      <c r="D21" s="437" t="s">
        <v>820</v>
      </c>
      <c r="E21" s="437" t="s">
        <v>909</v>
      </c>
      <c r="F21" s="436" t="s">
        <v>754</v>
      </c>
      <c r="G21" s="441" t="s">
        <v>761</v>
      </c>
      <c r="H21" s="436" t="s">
        <v>756</v>
      </c>
      <c r="I21" s="437" t="s">
        <v>910</v>
      </c>
      <c r="J21" s="437"/>
      <c r="K21" s="436">
        <v>2025</v>
      </c>
      <c r="L21" s="439">
        <v>45807</v>
      </c>
      <c r="M21" s="440">
        <v>45991</v>
      </c>
      <c r="N21" s="283" t="s">
        <v>91</v>
      </c>
      <c r="O21" s="283" t="s">
        <v>91</v>
      </c>
      <c r="P21" s="283" t="s">
        <v>91</v>
      </c>
      <c r="Q21" s="283"/>
    </row>
    <row r="22" spans="1:17" ht="26.4" x14ac:dyDescent="0.3">
      <c r="A22" s="435">
        <v>10</v>
      </c>
      <c r="B22" s="436" t="s">
        <v>345</v>
      </c>
      <c r="C22" s="436" t="s">
        <v>1096</v>
      </c>
      <c r="D22" s="437" t="s">
        <v>820</v>
      </c>
      <c r="E22" s="437" t="s">
        <v>1097</v>
      </c>
      <c r="F22" s="436" t="s">
        <v>1259</v>
      </c>
      <c r="G22" s="441" t="s">
        <v>761</v>
      </c>
      <c r="H22" s="436" t="s">
        <v>756</v>
      </c>
      <c r="I22" s="437" t="s">
        <v>1098</v>
      </c>
      <c r="J22" s="437" t="s">
        <v>1098</v>
      </c>
      <c r="K22" s="436">
        <v>2023</v>
      </c>
      <c r="L22" s="439">
        <v>45037</v>
      </c>
      <c r="M22" s="440">
        <v>45260</v>
      </c>
      <c r="N22" s="283" t="s">
        <v>91</v>
      </c>
      <c r="O22" s="283"/>
      <c r="P22" s="283"/>
      <c r="Q22" s="283"/>
    </row>
    <row r="23" spans="1:17" ht="14.4" x14ac:dyDescent="0.3">
      <c r="A23" s="435">
        <v>11</v>
      </c>
      <c r="B23" s="436" t="s">
        <v>346</v>
      </c>
      <c r="C23" s="436" t="s">
        <v>1099</v>
      </c>
      <c r="D23" s="437" t="s">
        <v>820</v>
      </c>
      <c r="E23" s="437" t="s">
        <v>1100</v>
      </c>
      <c r="F23" s="436" t="s">
        <v>1259</v>
      </c>
      <c r="G23" s="441" t="s">
        <v>761</v>
      </c>
      <c r="H23" s="436" t="s">
        <v>756</v>
      </c>
      <c r="I23" s="437" t="s">
        <v>1101</v>
      </c>
      <c r="J23" s="437"/>
      <c r="K23" s="436">
        <v>2023</v>
      </c>
      <c r="L23" s="439">
        <v>44988</v>
      </c>
      <c r="M23" s="440">
        <v>45260</v>
      </c>
      <c r="N23" s="283" t="s">
        <v>91</v>
      </c>
      <c r="O23" s="283"/>
      <c r="P23" s="283"/>
      <c r="Q23" s="283"/>
    </row>
    <row r="24" spans="1:17" ht="26.4" x14ac:dyDescent="0.3">
      <c r="A24" s="435">
        <v>12</v>
      </c>
      <c r="B24" s="436" t="s">
        <v>347</v>
      </c>
      <c r="C24" s="436" t="s">
        <v>764</v>
      </c>
      <c r="D24" s="437" t="s">
        <v>765</v>
      </c>
      <c r="E24" s="437" t="s">
        <v>766</v>
      </c>
      <c r="F24" s="436" t="s">
        <v>754</v>
      </c>
      <c r="G24" s="441" t="s">
        <v>761</v>
      </c>
      <c r="H24" s="436" t="s">
        <v>756</v>
      </c>
      <c r="I24" s="437" t="s">
        <v>767</v>
      </c>
      <c r="J24" s="437" t="s">
        <v>768</v>
      </c>
      <c r="K24" s="436">
        <v>2026</v>
      </c>
      <c r="L24" s="439">
        <v>46056</v>
      </c>
      <c r="M24" s="440">
        <v>46368</v>
      </c>
      <c r="N24" s="283"/>
      <c r="O24" s="283"/>
      <c r="P24" s="283"/>
      <c r="Q24" s="283" t="s">
        <v>91</v>
      </c>
    </row>
    <row r="25" spans="1:17" ht="26.4" x14ac:dyDescent="0.3">
      <c r="A25" s="435">
        <v>13</v>
      </c>
      <c r="B25" s="436" t="s">
        <v>911</v>
      </c>
      <c r="C25" s="436" t="s">
        <v>912</v>
      </c>
      <c r="D25" s="437" t="s">
        <v>820</v>
      </c>
      <c r="E25" s="437" t="s">
        <v>913</v>
      </c>
      <c r="F25" s="436" t="s">
        <v>754</v>
      </c>
      <c r="G25" s="441" t="s">
        <v>761</v>
      </c>
      <c r="H25" s="436" t="s">
        <v>756</v>
      </c>
      <c r="I25" s="437" t="s">
        <v>914</v>
      </c>
      <c r="J25" s="437" t="s">
        <v>1262</v>
      </c>
      <c r="K25" s="436">
        <v>2026</v>
      </c>
      <c r="L25" s="439">
        <v>46083</v>
      </c>
      <c r="M25" s="440">
        <v>46368</v>
      </c>
      <c r="N25" s="283"/>
      <c r="O25" s="283"/>
      <c r="P25" s="283"/>
      <c r="Q25" s="283" t="s">
        <v>91</v>
      </c>
    </row>
    <row r="26" spans="1:17" ht="14.4" x14ac:dyDescent="0.3">
      <c r="A26" s="435">
        <v>14</v>
      </c>
      <c r="B26" s="436" t="s">
        <v>915</v>
      </c>
      <c r="C26" s="436" t="s">
        <v>916</v>
      </c>
      <c r="D26" s="437" t="s">
        <v>917</v>
      </c>
      <c r="E26" s="437" t="s">
        <v>1263</v>
      </c>
      <c r="F26" s="436" t="s">
        <v>754</v>
      </c>
      <c r="G26" s="441" t="s">
        <v>761</v>
      </c>
      <c r="H26" s="436" t="s">
        <v>756</v>
      </c>
      <c r="I26" s="437" t="s">
        <v>918</v>
      </c>
      <c r="J26" s="437" t="s">
        <v>919</v>
      </c>
      <c r="K26" s="436">
        <v>2026</v>
      </c>
      <c r="L26" s="439">
        <v>46072</v>
      </c>
      <c r="M26" s="440">
        <v>46368</v>
      </c>
      <c r="N26" s="283"/>
      <c r="O26" s="283"/>
      <c r="P26" s="283"/>
      <c r="Q26" s="283" t="s">
        <v>91</v>
      </c>
    </row>
    <row r="27" spans="1:17" ht="15.75" customHeight="1" x14ac:dyDescent="0.3">
      <c r="A27" s="435">
        <v>15</v>
      </c>
      <c r="B27" s="436" t="s">
        <v>348</v>
      </c>
      <c r="C27" s="436" t="s">
        <v>769</v>
      </c>
      <c r="D27" s="437" t="s">
        <v>770</v>
      </c>
      <c r="E27" s="437" t="s">
        <v>771</v>
      </c>
      <c r="F27" s="436" t="s">
        <v>754</v>
      </c>
      <c r="G27" s="441" t="s">
        <v>755</v>
      </c>
      <c r="H27" s="436" t="s">
        <v>756</v>
      </c>
      <c r="I27" s="437" t="s">
        <v>772</v>
      </c>
      <c r="J27" s="437" t="s">
        <v>773</v>
      </c>
      <c r="K27" s="436">
        <v>2026</v>
      </c>
      <c r="L27" s="439">
        <v>46064</v>
      </c>
      <c r="M27" s="440">
        <v>46356</v>
      </c>
      <c r="N27" s="283"/>
      <c r="O27" s="283"/>
      <c r="P27" s="283"/>
      <c r="Q27" s="283" t="s">
        <v>91</v>
      </c>
    </row>
    <row r="28" spans="1:17" ht="15.75" customHeight="1" x14ac:dyDescent="0.3">
      <c r="A28" s="435">
        <v>16</v>
      </c>
      <c r="B28" s="436" t="s">
        <v>1036</v>
      </c>
      <c r="C28" s="436" t="s">
        <v>1037</v>
      </c>
      <c r="D28" s="437" t="s">
        <v>820</v>
      </c>
      <c r="E28" s="437" t="s">
        <v>1038</v>
      </c>
      <c r="F28" s="436" t="s">
        <v>754</v>
      </c>
      <c r="G28" s="441" t="s">
        <v>761</v>
      </c>
      <c r="H28" s="436" t="s">
        <v>756</v>
      </c>
      <c r="I28" s="437" t="s">
        <v>1039</v>
      </c>
      <c r="J28" s="437" t="s">
        <v>1264</v>
      </c>
      <c r="K28" s="436">
        <v>2026</v>
      </c>
      <c r="L28" s="439">
        <v>46077</v>
      </c>
      <c r="M28" s="440">
        <v>46368</v>
      </c>
      <c r="N28" s="283"/>
      <c r="O28" s="283"/>
      <c r="P28" s="283"/>
      <c r="Q28" s="283" t="s">
        <v>91</v>
      </c>
    </row>
    <row r="29" spans="1:17" ht="15.75" customHeight="1" x14ac:dyDescent="0.3">
      <c r="A29" s="435">
        <v>17</v>
      </c>
      <c r="B29" s="436" t="s">
        <v>349</v>
      </c>
      <c r="C29" s="436" t="s">
        <v>920</v>
      </c>
      <c r="D29" s="437" t="s">
        <v>820</v>
      </c>
      <c r="E29" s="437" t="s">
        <v>921</v>
      </c>
      <c r="F29" s="436" t="s">
        <v>754</v>
      </c>
      <c r="G29" s="441" t="s">
        <v>761</v>
      </c>
      <c r="H29" s="436" t="s">
        <v>756</v>
      </c>
      <c r="I29" s="437" t="s">
        <v>922</v>
      </c>
      <c r="J29" s="437" t="s">
        <v>923</v>
      </c>
      <c r="K29" s="436">
        <v>2025</v>
      </c>
      <c r="L29" s="439">
        <v>45965</v>
      </c>
      <c r="M29" s="440">
        <v>45991</v>
      </c>
      <c r="N29" s="283" t="s">
        <v>91</v>
      </c>
      <c r="O29" s="283" t="s">
        <v>91</v>
      </c>
      <c r="P29" s="283" t="s">
        <v>91</v>
      </c>
      <c r="Q29" s="283"/>
    </row>
    <row r="30" spans="1:17" ht="15.75" customHeight="1" x14ac:dyDescent="0.3">
      <c r="A30" s="435">
        <v>18</v>
      </c>
      <c r="B30" s="436" t="s">
        <v>1265</v>
      </c>
      <c r="C30" s="436">
        <v>899999061</v>
      </c>
      <c r="D30" s="437" t="s">
        <v>820</v>
      </c>
      <c r="E30" s="437" t="s">
        <v>1195</v>
      </c>
      <c r="F30" s="436" t="s">
        <v>1259</v>
      </c>
      <c r="G30" s="441" t="s">
        <v>1260</v>
      </c>
      <c r="H30" s="436" t="s">
        <v>1266</v>
      </c>
      <c r="I30" s="437" t="s">
        <v>1196</v>
      </c>
      <c r="J30" s="437"/>
      <c r="K30" s="436">
        <v>2023</v>
      </c>
      <c r="L30" s="442"/>
      <c r="M30" s="443"/>
      <c r="N30" s="283" t="s">
        <v>91</v>
      </c>
      <c r="O30" s="283"/>
      <c r="P30" s="283"/>
      <c r="Q30" s="283"/>
    </row>
    <row r="31" spans="1:17" ht="15.75" customHeight="1" x14ac:dyDescent="0.3">
      <c r="A31" s="435">
        <v>19</v>
      </c>
      <c r="B31" s="436" t="s">
        <v>1267</v>
      </c>
      <c r="C31" s="436" t="s">
        <v>1268</v>
      </c>
      <c r="D31" s="444" t="s">
        <v>1269</v>
      </c>
      <c r="E31" s="437" t="s">
        <v>1197</v>
      </c>
      <c r="F31" s="436" t="s">
        <v>1259</v>
      </c>
      <c r="G31" s="441" t="s">
        <v>1260</v>
      </c>
      <c r="H31" s="436" t="s">
        <v>1266</v>
      </c>
      <c r="I31" s="437" t="s">
        <v>1198</v>
      </c>
      <c r="J31" s="437"/>
      <c r="K31" s="436">
        <v>2023</v>
      </c>
      <c r="L31" s="442"/>
      <c r="M31" s="443"/>
      <c r="N31" s="283" t="s">
        <v>91</v>
      </c>
      <c r="O31" s="283"/>
      <c r="P31" s="283"/>
      <c r="Q31" s="283"/>
    </row>
    <row r="32" spans="1:17" ht="15.75" customHeight="1" x14ac:dyDescent="0.3">
      <c r="A32" s="435">
        <v>20</v>
      </c>
      <c r="B32" s="436" t="s">
        <v>924</v>
      </c>
      <c r="C32" s="436" t="s">
        <v>925</v>
      </c>
      <c r="D32" s="437" t="s">
        <v>926</v>
      </c>
      <c r="E32" s="437" t="s">
        <v>927</v>
      </c>
      <c r="F32" s="436" t="s">
        <v>754</v>
      </c>
      <c r="G32" s="441" t="s">
        <v>761</v>
      </c>
      <c r="H32" s="436" t="s">
        <v>756</v>
      </c>
      <c r="I32" s="437" t="s">
        <v>928</v>
      </c>
      <c r="J32" s="437" t="s">
        <v>929</v>
      </c>
      <c r="K32" s="436">
        <v>2026</v>
      </c>
      <c r="L32" s="439">
        <v>46125</v>
      </c>
      <c r="M32" s="440">
        <v>46368</v>
      </c>
      <c r="N32" s="283"/>
      <c r="O32" s="283"/>
      <c r="P32" s="283"/>
      <c r="Q32" s="283" t="s">
        <v>91</v>
      </c>
    </row>
    <row r="33" spans="1:17" ht="15.75" customHeight="1" x14ac:dyDescent="0.3">
      <c r="A33" s="435">
        <v>21</v>
      </c>
      <c r="B33" s="436" t="s">
        <v>350</v>
      </c>
      <c r="C33" s="436" t="s">
        <v>774</v>
      </c>
      <c r="D33" s="437" t="s">
        <v>775</v>
      </c>
      <c r="E33" s="437" t="s">
        <v>776</v>
      </c>
      <c r="F33" s="436" t="s">
        <v>754</v>
      </c>
      <c r="G33" s="441" t="s">
        <v>777</v>
      </c>
      <c r="H33" s="436" t="s">
        <v>756</v>
      </c>
      <c r="I33" s="437" t="s">
        <v>778</v>
      </c>
      <c r="J33" s="437" t="s">
        <v>1270</v>
      </c>
      <c r="K33" s="436">
        <v>2026</v>
      </c>
      <c r="L33" s="439">
        <v>46056</v>
      </c>
      <c r="M33" s="440">
        <v>46356</v>
      </c>
      <c r="N33" s="283"/>
      <c r="O33" s="283"/>
      <c r="P33" s="283"/>
      <c r="Q33" s="283" t="s">
        <v>91</v>
      </c>
    </row>
    <row r="34" spans="1:17" ht="15.75" customHeight="1" x14ac:dyDescent="0.3">
      <c r="A34" s="435">
        <v>22</v>
      </c>
      <c r="B34" s="436" t="s">
        <v>1199</v>
      </c>
      <c r="C34" s="436" t="s">
        <v>1200</v>
      </c>
      <c r="D34" s="437" t="s">
        <v>820</v>
      </c>
      <c r="E34" s="437" t="s">
        <v>1201</v>
      </c>
      <c r="F34" s="436" t="s">
        <v>1259</v>
      </c>
      <c r="G34" s="441" t="s">
        <v>1271</v>
      </c>
      <c r="H34" s="436" t="s">
        <v>1266</v>
      </c>
      <c r="I34" s="437" t="s">
        <v>1202</v>
      </c>
      <c r="J34" s="437"/>
      <c r="K34" s="436">
        <v>2023</v>
      </c>
      <c r="L34" s="442"/>
      <c r="M34" s="443"/>
      <c r="N34" s="283" t="s">
        <v>91</v>
      </c>
      <c r="O34" s="283"/>
      <c r="P34" s="283"/>
      <c r="Q34" s="283"/>
    </row>
    <row r="35" spans="1:17" ht="15.75" customHeight="1" x14ac:dyDescent="0.3">
      <c r="A35" s="435">
        <v>23</v>
      </c>
      <c r="B35" s="436" t="s">
        <v>351</v>
      </c>
      <c r="C35" s="436" t="s">
        <v>1102</v>
      </c>
      <c r="D35" s="437" t="s">
        <v>1272</v>
      </c>
      <c r="E35" s="437" t="s">
        <v>1103</v>
      </c>
      <c r="F35" s="436" t="s">
        <v>754</v>
      </c>
      <c r="G35" s="441" t="s">
        <v>755</v>
      </c>
      <c r="H35" s="436" t="s">
        <v>756</v>
      </c>
      <c r="I35" s="437" t="s">
        <v>1104</v>
      </c>
      <c r="J35" s="437" t="s">
        <v>1273</v>
      </c>
      <c r="K35" s="436">
        <v>2026</v>
      </c>
      <c r="L35" s="439">
        <v>46121</v>
      </c>
      <c r="M35" s="440">
        <v>46356</v>
      </c>
      <c r="N35" s="283"/>
      <c r="O35" s="283"/>
      <c r="P35" s="283"/>
      <c r="Q35" s="283" t="s">
        <v>91</v>
      </c>
    </row>
    <row r="36" spans="1:17" ht="15.75" customHeight="1" x14ac:dyDescent="0.3">
      <c r="A36" s="435">
        <v>24</v>
      </c>
      <c r="B36" s="436" t="s">
        <v>1274</v>
      </c>
      <c r="C36" s="436" t="s">
        <v>1018</v>
      </c>
      <c r="D36" s="437" t="s">
        <v>1105</v>
      </c>
      <c r="E36" s="437" t="s">
        <v>1275</v>
      </c>
      <c r="F36" s="436" t="s">
        <v>754</v>
      </c>
      <c r="G36" s="441" t="s">
        <v>755</v>
      </c>
      <c r="H36" s="436" t="s">
        <v>756</v>
      </c>
      <c r="I36" s="437" t="s">
        <v>1106</v>
      </c>
      <c r="J36" s="437" t="s">
        <v>1273</v>
      </c>
      <c r="K36" s="436">
        <v>2026</v>
      </c>
      <c r="L36" s="439">
        <v>46073</v>
      </c>
      <c r="M36" s="440">
        <v>46356</v>
      </c>
      <c r="N36" s="283"/>
      <c r="O36" s="283"/>
      <c r="P36" s="283"/>
      <c r="Q36" s="283" t="s">
        <v>91</v>
      </c>
    </row>
    <row r="37" spans="1:17" ht="15.75" customHeight="1" x14ac:dyDescent="0.3">
      <c r="A37" s="435">
        <v>25</v>
      </c>
      <c r="B37" s="436" t="s">
        <v>1276</v>
      </c>
      <c r="C37" s="436">
        <v>800226849</v>
      </c>
      <c r="D37" s="437" t="s">
        <v>1277</v>
      </c>
      <c r="E37" s="437" t="s">
        <v>1278</v>
      </c>
      <c r="F37" s="436" t="s">
        <v>754</v>
      </c>
      <c r="G37" s="441" t="s">
        <v>755</v>
      </c>
      <c r="H37" s="436" t="s">
        <v>756</v>
      </c>
      <c r="I37" s="437" t="s">
        <v>1107</v>
      </c>
      <c r="J37" s="437" t="s">
        <v>1107</v>
      </c>
      <c r="K37" s="436">
        <v>2026</v>
      </c>
      <c r="L37" s="439">
        <v>46107</v>
      </c>
      <c r="M37" s="440">
        <v>46368</v>
      </c>
      <c r="N37" s="283"/>
      <c r="O37" s="283"/>
      <c r="P37" s="283"/>
      <c r="Q37" s="283" t="s">
        <v>91</v>
      </c>
    </row>
    <row r="38" spans="1:17" ht="15.75" customHeight="1" x14ac:dyDescent="0.3">
      <c r="A38" s="435">
        <v>26</v>
      </c>
      <c r="B38" s="436" t="s">
        <v>779</v>
      </c>
      <c r="C38" s="436" t="s">
        <v>780</v>
      </c>
      <c r="D38" s="437" t="s">
        <v>781</v>
      </c>
      <c r="E38" s="437" t="s">
        <v>782</v>
      </c>
      <c r="F38" s="436" t="s">
        <v>754</v>
      </c>
      <c r="G38" s="441" t="s">
        <v>755</v>
      </c>
      <c r="H38" s="436" t="s">
        <v>756</v>
      </c>
      <c r="I38" s="437" t="s">
        <v>783</v>
      </c>
      <c r="J38" s="437" t="s">
        <v>784</v>
      </c>
      <c r="K38" s="436">
        <v>2026</v>
      </c>
      <c r="L38" s="439">
        <v>46064</v>
      </c>
      <c r="M38" s="440">
        <v>46368</v>
      </c>
      <c r="N38" s="283"/>
      <c r="O38" s="283"/>
      <c r="P38" s="283"/>
      <c r="Q38" s="283" t="s">
        <v>91</v>
      </c>
    </row>
    <row r="39" spans="1:17" ht="15.75" customHeight="1" x14ac:dyDescent="0.3">
      <c r="A39" s="435">
        <v>27</v>
      </c>
      <c r="B39" s="436" t="s">
        <v>352</v>
      </c>
      <c r="C39" s="436" t="s">
        <v>785</v>
      </c>
      <c r="D39" s="437" t="s">
        <v>786</v>
      </c>
      <c r="E39" s="437" t="s">
        <v>787</v>
      </c>
      <c r="F39" s="436" t="s">
        <v>754</v>
      </c>
      <c r="G39" s="441" t="s">
        <v>755</v>
      </c>
      <c r="H39" s="436" t="s">
        <v>756</v>
      </c>
      <c r="I39" s="437" t="s">
        <v>788</v>
      </c>
      <c r="J39" s="437" t="s">
        <v>789</v>
      </c>
      <c r="K39" s="436">
        <v>2026</v>
      </c>
      <c r="L39" s="439">
        <v>46051</v>
      </c>
      <c r="M39" s="440">
        <v>46368</v>
      </c>
      <c r="N39" s="283"/>
      <c r="O39" s="283"/>
      <c r="P39" s="283"/>
      <c r="Q39" s="283" t="s">
        <v>91</v>
      </c>
    </row>
    <row r="40" spans="1:17" ht="15.75" customHeight="1" x14ac:dyDescent="0.3">
      <c r="A40" s="435">
        <v>28</v>
      </c>
      <c r="B40" s="436" t="s">
        <v>930</v>
      </c>
      <c r="C40" s="436" t="s">
        <v>931</v>
      </c>
      <c r="D40" s="437" t="s">
        <v>820</v>
      </c>
      <c r="E40" s="437" t="s">
        <v>932</v>
      </c>
      <c r="F40" s="436" t="s">
        <v>754</v>
      </c>
      <c r="G40" s="441" t="s">
        <v>755</v>
      </c>
      <c r="H40" s="436" t="s">
        <v>756</v>
      </c>
      <c r="I40" s="437" t="s">
        <v>933</v>
      </c>
      <c r="J40" s="437"/>
      <c r="K40" s="436">
        <v>2025</v>
      </c>
      <c r="L40" s="439">
        <v>45854</v>
      </c>
      <c r="M40" s="440">
        <v>45991</v>
      </c>
      <c r="N40" s="283" t="s">
        <v>91</v>
      </c>
      <c r="O40" s="283" t="s">
        <v>91</v>
      </c>
      <c r="P40" s="283" t="s">
        <v>91</v>
      </c>
      <c r="Q40" s="283"/>
    </row>
    <row r="41" spans="1:17" ht="15.75" customHeight="1" x14ac:dyDescent="0.3">
      <c r="A41" s="435">
        <v>29</v>
      </c>
      <c r="B41" s="436" t="s">
        <v>353</v>
      </c>
      <c r="C41" s="436" t="s">
        <v>1108</v>
      </c>
      <c r="D41" s="437" t="s">
        <v>1109</v>
      </c>
      <c r="E41" s="437" t="s">
        <v>1110</v>
      </c>
      <c r="F41" s="436" t="s">
        <v>1259</v>
      </c>
      <c r="G41" s="441" t="s">
        <v>761</v>
      </c>
      <c r="H41" s="436" t="s">
        <v>756</v>
      </c>
      <c r="I41" s="437" t="s">
        <v>1111</v>
      </c>
      <c r="J41" s="437" t="s">
        <v>1112</v>
      </c>
      <c r="K41" s="436">
        <v>2023</v>
      </c>
      <c r="L41" s="439">
        <v>45037</v>
      </c>
      <c r="M41" s="440">
        <v>45260</v>
      </c>
      <c r="N41" s="283" t="s">
        <v>91</v>
      </c>
      <c r="O41" s="283"/>
      <c r="P41" s="283"/>
      <c r="Q41" s="283"/>
    </row>
    <row r="42" spans="1:17" ht="37.200000000000003" customHeight="1" x14ac:dyDescent="0.3">
      <c r="A42" s="918">
        <v>30</v>
      </c>
      <c r="B42" s="908" t="s">
        <v>1203</v>
      </c>
      <c r="C42" s="908" t="s">
        <v>1204</v>
      </c>
      <c r="D42" s="910" t="s">
        <v>820</v>
      </c>
      <c r="E42" s="445" t="s">
        <v>1205</v>
      </c>
      <c r="F42" s="908" t="s">
        <v>1259</v>
      </c>
      <c r="G42" s="912" t="s">
        <v>1271</v>
      </c>
      <c r="H42" s="908" t="s">
        <v>1266</v>
      </c>
      <c r="I42" s="910" t="s">
        <v>1207</v>
      </c>
      <c r="J42" s="910" t="s">
        <v>1207</v>
      </c>
      <c r="K42" s="908">
        <v>2023</v>
      </c>
      <c r="L42" s="916"/>
      <c r="M42" s="916"/>
      <c r="N42" s="914" t="s">
        <v>91</v>
      </c>
      <c r="O42" s="914"/>
      <c r="P42" s="914"/>
      <c r="Q42" s="914"/>
    </row>
    <row r="43" spans="1:17" ht="15.75" customHeight="1" x14ac:dyDescent="0.3">
      <c r="A43" s="919"/>
      <c r="B43" s="909"/>
      <c r="C43" s="909"/>
      <c r="D43" s="911"/>
      <c r="E43" s="446" t="s">
        <v>1206</v>
      </c>
      <c r="F43" s="909"/>
      <c r="G43" s="913"/>
      <c r="H43" s="909"/>
      <c r="I43" s="911"/>
      <c r="J43" s="911"/>
      <c r="K43" s="909"/>
      <c r="L43" s="917"/>
      <c r="M43" s="917"/>
      <c r="N43" s="915"/>
      <c r="O43" s="915"/>
      <c r="P43" s="915"/>
      <c r="Q43" s="915"/>
    </row>
    <row r="44" spans="1:17" ht="15.75" customHeight="1" x14ac:dyDescent="0.3">
      <c r="A44" s="435">
        <v>31</v>
      </c>
      <c r="B44" s="436" t="s">
        <v>790</v>
      </c>
      <c r="C44" s="436" t="s">
        <v>791</v>
      </c>
      <c r="D44" s="437" t="s">
        <v>792</v>
      </c>
      <c r="E44" s="437" t="s">
        <v>793</v>
      </c>
      <c r="F44" s="436" t="s">
        <v>754</v>
      </c>
      <c r="G44" s="441" t="s">
        <v>761</v>
      </c>
      <c r="H44" s="436" t="s">
        <v>756</v>
      </c>
      <c r="I44" s="437" t="s">
        <v>794</v>
      </c>
      <c r="J44" s="437" t="s">
        <v>794</v>
      </c>
      <c r="K44" s="436">
        <v>2026</v>
      </c>
      <c r="L44" s="439">
        <v>46048</v>
      </c>
      <c r="M44" s="440">
        <v>46357</v>
      </c>
      <c r="N44" s="283"/>
      <c r="O44" s="283"/>
      <c r="P44" s="283"/>
      <c r="Q44" s="283" t="s">
        <v>91</v>
      </c>
    </row>
    <row r="45" spans="1:17" ht="15.75" customHeight="1" x14ac:dyDescent="0.3">
      <c r="A45" s="435">
        <v>32</v>
      </c>
      <c r="B45" s="436" t="s">
        <v>579</v>
      </c>
      <c r="C45" s="436" t="s">
        <v>934</v>
      </c>
      <c r="D45" s="437" t="s">
        <v>935</v>
      </c>
      <c r="E45" s="437" t="s">
        <v>936</v>
      </c>
      <c r="F45" s="436" t="s">
        <v>754</v>
      </c>
      <c r="G45" s="441" t="s">
        <v>761</v>
      </c>
      <c r="H45" s="436" t="s">
        <v>756</v>
      </c>
      <c r="I45" s="437" t="s">
        <v>937</v>
      </c>
      <c r="J45" s="437"/>
      <c r="K45" s="436">
        <v>2025</v>
      </c>
      <c r="L45" s="439">
        <v>45694</v>
      </c>
      <c r="M45" s="440">
        <v>45991</v>
      </c>
      <c r="N45" s="283" t="s">
        <v>91</v>
      </c>
      <c r="O45" s="283" t="s">
        <v>91</v>
      </c>
      <c r="P45" s="283" t="s">
        <v>91</v>
      </c>
      <c r="Q45" s="283"/>
    </row>
    <row r="46" spans="1:17" ht="15.75" customHeight="1" x14ac:dyDescent="0.3">
      <c r="A46" s="435">
        <v>33</v>
      </c>
      <c r="B46" s="436" t="s">
        <v>354</v>
      </c>
      <c r="C46" s="436" t="s">
        <v>795</v>
      </c>
      <c r="D46" s="437" t="s">
        <v>796</v>
      </c>
      <c r="E46" s="437" t="s">
        <v>797</v>
      </c>
      <c r="F46" s="436" t="s">
        <v>754</v>
      </c>
      <c r="G46" s="441" t="s">
        <v>761</v>
      </c>
      <c r="H46" s="436" t="s">
        <v>756</v>
      </c>
      <c r="I46" s="437" t="s">
        <v>798</v>
      </c>
      <c r="J46" s="437" t="s">
        <v>799</v>
      </c>
      <c r="K46" s="436">
        <v>2026</v>
      </c>
      <c r="L46" s="439">
        <v>46055</v>
      </c>
      <c r="M46" s="440">
        <v>46368</v>
      </c>
      <c r="N46" s="283"/>
      <c r="O46" s="283"/>
      <c r="P46" s="283"/>
      <c r="Q46" s="283" t="s">
        <v>91</v>
      </c>
    </row>
    <row r="47" spans="1:17" ht="15.75" customHeight="1" x14ac:dyDescent="0.3">
      <c r="A47" s="435">
        <v>34</v>
      </c>
      <c r="B47" s="436" t="s">
        <v>1208</v>
      </c>
      <c r="C47" s="436" t="s">
        <v>1209</v>
      </c>
      <c r="D47" s="437" t="s">
        <v>1210</v>
      </c>
      <c r="E47" s="437" t="s">
        <v>1211</v>
      </c>
      <c r="F47" s="436" t="s">
        <v>1259</v>
      </c>
      <c r="G47" s="441" t="s">
        <v>1271</v>
      </c>
      <c r="H47" s="436" t="s">
        <v>1266</v>
      </c>
      <c r="I47" s="437" t="s">
        <v>1212</v>
      </c>
      <c r="J47" s="437"/>
      <c r="K47" s="436">
        <v>2023</v>
      </c>
      <c r="L47" s="442"/>
      <c r="M47" s="443"/>
      <c r="N47" s="283" t="s">
        <v>91</v>
      </c>
      <c r="O47" s="283"/>
      <c r="P47" s="283"/>
      <c r="Q47" s="283"/>
    </row>
    <row r="48" spans="1:17" ht="15.75" customHeight="1" x14ac:dyDescent="0.3">
      <c r="A48" s="435">
        <v>35</v>
      </c>
      <c r="B48" s="436" t="s">
        <v>585</v>
      </c>
      <c r="C48" s="436" t="s">
        <v>938</v>
      </c>
      <c r="D48" s="437" t="s">
        <v>939</v>
      </c>
      <c r="E48" s="437" t="s">
        <v>940</v>
      </c>
      <c r="F48" s="436" t="s">
        <v>754</v>
      </c>
      <c r="G48" s="441" t="s">
        <v>761</v>
      </c>
      <c r="H48" s="436" t="s">
        <v>756</v>
      </c>
      <c r="I48" s="437" t="s">
        <v>941</v>
      </c>
      <c r="J48" s="437" t="s">
        <v>1279</v>
      </c>
      <c r="K48" s="436">
        <v>2026</v>
      </c>
      <c r="L48" s="439">
        <v>46092</v>
      </c>
      <c r="M48" s="440">
        <v>46368</v>
      </c>
      <c r="N48" s="283"/>
      <c r="O48" s="283"/>
      <c r="P48" s="283"/>
      <c r="Q48" s="283" t="s">
        <v>91</v>
      </c>
    </row>
    <row r="49" spans="1:17" ht="15.75" customHeight="1" x14ac:dyDescent="0.3">
      <c r="A49" s="435">
        <v>36</v>
      </c>
      <c r="B49" s="436" t="s">
        <v>1113</v>
      </c>
      <c r="C49" s="436" t="s">
        <v>1114</v>
      </c>
      <c r="D49" s="437" t="s">
        <v>820</v>
      </c>
      <c r="E49" s="437" t="s">
        <v>1115</v>
      </c>
      <c r="F49" s="436" t="s">
        <v>754</v>
      </c>
      <c r="G49" s="441" t="s">
        <v>761</v>
      </c>
      <c r="H49" s="436" t="s">
        <v>756</v>
      </c>
      <c r="I49" s="437" t="s">
        <v>1116</v>
      </c>
      <c r="J49" s="437"/>
      <c r="K49" s="436">
        <v>2023</v>
      </c>
      <c r="L49" s="439">
        <v>44984</v>
      </c>
      <c r="M49" s="440">
        <v>45257</v>
      </c>
      <c r="N49" s="283" t="s">
        <v>91</v>
      </c>
      <c r="O49" s="283"/>
      <c r="P49" s="283"/>
      <c r="Q49" s="283"/>
    </row>
    <row r="50" spans="1:17" ht="15.75" customHeight="1" x14ac:dyDescent="0.3">
      <c r="A50" s="435">
        <v>37</v>
      </c>
      <c r="B50" s="436" t="s">
        <v>355</v>
      </c>
      <c r="C50" s="436" t="s">
        <v>1040</v>
      </c>
      <c r="D50" s="437" t="s">
        <v>1041</v>
      </c>
      <c r="E50" s="437" t="s">
        <v>1042</v>
      </c>
      <c r="F50" s="436" t="s">
        <v>754</v>
      </c>
      <c r="G50" s="441" t="s">
        <v>761</v>
      </c>
      <c r="H50" s="436" t="s">
        <v>756</v>
      </c>
      <c r="I50" s="437" t="s">
        <v>1043</v>
      </c>
      <c r="J50" s="437" t="s">
        <v>1044</v>
      </c>
      <c r="K50" s="436">
        <v>2024</v>
      </c>
      <c r="L50" s="439">
        <v>45345</v>
      </c>
      <c r="M50" s="440">
        <v>45626</v>
      </c>
      <c r="N50" s="283" t="s">
        <v>91</v>
      </c>
      <c r="O50" s="283" t="s">
        <v>91</v>
      </c>
      <c r="P50" s="283"/>
      <c r="Q50" s="283"/>
    </row>
    <row r="51" spans="1:17" ht="15.75" customHeight="1" x14ac:dyDescent="0.3">
      <c r="A51" s="435">
        <v>38</v>
      </c>
      <c r="B51" s="436" t="s">
        <v>800</v>
      </c>
      <c r="C51" s="436" t="s">
        <v>801</v>
      </c>
      <c r="D51" s="437" t="s">
        <v>723</v>
      </c>
      <c r="E51" s="437" t="s">
        <v>802</v>
      </c>
      <c r="F51" s="436" t="s">
        <v>754</v>
      </c>
      <c r="G51" s="441" t="s">
        <v>761</v>
      </c>
      <c r="H51" s="436" t="s">
        <v>756</v>
      </c>
      <c r="I51" s="437" t="s">
        <v>803</v>
      </c>
      <c r="J51" s="437" t="s">
        <v>804</v>
      </c>
      <c r="K51" s="436">
        <v>2026</v>
      </c>
      <c r="L51" s="439">
        <v>46057</v>
      </c>
      <c r="M51" s="440">
        <v>46368</v>
      </c>
      <c r="N51" s="283"/>
      <c r="O51" s="283"/>
      <c r="P51" s="283"/>
      <c r="Q51" s="283" t="s">
        <v>91</v>
      </c>
    </row>
    <row r="52" spans="1:17" ht="15.75" customHeight="1" x14ac:dyDescent="0.3">
      <c r="A52" s="435">
        <v>39</v>
      </c>
      <c r="B52" s="436" t="s">
        <v>356</v>
      </c>
      <c r="C52" s="436" t="s">
        <v>805</v>
      </c>
      <c r="D52" s="437" t="s">
        <v>806</v>
      </c>
      <c r="E52" s="437" t="s">
        <v>807</v>
      </c>
      <c r="F52" s="436" t="s">
        <v>754</v>
      </c>
      <c r="G52" s="441" t="s">
        <v>761</v>
      </c>
      <c r="H52" s="436" t="s">
        <v>756</v>
      </c>
      <c r="I52" s="437" t="s">
        <v>808</v>
      </c>
      <c r="J52" s="437" t="s">
        <v>1280</v>
      </c>
      <c r="K52" s="436">
        <v>2026</v>
      </c>
      <c r="L52" s="439">
        <v>46041</v>
      </c>
      <c r="M52" s="440">
        <v>46356</v>
      </c>
      <c r="N52" s="283"/>
      <c r="O52" s="283"/>
      <c r="P52" s="283"/>
      <c r="Q52" s="283" t="s">
        <v>91</v>
      </c>
    </row>
    <row r="53" spans="1:17" ht="15.75" customHeight="1" x14ac:dyDescent="0.3">
      <c r="A53" s="435">
        <v>40</v>
      </c>
      <c r="B53" s="436" t="s">
        <v>357</v>
      </c>
      <c r="C53" s="436" t="s">
        <v>809</v>
      </c>
      <c r="D53" s="437" t="s">
        <v>810</v>
      </c>
      <c r="E53" s="437" t="s">
        <v>811</v>
      </c>
      <c r="F53" s="436" t="s">
        <v>754</v>
      </c>
      <c r="G53" s="441" t="s">
        <v>761</v>
      </c>
      <c r="H53" s="436" t="s">
        <v>756</v>
      </c>
      <c r="I53" s="437" t="s">
        <v>812</v>
      </c>
      <c r="J53" s="437" t="s">
        <v>1281</v>
      </c>
      <c r="K53" s="436">
        <v>2026</v>
      </c>
      <c r="L53" s="439">
        <v>46064</v>
      </c>
      <c r="M53" s="440">
        <v>46368</v>
      </c>
      <c r="N53" s="283"/>
      <c r="O53" s="283"/>
      <c r="P53" s="283"/>
      <c r="Q53" s="283" t="s">
        <v>91</v>
      </c>
    </row>
    <row r="54" spans="1:17" ht="15.75" customHeight="1" x14ac:dyDescent="0.3">
      <c r="A54" s="435">
        <v>41</v>
      </c>
      <c r="B54" s="436" t="s">
        <v>358</v>
      </c>
      <c r="C54" s="436" t="s">
        <v>1117</v>
      </c>
      <c r="D54" s="437" t="s">
        <v>1118</v>
      </c>
      <c r="E54" s="437" t="s">
        <v>1119</v>
      </c>
      <c r="F54" s="436" t="s">
        <v>1259</v>
      </c>
      <c r="G54" s="441" t="s">
        <v>761</v>
      </c>
      <c r="H54" s="436" t="s">
        <v>756</v>
      </c>
      <c r="I54" s="437" t="s">
        <v>1120</v>
      </c>
      <c r="J54" s="437" t="s">
        <v>1121</v>
      </c>
      <c r="K54" s="436">
        <v>2023</v>
      </c>
      <c r="L54" s="439">
        <v>45012</v>
      </c>
      <c r="M54" s="440">
        <v>45260</v>
      </c>
      <c r="N54" s="283" t="s">
        <v>91</v>
      </c>
      <c r="O54" s="283"/>
      <c r="P54" s="283"/>
      <c r="Q54" s="283"/>
    </row>
    <row r="55" spans="1:17" ht="15.75" customHeight="1" x14ac:dyDescent="0.3">
      <c r="A55" s="435">
        <v>42</v>
      </c>
      <c r="B55" s="436" t="s">
        <v>1045</v>
      </c>
      <c r="C55" s="436" t="s">
        <v>1046</v>
      </c>
      <c r="D55" s="437" t="s">
        <v>1047</v>
      </c>
      <c r="E55" s="437" t="s">
        <v>1048</v>
      </c>
      <c r="F55" s="436" t="s">
        <v>754</v>
      </c>
      <c r="G55" s="441" t="s">
        <v>761</v>
      </c>
      <c r="H55" s="436" t="s">
        <v>756</v>
      </c>
      <c r="I55" s="437" t="s">
        <v>1049</v>
      </c>
      <c r="J55" s="437" t="s">
        <v>1049</v>
      </c>
      <c r="K55" s="436">
        <v>2026</v>
      </c>
      <c r="L55" s="439">
        <v>46091</v>
      </c>
      <c r="M55" s="440">
        <v>46368</v>
      </c>
      <c r="N55" s="283"/>
      <c r="O55" s="283"/>
      <c r="P55" s="283"/>
      <c r="Q55" s="283" t="s">
        <v>91</v>
      </c>
    </row>
    <row r="56" spans="1:17" ht="15.75" customHeight="1" x14ac:dyDescent="0.3">
      <c r="A56" s="435">
        <v>43</v>
      </c>
      <c r="B56" s="436" t="s">
        <v>813</v>
      </c>
      <c r="C56" s="436" t="s">
        <v>814</v>
      </c>
      <c r="D56" s="437" t="s">
        <v>815</v>
      </c>
      <c r="E56" s="437" t="s">
        <v>816</v>
      </c>
      <c r="F56" s="436" t="s">
        <v>754</v>
      </c>
      <c r="G56" s="441" t="s">
        <v>761</v>
      </c>
      <c r="H56" s="436" t="s">
        <v>756</v>
      </c>
      <c r="I56" s="437" t="s">
        <v>817</v>
      </c>
      <c r="J56" s="437" t="s">
        <v>1282</v>
      </c>
      <c r="K56" s="436">
        <v>2026</v>
      </c>
      <c r="L56" s="439">
        <v>46049</v>
      </c>
      <c r="M56" s="440">
        <v>46368</v>
      </c>
      <c r="N56" s="283"/>
      <c r="O56" s="283"/>
      <c r="P56" s="283"/>
      <c r="Q56" s="283" t="s">
        <v>91</v>
      </c>
    </row>
    <row r="57" spans="1:17" ht="15.75" customHeight="1" x14ac:dyDescent="0.3">
      <c r="A57" s="435">
        <v>44</v>
      </c>
      <c r="B57" s="436" t="s">
        <v>818</v>
      </c>
      <c r="C57" s="436" t="s">
        <v>819</v>
      </c>
      <c r="D57" s="437" t="s">
        <v>820</v>
      </c>
      <c r="E57" s="437" t="s">
        <v>821</v>
      </c>
      <c r="F57" s="436" t="s">
        <v>754</v>
      </c>
      <c r="G57" s="441" t="s">
        <v>761</v>
      </c>
      <c r="H57" s="436" t="s">
        <v>756</v>
      </c>
      <c r="I57" s="437" t="s">
        <v>822</v>
      </c>
      <c r="J57" s="437" t="s">
        <v>823</v>
      </c>
      <c r="K57" s="436">
        <v>2026</v>
      </c>
      <c r="L57" s="439">
        <v>46063</v>
      </c>
      <c r="M57" s="440">
        <v>46368</v>
      </c>
      <c r="N57" s="283"/>
      <c r="O57" s="283"/>
      <c r="P57" s="283"/>
      <c r="Q57" s="283" t="s">
        <v>91</v>
      </c>
    </row>
    <row r="58" spans="1:17" ht="15.75" customHeight="1" x14ac:dyDescent="0.3">
      <c r="A58" s="435">
        <v>45</v>
      </c>
      <c r="B58" s="436" t="s">
        <v>586</v>
      </c>
      <c r="C58" s="436" t="s">
        <v>942</v>
      </c>
      <c r="D58" s="437" t="s">
        <v>943</v>
      </c>
      <c r="E58" s="437" t="s">
        <v>944</v>
      </c>
      <c r="F58" s="436" t="s">
        <v>754</v>
      </c>
      <c r="G58" s="441" t="s">
        <v>761</v>
      </c>
      <c r="H58" s="436" t="s">
        <v>756</v>
      </c>
      <c r="I58" s="437" t="s">
        <v>945</v>
      </c>
      <c r="J58" s="437" t="s">
        <v>946</v>
      </c>
      <c r="K58" s="436">
        <v>2026</v>
      </c>
      <c r="L58" s="439">
        <v>46083</v>
      </c>
      <c r="M58" s="440">
        <v>46356</v>
      </c>
      <c r="N58" s="283"/>
      <c r="O58" s="283"/>
      <c r="P58" s="283"/>
      <c r="Q58" s="283" t="s">
        <v>91</v>
      </c>
    </row>
    <row r="59" spans="1:17" ht="15.75" customHeight="1" x14ac:dyDescent="0.3">
      <c r="A59" s="435">
        <v>46</v>
      </c>
      <c r="B59" s="436" t="s">
        <v>359</v>
      </c>
      <c r="C59" s="436" t="s">
        <v>1122</v>
      </c>
      <c r="D59" s="437" t="s">
        <v>820</v>
      </c>
      <c r="E59" s="437" t="s">
        <v>1123</v>
      </c>
      <c r="F59" s="436" t="s">
        <v>1259</v>
      </c>
      <c r="G59" s="441" t="s">
        <v>761</v>
      </c>
      <c r="H59" s="436" t="s">
        <v>756</v>
      </c>
      <c r="I59" s="437" t="s">
        <v>1124</v>
      </c>
      <c r="J59" s="437" t="s">
        <v>1125</v>
      </c>
      <c r="K59" s="436">
        <v>2023</v>
      </c>
      <c r="L59" s="439">
        <v>45009</v>
      </c>
      <c r="M59" s="440">
        <v>45260</v>
      </c>
      <c r="N59" s="283" t="s">
        <v>91</v>
      </c>
      <c r="O59" s="283"/>
      <c r="P59" s="283"/>
      <c r="Q59" s="283"/>
    </row>
    <row r="60" spans="1:17" ht="15.75" customHeight="1" x14ac:dyDescent="0.3">
      <c r="A60" s="435">
        <v>47</v>
      </c>
      <c r="B60" s="436" t="s">
        <v>1126</v>
      </c>
      <c r="C60" s="436" t="s">
        <v>1127</v>
      </c>
      <c r="D60" s="437" t="s">
        <v>820</v>
      </c>
      <c r="E60" s="437" t="s">
        <v>1128</v>
      </c>
      <c r="F60" s="436" t="s">
        <v>1259</v>
      </c>
      <c r="G60" s="441" t="s">
        <v>1260</v>
      </c>
      <c r="H60" s="436" t="s">
        <v>756</v>
      </c>
      <c r="I60" s="437" t="s">
        <v>1129</v>
      </c>
      <c r="J60" s="437"/>
      <c r="K60" s="436">
        <v>2023</v>
      </c>
      <c r="L60" s="439">
        <v>44991</v>
      </c>
      <c r="M60" s="440">
        <v>45260</v>
      </c>
      <c r="N60" s="283" t="s">
        <v>91</v>
      </c>
      <c r="O60" s="283"/>
      <c r="P60" s="283"/>
      <c r="Q60" s="283"/>
    </row>
    <row r="61" spans="1:17" ht="15.75" customHeight="1" x14ac:dyDescent="0.3">
      <c r="A61" s="435">
        <v>48</v>
      </c>
      <c r="B61" s="436" t="s">
        <v>360</v>
      </c>
      <c r="C61" s="436" t="s">
        <v>824</v>
      </c>
      <c r="D61" s="437" t="s">
        <v>825</v>
      </c>
      <c r="E61" s="437" t="s">
        <v>826</v>
      </c>
      <c r="F61" s="436" t="s">
        <v>754</v>
      </c>
      <c r="G61" s="441" t="s">
        <v>755</v>
      </c>
      <c r="H61" s="436" t="s">
        <v>756</v>
      </c>
      <c r="I61" s="437" t="s">
        <v>827</v>
      </c>
      <c r="J61" s="437" t="s">
        <v>828</v>
      </c>
      <c r="K61" s="436">
        <v>2026</v>
      </c>
      <c r="L61" s="439">
        <v>46056</v>
      </c>
      <c r="M61" s="440">
        <v>46368</v>
      </c>
      <c r="N61" s="283"/>
      <c r="O61" s="283"/>
      <c r="P61" s="283"/>
      <c r="Q61" s="283" t="s">
        <v>91</v>
      </c>
    </row>
    <row r="62" spans="1:17" ht="15.75" customHeight="1" x14ac:dyDescent="0.3">
      <c r="A62" s="435">
        <v>49</v>
      </c>
      <c r="B62" s="436" t="s">
        <v>361</v>
      </c>
      <c r="C62" s="436" t="s">
        <v>947</v>
      </c>
      <c r="D62" s="437" t="s">
        <v>1283</v>
      </c>
      <c r="E62" s="437" t="s">
        <v>1284</v>
      </c>
      <c r="F62" s="436" t="s">
        <v>754</v>
      </c>
      <c r="G62" s="441" t="s">
        <v>755</v>
      </c>
      <c r="H62" s="436" t="s">
        <v>756</v>
      </c>
      <c r="I62" s="437" t="s">
        <v>948</v>
      </c>
      <c r="J62" s="437" t="s">
        <v>948</v>
      </c>
      <c r="K62" s="436">
        <v>2026</v>
      </c>
      <c r="L62" s="439">
        <v>46079</v>
      </c>
      <c r="M62" s="440">
        <v>46368</v>
      </c>
      <c r="N62" s="283"/>
      <c r="O62" s="283"/>
      <c r="P62" s="283"/>
      <c r="Q62" s="283" t="s">
        <v>91</v>
      </c>
    </row>
    <row r="63" spans="1:17" ht="15.75" customHeight="1" x14ac:dyDescent="0.3">
      <c r="A63" s="435">
        <v>50</v>
      </c>
      <c r="B63" s="436" t="s">
        <v>362</v>
      </c>
      <c r="C63" s="436" t="s">
        <v>1130</v>
      </c>
      <c r="D63" s="437" t="s">
        <v>1131</v>
      </c>
      <c r="E63" s="437" t="s">
        <v>1132</v>
      </c>
      <c r="F63" s="436" t="s">
        <v>1259</v>
      </c>
      <c r="G63" s="441" t="s">
        <v>761</v>
      </c>
      <c r="H63" s="436" t="s">
        <v>1285</v>
      </c>
      <c r="I63" s="437" t="s">
        <v>1133</v>
      </c>
      <c r="J63" s="437" t="s">
        <v>1133</v>
      </c>
      <c r="K63" s="436">
        <v>2023</v>
      </c>
      <c r="L63" s="439">
        <v>44987</v>
      </c>
      <c r="M63" s="440">
        <v>45260</v>
      </c>
      <c r="N63" s="283" t="s">
        <v>91</v>
      </c>
      <c r="O63" s="283"/>
      <c r="P63" s="283"/>
      <c r="Q63" s="283"/>
    </row>
    <row r="64" spans="1:17" ht="15.75" customHeight="1" x14ac:dyDescent="0.3">
      <c r="A64" s="435">
        <v>51</v>
      </c>
      <c r="B64" s="436" t="s">
        <v>1050</v>
      </c>
      <c r="C64" s="436" t="s">
        <v>1051</v>
      </c>
      <c r="D64" s="437" t="s">
        <v>820</v>
      </c>
      <c r="E64" s="437" t="s">
        <v>1052</v>
      </c>
      <c r="F64" s="436" t="s">
        <v>754</v>
      </c>
      <c r="G64" s="441" t="s">
        <v>755</v>
      </c>
      <c r="H64" s="436" t="s">
        <v>756</v>
      </c>
      <c r="I64" s="437" t="s">
        <v>1053</v>
      </c>
      <c r="J64" s="437"/>
      <c r="K64" s="436">
        <v>2024</v>
      </c>
      <c r="L64" s="439">
        <v>45348</v>
      </c>
      <c r="M64" s="440">
        <v>45348</v>
      </c>
      <c r="N64" s="283" t="s">
        <v>91</v>
      </c>
      <c r="O64" s="283" t="s">
        <v>91</v>
      </c>
      <c r="P64" s="283"/>
      <c r="Q64" s="283"/>
    </row>
    <row r="65" spans="1:17" ht="15.75" customHeight="1" x14ac:dyDescent="0.3">
      <c r="A65" s="435">
        <v>52</v>
      </c>
      <c r="B65" s="436" t="s">
        <v>1134</v>
      </c>
      <c r="C65" s="436" t="s">
        <v>1135</v>
      </c>
      <c r="D65" s="437" t="s">
        <v>820</v>
      </c>
      <c r="E65" s="437" t="s">
        <v>1136</v>
      </c>
      <c r="F65" s="436" t="s">
        <v>754</v>
      </c>
      <c r="G65" s="441" t="s">
        <v>755</v>
      </c>
      <c r="H65" s="436" t="s">
        <v>756</v>
      </c>
      <c r="I65" s="437" t="s">
        <v>1137</v>
      </c>
      <c r="J65" s="437" t="s">
        <v>1137</v>
      </c>
      <c r="K65" s="436">
        <v>2026</v>
      </c>
      <c r="L65" s="439">
        <v>46139</v>
      </c>
      <c r="M65" s="440">
        <v>46368</v>
      </c>
      <c r="N65" s="283"/>
      <c r="O65" s="283"/>
      <c r="P65" s="283"/>
      <c r="Q65" s="283" t="s">
        <v>91</v>
      </c>
    </row>
    <row r="66" spans="1:17" ht="15.75" customHeight="1" x14ac:dyDescent="0.3">
      <c r="A66" s="435">
        <v>53</v>
      </c>
      <c r="B66" s="436" t="s">
        <v>363</v>
      </c>
      <c r="C66" s="436" t="s">
        <v>1138</v>
      </c>
      <c r="D66" s="437" t="s">
        <v>1139</v>
      </c>
      <c r="E66" s="437" t="s">
        <v>1140</v>
      </c>
      <c r="F66" s="436" t="s">
        <v>1259</v>
      </c>
      <c r="G66" s="441" t="s">
        <v>761</v>
      </c>
      <c r="H66" s="436" t="s">
        <v>756</v>
      </c>
      <c r="I66" s="437" t="s">
        <v>1141</v>
      </c>
      <c r="J66" s="437" t="s">
        <v>1142</v>
      </c>
      <c r="K66" s="436">
        <v>2023</v>
      </c>
      <c r="L66" s="439">
        <v>45012</v>
      </c>
      <c r="M66" s="440">
        <v>45260</v>
      </c>
      <c r="N66" s="283" t="s">
        <v>91</v>
      </c>
      <c r="O66" s="283"/>
      <c r="P66" s="283"/>
      <c r="Q66" s="283"/>
    </row>
    <row r="67" spans="1:17" ht="15.75" customHeight="1" x14ac:dyDescent="0.3">
      <c r="A67" s="435">
        <v>54</v>
      </c>
      <c r="B67" s="436" t="s">
        <v>1054</v>
      </c>
      <c r="C67" s="436" t="s">
        <v>1055</v>
      </c>
      <c r="D67" s="437" t="s">
        <v>1056</v>
      </c>
      <c r="E67" s="437" t="s">
        <v>1057</v>
      </c>
      <c r="F67" s="436" t="s">
        <v>754</v>
      </c>
      <c r="G67" s="441" t="s">
        <v>761</v>
      </c>
      <c r="H67" s="436" t="s">
        <v>756</v>
      </c>
      <c r="I67" s="437" t="s">
        <v>1058</v>
      </c>
      <c r="J67" s="437"/>
      <c r="K67" s="436">
        <v>2024</v>
      </c>
      <c r="L67" s="439">
        <v>45343</v>
      </c>
      <c r="M67" s="440">
        <v>45626</v>
      </c>
      <c r="N67" s="283" t="s">
        <v>91</v>
      </c>
      <c r="O67" s="283" t="s">
        <v>91</v>
      </c>
      <c r="P67" s="283"/>
      <c r="Q67" s="283"/>
    </row>
    <row r="68" spans="1:17" ht="15.75" customHeight="1" x14ac:dyDescent="0.3">
      <c r="A68" s="435">
        <v>55</v>
      </c>
      <c r="B68" s="436" t="s">
        <v>587</v>
      </c>
      <c r="C68" s="447">
        <v>860030197</v>
      </c>
      <c r="D68" s="437" t="s">
        <v>949</v>
      </c>
      <c r="E68" s="437" t="s">
        <v>950</v>
      </c>
      <c r="F68" s="436" t="s">
        <v>754</v>
      </c>
      <c r="G68" s="441" t="s">
        <v>755</v>
      </c>
      <c r="H68" s="436" t="s">
        <v>756</v>
      </c>
      <c r="I68" s="437" t="s">
        <v>951</v>
      </c>
      <c r="J68" s="437" t="s">
        <v>952</v>
      </c>
      <c r="K68" s="436">
        <v>2026</v>
      </c>
      <c r="L68" s="439">
        <v>46083</v>
      </c>
      <c r="M68" s="440">
        <v>46386</v>
      </c>
      <c r="N68" s="283"/>
      <c r="O68" s="283"/>
      <c r="P68" s="283"/>
      <c r="Q68" s="283" t="s">
        <v>91</v>
      </c>
    </row>
    <row r="69" spans="1:17" ht="15.75" customHeight="1" x14ac:dyDescent="0.3">
      <c r="A69" s="435">
        <v>56</v>
      </c>
      <c r="B69" s="436" t="s">
        <v>580</v>
      </c>
      <c r="C69" s="436" t="s">
        <v>953</v>
      </c>
      <c r="D69" s="437" t="s">
        <v>820</v>
      </c>
      <c r="E69" s="437" t="s">
        <v>1286</v>
      </c>
      <c r="F69" s="436" t="s">
        <v>754</v>
      </c>
      <c r="G69" s="441" t="s">
        <v>755</v>
      </c>
      <c r="H69" s="436" t="s">
        <v>756</v>
      </c>
      <c r="I69" s="437" t="s">
        <v>954</v>
      </c>
      <c r="J69" s="437" t="s">
        <v>955</v>
      </c>
      <c r="K69" s="436">
        <v>2026</v>
      </c>
      <c r="L69" s="439">
        <v>46121</v>
      </c>
      <c r="M69" s="440">
        <v>46368</v>
      </c>
      <c r="N69" s="283"/>
      <c r="O69" s="283"/>
      <c r="P69" s="283"/>
      <c r="Q69" s="283" t="s">
        <v>91</v>
      </c>
    </row>
    <row r="70" spans="1:17" ht="15.75" customHeight="1" x14ac:dyDescent="0.3">
      <c r="A70" s="435">
        <v>57</v>
      </c>
      <c r="B70" s="436" t="s">
        <v>364</v>
      </c>
      <c r="C70" s="436" t="s">
        <v>1143</v>
      </c>
      <c r="D70" s="437" t="s">
        <v>820</v>
      </c>
      <c r="E70" s="437" t="s">
        <v>1144</v>
      </c>
      <c r="F70" s="436" t="s">
        <v>1259</v>
      </c>
      <c r="G70" s="441" t="s">
        <v>761</v>
      </c>
      <c r="H70" s="436" t="s">
        <v>756</v>
      </c>
      <c r="I70" s="437" t="s">
        <v>1145</v>
      </c>
      <c r="J70" s="437" t="s">
        <v>1146</v>
      </c>
      <c r="K70" s="436">
        <v>2023</v>
      </c>
      <c r="L70" s="439">
        <v>44987</v>
      </c>
      <c r="M70" s="440">
        <v>45260</v>
      </c>
      <c r="N70" s="283" t="s">
        <v>91</v>
      </c>
      <c r="O70" s="283"/>
      <c r="P70" s="283"/>
      <c r="Q70" s="283"/>
    </row>
    <row r="71" spans="1:17" ht="15.75" customHeight="1" x14ac:dyDescent="0.3">
      <c r="A71" s="435">
        <v>58</v>
      </c>
      <c r="B71" s="436" t="s">
        <v>1213</v>
      </c>
      <c r="C71" s="436" t="s">
        <v>1214</v>
      </c>
      <c r="D71" s="437" t="s">
        <v>1215</v>
      </c>
      <c r="E71" s="437" t="s">
        <v>1216</v>
      </c>
      <c r="F71" s="436" t="s">
        <v>1259</v>
      </c>
      <c r="G71" s="441" t="s">
        <v>1271</v>
      </c>
      <c r="H71" s="436" t="s">
        <v>1266</v>
      </c>
      <c r="I71" s="437" t="s">
        <v>1217</v>
      </c>
      <c r="J71" s="437"/>
      <c r="K71" s="436">
        <v>2023</v>
      </c>
      <c r="L71" s="442"/>
      <c r="M71" s="443"/>
      <c r="N71" s="283" t="s">
        <v>91</v>
      </c>
      <c r="O71" s="283"/>
      <c r="P71" s="283"/>
      <c r="Q71" s="283"/>
    </row>
    <row r="72" spans="1:17" ht="15.75" customHeight="1" x14ac:dyDescent="0.3">
      <c r="A72" s="435">
        <v>59</v>
      </c>
      <c r="B72" s="436" t="s">
        <v>1218</v>
      </c>
      <c r="C72" s="436" t="s">
        <v>1032</v>
      </c>
      <c r="D72" s="437" t="s">
        <v>820</v>
      </c>
      <c r="E72" s="437" t="s">
        <v>1219</v>
      </c>
      <c r="F72" s="436" t="s">
        <v>1259</v>
      </c>
      <c r="G72" s="441" t="s">
        <v>1287</v>
      </c>
      <c r="H72" s="436" t="s">
        <v>1266</v>
      </c>
      <c r="I72" s="437" t="s">
        <v>1220</v>
      </c>
      <c r="J72" s="437"/>
      <c r="K72" s="436">
        <v>2023</v>
      </c>
      <c r="L72" s="442"/>
      <c r="M72" s="443"/>
      <c r="N72" s="283" t="s">
        <v>91</v>
      </c>
      <c r="O72" s="283"/>
      <c r="P72" s="283"/>
      <c r="Q72" s="283"/>
    </row>
    <row r="73" spans="1:17" ht="15.75" customHeight="1" x14ac:dyDescent="0.3">
      <c r="A73" s="435">
        <v>60</v>
      </c>
      <c r="B73" s="436" t="s">
        <v>365</v>
      </c>
      <c r="C73" s="436" t="s">
        <v>1147</v>
      </c>
      <c r="D73" s="437" t="s">
        <v>820</v>
      </c>
      <c r="E73" s="437" t="s">
        <v>1148</v>
      </c>
      <c r="F73" s="436" t="s">
        <v>1259</v>
      </c>
      <c r="G73" s="441" t="s">
        <v>1260</v>
      </c>
      <c r="H73" s="436" t="s">
        <v>756</v>
      </c>
      <c r="I73" s="437" t="s">
        <v>1149</v>
      </c>
      <c r="J73" s="437"/>
      <c r="K73" s="436">
        <v>2023</v>
      </c>
      <c r="L73" s="439">
        <v>45009</v>
      </c>
      <c r="M73" s="440">
        <v>45260</v>
      </c>
      <c r="N73" s="283" t="s">
        <v>91</v>
      </c>
      <c r="O73" s="283"/>
      <c r="P73" s="283"/>
      <c r="Q73" s="283"/>
    </row>
    <row r="74" spans="1:17" ht="15.75" customHeight="1" x14ac:dyDescent="0.3">
      <c r="A74" s="435">
        <v>61</v>
      </c>
      <c r="B74" s="436" t="s">
        <v>588</v>
      </c>
      <c r="C74" s="436" t="s">
        <v>956</v>
      </c>
      <c r="D74" s="437" t="s">
        <v>820</v>
      </c>
      <c r="E74" s="437" t="s">
        <v>957</v>
      </c>
      <c r="F74" s="436" t="s">
        <v>754</v>
      </c>
      <c r="G74" s="441" t="s">
        <v>755</v>
      </c>
      <c r="H74" s="436" t="s">
        <v>756</v>
      </c>
      <c r="I74" s="437" t="s">
        <v>958</v>
      </c>
      <c r="J74" s="437"/>
      <c r="K74" s="436">
        <v>2025</v>
      </c>
      <c r="L74" s="439">
        <v>45694</v>
      </c>
      <c r="M74" s="440">
        <v>45991</v>
      </c>
      <c r="N74" s="283" t="s">
        <v>91</v>
      </c>
      <c r="O74" s="283" t="s">
        <v>91</v>
      </c>
      <c r="P74" s="283" t="s">
        <v>91</v>
      </c>
      <c r="Q74" s="283"/>
    </row>
    <row r="75" spans="1:17" ht="15.75" customHeight="1" x14ac:dyDescent="0.3">
      <c r="A75" s="435">
        <v>62</v>
      </c>
      <c r="B75" s="436" t="s">
        <v>366</v>
      </c>
      <c r="C75" s="436">
        <v>899999034</v>
      </c>
      <c r="D75" s="437" t="s">
        <v>820</v>
      </c>
      <c r="E75" s="437" t="s">
        <v>1059</v>
      </c>
      <c r="F75" s="436" t="s">
        <v>1259</v>
      </c>
      <c r="G75" s="441" t="s">
        <v>1260</v>
      </c>
      <c r="H75" s="436" t="s">
        <v>756</v>
      </c>
      <c r="I75" s="437" t="s">
        <v>1060</v>
      </c>
      <c r="J75" s="437"/>
      <c r="K75" s="436">
        <v>2024</v>
      </c>
      <c r="L75" s="439">
        <v>45345</v>
      </c>
      <c r="M75" s="440">
        <v>45626</v>
      </c>
      <c r="N75" s="283" t="s">
        <v>91</v>
      </c>
      <c r="O75" s="283" t="s">
        <v>91</v>
      </c>
      <c r="P75" s="283"/>
      <c r="Q75" s="283"/>
    </row>
    <row r="76" spans="1:17" ht="15.75" customHeight="1" x14ac:dyDescent="0.3">
      <c r="A76" s="435">
        <v>63</v>
      </c>
      <c r="B76" s="436" t="s">
        <v>1221</v>
      </c>
      <c r="C76" s="436" t="s">
        <v>1222</v>
      </c>
      <c r="D76" s="437" t="s">
        <v>820</v>
      </c>
      <c r="E76" s="437" t="s">
        <v>1223</v>
      </c>
      <c r="F76" s="436" t="s">
        <v>1259</v>
      </c>
      <c r="G76" s="441" t="s">
        <v>1271</v>
      </c>
      <c r="H76" s="436" t="s">
        <v>1266</v>
      </c>
      <c r="I76" s="437" t="s">
        <v>1224</v>
      </c>
      <c r="J76" s="437"/>
      <c r="K76" s="436">
        <v>2023</v>
      </c>
      <c r="L76" s="442"/>
      <c r="M76" s="443"/>
      <c r="N76" s="283" t="s">
        <v>91</v>
      </c>
      <c r="O76" s="283"/>
      <c r="P76" s="283"/>
      <c r="Q76" s="283"/>
    </row>
    <row r="77" spans="1:17" ht="15.75" customHeight="1" x14ac:dyDescent="0.3">
      <c r="A77" s="435">
        <v>64</v>
      </c>
      <c r="B77" s="436" t="s">
        <v>582</v>
      </c>
      <c r="C77" s="436" t="s">
        <v>959</v>
      </c>
      <c r="D77" s="437" t="s">
        <v>820</v>
      </c>
      <c r="E77" s="437" t="s">
        <v>960</v>
      </c>
      <c r="F77" s="436" t="s">
        <v>754</v>
      </c>
      <c r="G77" s="441" t="s">
        <v>755</v>
      </c>
      <c r="H77" s="436" t="s">
        <v>756</v>
      </c>
      <c r="I77" s="437" t="s">
        <v>961</v>
      </c>
      <c r="J77" s="437"/>
      <c r="K77" s="436">
        <v>2025</v>
      </c>
      <c r="L77" s="439">
        <v>45694</v>
      </c>
      <c r="M77" s="440">
        <v>45991</v>
      </c>
      <c r="N77" s="283" t="s">
        <v>91</v>
      </c>
      <c r="O77" s="283" t="s">
        <v>91</v>
      </c>
      <c r="P77" s="283" t="s">
        <v>91</v>
      </c>
      <c r="Q77" s="283"/>
    </row>
    <row r="78" spans="1:17" ht="15.75" customHeight="1" x14ac:dyDescent="0.3">
      <c r="A78" s="435">
        <v>65</v>
      </c>
      <c r="B78" s="436" t="s">
        <v>829</v>
      </c>
      <c r="C78" s="436" t="s">
        <v>830</v>
      </c>
      <c r="D78" s="437" t="s">
        <v>831</v>
      </c>
      <c r="E78" s="437" t="s">
        <v>832</v>
      </c>
      <c r="F78" s="436" t="s">
        <v>754</v>
      </c>
      <c r="G78" s="441" t="s">
        <v>761</v>
      </c>
      <c r="H78" s="436" t="s">
        <v>756</v>
      </c>
      <c r="I78" s="437" t="s">
        <v>833</v>
      </c>
      <c r="J78" s="437" t="s">
        <v>834</v>
      </c>
      <c r="K78" s="436">
        <v>2026</v>
      </c>
      <c r="L78" s="439">
        <v>46063</v>
      </c>
      <c r="M78" s="440">
        <v>46368</v>
      </c>
      <c r="N78" s="283"/>
      <c r="O78" s="283"/>
      <c r="P78" s="283"/>
      <c r="Q78" s="283" t="s">
        <v>91</v>
      </c>
    </row>
    <row r="79" spans="1:17" ht="15.75" customHeight="1" x14ac:dyDescent="0.3">
      <c r="A79" s="435">
        <v>66</v>
      </c>
      <c r="B79" s="436" t="s">
        <v>835</v>
      </c>
      <c r="C79" s="436" t="s">
        <v>836</v>
      </c>
      <c r="D79" s="437" t="s">
        <v>837</v>
      </c>
      <c r="E79" s="437" t="s">
        <v>838</v>
      </c>
      <c r="F79" s="436" t="s">
        <v>754</v>
      </c>
      <c r="G79" s="441" t="s">
        <v>761</v>
      </c>
      <c r="H79" s="436" t="s">
        <v>756</v>
      </c>
      <c r="I79" s="437" t="s">
        <v>839</v>
      </c>
      <c r="J79" s="437" t="s">
        <v>840</v>
      </c>
      <c r="K79" s="436">
        <v>2026</v>
      </c>
      <c r="L79" s="439">
        <v>46066</v>
      </c>
      <c r="M79" s="440">
        <v>46368</v>
      </c>
      <c r="N79" s="283"/>
      <c r="O79" s="283"/>
      <c r="P79" s="283"/>
      <c r="Q79" s="283" t="s">
        <v>91</v>
      </c>
    </row>
    <row r="80" spans="1:17" ht="15.75" customHeight="1" x14ac:dyDescent="0.3">
      <c r="A80" s="435">
        <v>67</v>
      </c>
      <c r="B80" s="436" t="s">
        <v>367</v>
      </c>
      <c r="C80" s="436" t="s">
        <v>841</v>
      </c>
      <c r="D80" s="437" t="s">
        <v>842</v>
      </c>
      <c r="E80" s="437" t="s">
        <v>843</v>
      </c>
      <c r="F80" s="436" t="s">
        <v>754</v>
      </c>
      <c r="G80" s="441" t="s">
        <v>761</v>
      </c>
      <c r="H80" s="436" t="s">
        <v>756</v>
      </c>
      <c r="I80" s="437" t="s">
        <v>844</v>
      </c>
      <c r="J80" s="437" t="s">
        <v>844</v>
      </c>
      <c r="K80" s="436">
        <v>2026</v>
      </c>
      <c r="L80" s="439">
        <v>46063</v>
      </c>
      <c r="M80" s="440">
        <v>46368</v>
      </c>
      <c r="N80" s="283"/>
      <c r="O80" s="283"/>
      <c r="P80" s="283"/>
      <c r="Q80" s="283" t="s">
        <v>91</v>
      </c>
    </row>
    <row r="81" spans="1:17" ht="15.75" customHeight="1" x14ac:dyDescent="0.3">
      <c r="A81" s="435">
        <v>68</v>
      </c>
      <c r="B81" s="436" t="s">
        <v>368</v>
      </c>
      <c r="C81" s="436" t="s">
        <v>962</v>
      </c>
      <c r="D81" s="437" t="s">
        <v>963</v>
      </c>
      <c r="E81" s="437" t="s">
        <v>964</v>
      </c>
      <c r="F81" s="436" t="s">
        <v>754</v>
      </c>
      <c r="G81" s="441" t="s">
        <v>755</v>
      </c>
      <c r="H81" s="436" t="s">
        <v>756</v>
      </c>
      <c r="I81" s="437" t="s">
        <v>965</v>
      </c>
      <c r="J81" s="437" t="s">
        <v>966</v>
      </c>
      <c r="K81" s="436">
        <v>2026</v>
      </c>
      <c r="L81" s="439">
        <v>46106</v>
      </c>
      <c r="M81" s="440">
        <v>46368</v>
      </c>
      <c r="N81" s="283"/>
      <c r="O81" s="283"/>
      <c r="P81" s="283"/>
      <c r="Q81" s="283" t="s">
        <v>91</v>
      </c>
    </row>
    <row r="82" spans="1:17" ht="15.75" customHeight="1" x14ac:dyDescent="0.3">
      <c r="A82" s="435">
        <v>69</v>
      </c>
      <c r="B82" s="436" t="s">
        <v>369</v>
      </c>
      <c r="C82" s="436" t="s">
        <v>845</v>
      </c>
      <c r="D82" s="437" t="s">
        <v>846</v>
      </c>
      <c r="E82" s="437" t="s">
        <v>847</v>
      </c>
      <c r="F82" s="436" t="s">
        <v>754</v>
      </c>
      <c r="G82" s="441" t="s">
        <v>777</v>
      </c>
      <c r="H82" s="436" t="s">
        <v>756</v>
      </c>
      <c r="I82" s="437" t="s">
        <v>848</v>
      </c>
      <c r="J82" s="437" t="s">
        <v>849</v>
      </c>
      <c r="K82" s="436">
        <v>2026</v>
      </c>
      <c r="L82" s="439">
        <v>46076</v>
      </c>
      <c r="M82" s="440">
        <v>46368</v>
      </c>
      <c r="N82" s="283"/>
      <c r="O82" s="283"/>
      <c r="P82" s="283"/>
      <c r="Q82" s="283" t="s">
        <v>91</v>
      </c>
    </row>
    <row r="83" spans="1:17" ht="15.75" customHeight="1" x14ac:dyDescent="0.3">
      <c r="A83" s="435">
        <v>70</v>
      </c>
      <c r="B83" s="436" t="s">
        <v>370</v>
      </c>
      <c r="C83" s="436" t="s">
        <v>967</v>
      </c>
      <c r="D83" s="437" t="s">
        <v>968</v>
      </c>
      <c r="E83" s="437" t="s">
        <v>969</v>
      </c>
      <c r="F83" s="436" t="s">
        <v>754</v>
      </c>
      <c r="G83" s="441" t="s">
        <v>755</v>
      </c>
      <c r="H83" s="436" t="s">
        <v>756</v>
      </c>
      <c r="I83" s="437" t="s">
        <v>970</v>
      </c>
      <c r="J83" s="437" t="s">
        <v>970</v>
      </c>
      <c r="K83" s="436">
        <v>2025</v>
      </c>
      <c r="L83" s="439">
        <v>45694</v>
      </c>
      <c r="M83" s="440">
        <v>45991</v>
      </c>
      <c r="N83" s="283" t="s">
        <v>91</v>
      </c>
      <c r="O83" s="283" t="s">
        <v>91</v>
      </c>
      <c r="P83" s="283" t="s">
        <v>91</v>
      </c>
      <c r="Q83" s="283"/>
    </row>
    <row r="84" spans="1:17" ht="15.75" customHeight="1" x14ac:dyDescent="0.3">
      <c r="A84" s="435">
        <v>71</v>
      </c>
      <c r="B84" s="436" t="s">
        <v>581</v>
      </c>
      <c r="C84" s="436" t="s">
        <v>850</v>
      </c>
      <c r="D84" s="437" t="s">
        <v>851</v>
      </c>
      <c r="E84" s="437" t="s">
        <v>852</v>
      </c>
      <c r="F84" s="436" t="s">
        <v>754</v>
      </c>
      <c r="G84" s="441" t="s">
        <v>761</v>
      </c>
      <c r="H84" s="436" t="s">
        <v>756</v>
      </c>
      <c r="I84" s="437" t="s">
        <v>853</v>
      </c>
      <c r="J84" s="437" t="s">
        <v>853</v>
      </c>
      <c r="K84" s="436">
        <v>2026</v>
      </c>
      <c r="L84" s="439">
        <v>46065</v>
      </c>
      <c r="M84" s="440">
        <v>46360</v>
      </c>
      <c r="N84" s="283"/>
      <c r="O84" s="283"/>
      <c r="P84" s="283"/>
      <c r="Q84" s="283" t="s">
        <v>91</v>
      </c>
    </row>
    <row r="85" spans="1:17" ht="15.75" customHeight="1" x14ac:dyDescent="0.3">
      <c r="A85" s="435">
        <v>72</v>
      </c>
      <c r="B85" s="436" t="s">
        <v>371</v>
      </c>
      <c r="C85" s="436" t="s">
        <v>1150</v>
      </c>
      <c r="D85" s="437" t="s">
        <v>1151</v>
      </c>
      <c r="E85" s="437" t="s">
        <v>1152</v>
      </c>
      <c r="F85" s="436" t="s">
        <v>1259</v>
      </c>
      <c r="G85" s="441" t="s">
        <v>1260</v>
      </c>
      <c r="H85" s="436" t="s">
        <v>756</v>
      </c>
      <c r="I85" s="437" t="s">
        <v>1153</v>
      </c>
      <c r="J85" s="437" t="s">
        <v>1154</v>
      </c>
      <c r="K85" s="436">
        <v>2023</v>
      </c>
      <c r="L85" s="439">
        <v>44991</v>
      </c>
      <c r="M85" s="440">
        <v>45260</v>
      </c>
      <c r="N85" s="283" t="s">
        <v>91</v>
      </c>
      <c r="O85" s="283"/>
      <c r="P85" s="283"/>
      <c r="Q85" s="283"/>
    </row>
    <row r="86" spans="1:17" ht="15.75" customHeight="1" x14ac:dyDescent="0.3">
      <c r="A86" s="435">
        <v>73</v>
      </c>
      <c r="B86" s="436" t="s">
        <v>372</v>
      </c>
      <c r="C86" s="436" t="s">
        <v>1155</v>
      </c>
      <c r="D86" s="437" t="s">
        <v>1156</v>
      </c>
      <c r="E86" s="437" t="s">
        <v>1157</v>
      </c>
      <c r="F86" s="436" t="s">
        <v>754</v>
      </c>
      <c r="G86" s="441" t="s">
        <v>755</v>
      </c>
      <c r="H86" s="436" t="s">
        <v>756</v>
      </c>
      <c r="I86" s="437" t="s">
        <v>1158</v>
      </c>
      <c r="J86" s="437" t="s">
        <v>1159</v>
      </c>
      <c r="K86" s="436">
        <v>2023</v>
      </c>
      <c r="L86" s="439">
        <v>44995</v>
      </c>
      <c r="M86" s="440">
        <v>45260</v>
      </c>
      <c r="N86" s="283" t="s">
        <v>91</v>
      </c>
      <c r="O86" s="283"/>
      <c r="P86" s="283"/>
      <c r="Q86" s="283"/>
    </row>
    <row r="87" spans="1:17" ht="15.75" customHeight="1" x14ac:dyDescent="0.3">
      <c r="A87" s="435">
        <v>74</v>
      </c>
      <c r="B87" s="436" t="s">
        <v>1061</v>
      </c>
      <c r="C87" s="436" t="s">
        <v>1062</v>
      </c>
      <c r="D87" s="437" t="s">
        <v>1063</v>
      </c>
      <c r="E87" s="437" t="s">
        <v>1064</v>
      </c>
      <c r="F87" s="436" t="s">
        <v>754</v>
      </c>
      <c r="G87" s="441" t="s">
        <v>761</v>
      </c>
      <c r="H87" s="436" t="s">
        <v>756</v>
      </c>
      <c r="I87" s="437" t="s">
        <v>1065</v>
      </c>
      <c r="J87" s="437" t="s">
        <v>1065</v>
      </c>
      <c r="K87" s="436">
        <v>2026</v>
      </c>
      <c r="L87" s="439">
        <v>46064</v>
      </c>
      <c r="M87" s="440">
        <v>46368</v>
      </c>
      <c r="N87" s="283"/>
      <c r="O87" s="283"/>
      <c r="P87" s="283"/>
      <c r="Q87" s="283" t="s">
        <v>91</v>
      </c>
    </row>
    <row r="88" spans="1:17" ht="15.75" customHeight="1" x14ac:dyDescent="0.3">
      <c r="A88" s="435">
        <v>75</v>
      </c>
      <c r="B88" s="436" t="s">
        <v>373</v>
      </c>
      <c r="C88" s="436" t="s">
        <v>971</v>
      </c>
      <c r="D88" s="437" t="s">
        <v>972</v>
      </c>
      <c r="E88" s="437" t="s">
        <v>973</v>
      </c>
      <c r="F88" s="436" t="s">
        <v>754</v>
      </c>
      <c r="G88" s="441" t="s">
        <v>761</v>
      </c>
      <c r="H88" s="436" t="s">
        <v>756</v>
      </c>
      <c r="I88" s="437" t="s">
        <v>974</v>
      </c>
      <c r="J88" s="437" t="s">
        <v>974</v>
      </c>
      <c r="K88" s="436">
        <v>2026</v>
      </c>
      <c r="L88" s="439">
        <v>46086</v>
      </c>
      <c r="M88" s="440">
        <v>46368</v>
      </c>
      <c r="N88" s="283"/>
      <c r="O88" s="283"/>
      <c r="P88" s="283"/>
      <c r="Q88" s="283" t="s">
        <v>91</v>
      </c>
    </row>
    <row r="89" spans="1:17" ht="15.75" customHeight="1" x14ac:dyDescent="0.3">
      <c r="A89" s="435">
        <v>76</v>
      </c>
      <c r="B89" s="436" t="s">
        <v>374</v>
      </c>
      <c r="C89" s="436" t="s">
        <v>975</v>
      </c>
      <c r="D89" s="437" t="s">
        <v>976</v>
      </c>
      <c r="E89" s="437" t="s">
        <v>977</v>
      </c>
      <c r="F89" s="436" t="s">
        <v>754</v>
      </c>
      <c r="G89" s="441" t="s">
        <v>761</v>
      </c>
      <c r="H89" s="436" t="s">
        <v>756</v>
      </c>
      <c r="I89" s="437" t="s">
        <v>978</v>
      </c>
      <c r="J89" s="437" t="s">
        <v>979</v>
      </c>
      <c r="K89" s="436">
        <v>2026</v>
      </c>
      <c r="L89" s="439">
        <v>46058</v>
      </c>
      <c r="M89" s="440">
        <v>46368</v>
      </c>
      <c r="N89" s="283"/>
      <c r="O89" s="283"/>
      <c r="P89" s="283"/>
      <c r="Q89" s="283" t="s">
        <v>91</v>
      </c>
    </row>
    <row r="90" spans="1:17" ht="15.75" customHeight="1" x14ac:dyDescent="0.3">
      <c r="A90" s="435">
        <v>77</v>
      </c>
      <c r="B90" s="436" t="s">
        <v>375</v>
      </c>
      <c r="C90" s="436" t="s">
        <v>980</v>
      </c>
      <c r="D90" s="437" t="s">
        <v>981</v>
      </c>
      <c r="E90" s="437" t="s">
        <v>982</v>
      </c>
      <c r="F90" s="436" t="s">
        <v>754</v>
      </c>
      <c r="G90" s="441" t="s">
        <v>761</v>
      </c>
      <c r="H90" s="436" t="s">
        <v>756</v>
      </c>
      <c r="I90" s="437" t="s">
        <v>983</v>
      </c>
      <c r="J90" s="437" t="s">
        <v>983</v>
      </c>
      <c r="K90" s="436">
        <v>2025</v>
      </c>
      <c r="L90" s="439">
        <v>45811</v>
      </c>
      <c r="M90" s="440">
        <v>47452</v>
      </c>
      <c r="N90" s="283"/>
      <c r="O90" s="283"/>
      <c r="P90" s="283" t="s">
        <v>91</v>
      </c>
      <c r="Q90" s="283"/>
    </row>
    <row r="91" spans="1:17" ht="15.75" customHeight="1" x14ac:dyDescent="0.3">
      <c r="A91" s="435">
        <v>78</v>
      </c>
      <c r="B91" s="436" t="s">
        <v>376</v>
      </c>
      <c r="C91" s="436" t="s">
        <v>1160</v>
      </c>
      <c r="D91" s="437" t="s">
        <v>1161</v>
      </c>
      <c r="E91" s="437" t="s">
        <v>1162</v>
      </c>
      <c r="F91" s="436" t="s">
        <v>1259</v>
      </c>
      <c r="G91" s="441" t="s">
        <v>761</v>
      </c>
      <c r="H91" s="436" t="s">
        <v>756</v>
      </c>
      <c r="I91" s="437" t="s">
        <v>1163</v>
      </c>
      <c r="J91" s="437" t="s">
        <v>1164</v>
      </c>
      <c r="K91" s="436">
        <v>2023</v>
      </c>
      <c r="L91" s="439">
        <v>44991</v>
      </c>
      <c r="M91" s="440">
        <v>45260</v>
      </c>
      <c r="N91" s="283" t="s">
        <v>91</v>
      </c>
      <c r="O91" s="283"/>
      <c r="P91" s="283"/>
      <c r="Q91" s="283"/>
    </row>
    <row r="92" spans="1:17" ht="15.75" customHeight="1" x14ac:dyDescent="0.3">
      <c r="A92" s="435">
        <v>79</v>
      </c>
      <c r="B92" s="436" t="s">
        <v>377</v>
      </c>
      <c r="C92" s="436" t="s">
        <v>1165</v>
      </c>
      <c r="D92" s="437" t="s">
        <v>1166</v>
      </c>
      <c r="E92" s="437" t="s">
        <v>1167</v>
      </c>
      <c r="F92" s="436" t="s">
        <v>754</v>
      </c>
      <c r="G92" s="441" t="s">
        <v>761</v>
      </c>
      <c r="H92" s="436" t="s">
        <v>756</v>
      </c>
      <c r="I92" s="437" t="s">
        <v>1168</v>
      </c>
      <c r="J92" s="437" t="s">
        <v>1169</v>
      </c>
      <c r="K92" s="436">
        <v>2026</v>
      </c>
      <c r="L92" s="439">
        <v>46052</v>
      </c>
      <c r="M92" s="440">
        <v>46368</v>
      </c>
      <c r="N92" s="283"/>
      <c r="O92" s="283"/>
      <c r="P92" s="283"/>
      <c r="Q92" s="283" t="s">
        <v>91</v>
      </c>
    </row>
    <row r="93" spans="1:17" ht="15.75" customHeight="1" x14ac:dyDescent="0.3">
      <c r="A93" s="435">
        <v>80</v>
      </c>
      <c r="B93" s="436" t="s">
        <v>378</v>
      </c>
      <c r="C93" s="436" t="s">
        <v>984</v>
      </c>
      <c r="D93" s="437" t="s">
        <v>985</v>
      </c>
      <c r="E93" s="437" t="s">
        <v>986</v>
      </c>
      <c r="F93" s="436" t="s">
        <v>754</v>
      </c>
      <c r="G93" s="441" t="s">
        <v>761</v>
      </c>
      <c r="H93" s="436" t="s">
        <v>756</v>
      </c>
      <c r="I93" s="437" t="s">
        <v>987</v>
      </c>
      <c r="J93" s="437" t="s">
        <v>987</v>
      </c>
      <c r="K93" s="436">
        <v>2026</v>
      </c>
      <c r="L93" s="439">
        <v>46368</v>
      </c>
      <c r="M93" s="440">
        <v>46368</v>
      </c>
      <c r="N93" s="283"/>
      <c r="O93" s="283"/>
      <c r="P93" s="283"/>
      <c r="Q93" s="283" t="s">
        <v>91</v>
      </c>
    </row>
    <row r="94" spans="1:17" ht="15.75" customHeight="1" x14ac:dyDescent="0.3">
      <c r="A94" s="435">
        <v>81</v>
      </c>
      <c r="B94" s="436" t="s">
        <v>1225</v>
      </c>
      <c r="C94" s="436" t="s">
        <v>1226</v>
      </c>
      <c r="D94" s="437" t="s">
        <v>1227</v>
      </c>
      <c r="E94" s="437" t="s">
        <v>1288</v>
      </c>
      <c r="F94" s="436" t="s">
        <v>754</v>
      </c>
      <c r="G94" s="441" t="s">
        <v>755</v>
      </c>
      <c r="H94" s="436" t="s">
        <v>756</v>
      </c>
      <c r="I94" s="437" t="s">
        <v>1228</v>
      </c>
      <c r="J94" s="437" t="s">
        <v>1289</v>
      </c>
      <c r="K94" s="436">
        <v>2026</v>
      </c>
      <c r="L94" s="439">
        <v>46092</v>
      </c>
      <c r="M94" s="440">
        <v>46368</v>
      </c>
      <c r="N94" s="283"/>
      <c r="O94" s="283"/>
      <c r="P94" s="283"/>
      <c r="Q94" s="283" t="s">
        <v>91</v>
      </c>
    </row>
    <row r="95" spans="1:17" ht="15.75" customHeight="1" x14ac:dyDescent="0.3">
      <c r="A95" s="435">
        <v>82</v>
      </c>
      <c r="B95" s="436" t="s">
        <v>379</v>
      </c>
      <c r="C95" s="436" t="s">
        <v>1170</v>
      </c>
      <c r="D95" s="437" t="s">
        <v>1171</v>
      </c>
      <c r="E95" s="437" t="s">
        <v>1172</v>
      </c>
      <c r="F95" s="436" t="s">
        <v>754</v>
      </c>
      <c r="G95" s="441" t="s">
        <v>755</v>
      </c>
      <c r="H95" s="436" t="s">
        <v>756</v>
      </c>
      <c r="I95" s="437" t="s">
        <v>1173</v>
      </c>
      <c r="J95" s="437" t="s">
        <v>1173</v>
      </c>
      <c r="K95" s="436">
        <v>2026</v>
      </c>
      <c r="L95" s="439">
        <v>46094</v>
      </c>
      <c r="M95" s="440">
        <v>46368</v>
      </c>
      <c r="N95" s="283"/>
      <c r="O95" s="283"/>
      <c r="P95" s="283"/>
      <c r="Q95" s="283" t="s">
        <v>91</v>
      </c>
    </row>
    <row r="96" spans="1:17" ht="27.75" customHeight="1" x14ac:dyDescent="0.3">
      <c r="A96" s="435">
        <v>83</v>
      </c>
      <c r="B96" s="436" t="s">
        <v>380</v>
      </c>
      <c r="C96" s="436" t="s">
        <v>854</v>
      </c>
      <c r="D96" s="437" t="s">
        <v>855</v>
      </c>
      <c r="E96" s="437" t="s">
        <v>856</v>
      </c>
      <c r="F96" s="436" t="s">
        <v>754</v>
      </c>
      <c r="G96" s="441" t="s">
        <v>761</v>
      </c>
      <c r="H96" s="436" t="s">
        <v>756</v>
      </c>
      <c r="I96" s="437" t="s">
        <v>857</v>
      </c>
      <c r="J96" s="437" t="s">
        <v>857</v>
      </c>
      <c r="K96" s="436">
        <v>2026</v>
      </c>
      <c r="L96" s="439">
        <v>46056</v>
      </c>
      <c r="M96" s="440">
        <v>46356</v>
      </c>
      <c r="N96" s="283"/>
      <c r="O96" s="283"/>
      <c r="P96" s="283"/>
      <c r="Q96" s="283" t="s">
        <v>91</v>
      </c>
    </row>
    <row r="97" spans="1:17" ht="15.75" customHeight="1" x14ac:dyDescent="0.3">
      <c r="A97" s="435">
        <v>84</v>
      </c>
      <c r="B97" s="436" t="s">
        <v>1174</v>
      </c>
      <c r="C97" s="436" t="s">
        <v>1175</v>
      </c>
      <c r="D97" s="437" t="s">
        <v>1176</v>
      </c>
      <c r="E97" s="437" t="s">
        <v>1177</v>
      </c>
      <c r="F97" s="436" t="s">
        <v>754</v>
      </c>
      <c r="G97" s="441" t="s">
        <v>755</v>
      </c>
      <c r="H97" s="436" t="s">
        <v>756</v>
      </c>
      <c r="I97" s="437" t="s">
        <v>1178</v>
      </c>
      <c r="J97" s="437" t="s">
        <v>1179</v>
      </c>
      <c r="K97" s="436">
        <v>2023</v>
      </c>
      <c r="L97" s="439">
        <v>45037</v>
      </c>
      <c r="M97" s="440">
        <v>45260</v>
      </c>
      <c r="N97" s="283" t="s">
        <v>91</v>
      </c>
      <c r="O97" s="283"/>
      <c r="P97" s="283"/>
      <c r="Q97" s="283"/>
    </row>
    <row r="98" spans="1:17" ht="15.75" customHeight="1" x14ac:dyDescent="0.3">
      <c r="A98" s="435">
        <v>85</v>
      </c>
      <c r="B98" s="436" t="s">
        <v>381</v>
      </c>
      <c r="C98" s="436" t="s">
        <v>858</v>
      </c>
      <c r="D98" s="437" t="s">
        <v>859</v>
      </c>
      <c r="E98" s="437" t="s">
        <v>860</v>
      </c>
      <c r="F98" s="436" t="s">
        <v>754</v>
      </c>
      <c r="G98" s="441" t="s">
        <v>761</v>
      </c>
      <c r="H98" s="436" t="s">
        <v>756</v>
      </c>
      <c r="I98" s="437" t="s">
        <v>861</v>
      </c>
      <c r="J98" s="437" t="s">
        <v>861</v>
      </c>
      <c r="K98" s="436">
        <v>2026</v>
      </c>
      <c r="L98" s="439">
        <v>46056</v>
      </c>
      <c r="M98" s="440">
        <v>46368</v>
      </c>
      <c r="N98" s="283"/>
      <c r="O98" s="283"/>
      <c r="P98" s="283"/>
      <c r="Q98" s="283" t="s">
        <v>91</v>
      </c>
    </row>
    <row r="99" spans="1:17" ht="15.75" customHeight="1" x14ac:dyDescent="0.3">
      <c r="A99" s="435">
        <v>86</v>
      </c>
      <c r="B99" s="436" t="s">
        <v>382</v>
      </c>
      <c r="C99" s="436" t="s">
        <v>862</v>
      </c>
      <c r="D99" s="437" t="s">
        <v>863</v>
      </c>
      <c r="E99" s="437" t="s">
        <v>864</v>
      </c>
      <c r="F99" s="436" t="s">
        <v>754</v>
      </c>
      <c r="G99" s="441" t="s">
        <v>761</v>
      </c>
      <c r="H99" s="436" t="s">
        <v>756</v>
      </c>
      <c r="I99" s="437" t="s">
        <v>865</v>
      </c>
      <c r="J99" s="437" t="s">
        <v>865</v>
      </c>
      <c r="K99" s="436">
        <v>2026</v>
      </c>
      <c r="L99" s="439">
        <v>46056</v>
      </c>
      <c r="M99" s="440">
        <v>46368</v>
      </c>
      <c r="N99" s="283"/>
      <c r="O99" s="283"/>
      <c r="P99" s="283"/>
      <c r="Q99" s="283" t="s">
        <v>91</v>
      </c>
    </row>
    <row r="100" spans="1:17" ht="15.75" customHeight="1" x14ac:dyDescent="0.3">
      <c r="A100" s="435">
        <v>87</v>
      </c>
      <c r="B100" s="436" t="s">
        <v>383</v>
      </c>
      <c r="C100" s="436" t="s">
        <v>988</v>
      </c>
      <c r="D100" s="437" t="s">
        <v>989</v>
      </c>
      <c r="E100" s="437" t="s">
        <v>990</v>
      </c>
      <c r="F100" s="436" t="s">
        <v>754</v>
      </c>
      <c r="G100" s="441" t="s">
        <v>761</v>
      </c>
      <c r="H100" s="436" t="s">
        <v>756</v>
      </c>
      <c r="I100" s="437" t="s">
        <v>991</v>
      </c>
      <c r="J100" s="437" t="s">
        <v>992</v>
      </c>
      <c r="K100" s="436">
        <v>2025</v>
      </c>
      <c r="L100" s="439">
        <v>45694</v>
      </c>
      <c r="M100" s="440">
        <v>45991</v>
      </c>
      <c r="N100" s="283" t="s">
        <v>91</v>
      </c>
      <c r="O100" s="283" t="s">
        <v>91</v>
      </c>
      <c r="P100" s="283" t="s">
        <v>91</v>
      </c>
      <c r="Q100" s="283"/>
    </row>
    <row r="101" spans="1:17" ht="15.75" customHeight="1" x14ac:dyDescent="0.3">
      <c r="A101" s="435">
        <v>88</v>
      </c>
      <c r="B101" s="436" t="s">
        <v>384</v>
      </c>
      <c r="C101" s="436" t="s">
        <v>1180</v>
      </c>
      <c r="D101" s="437" t="s">
        <v>1290</v>
      </c>
      <c r="E101" s="437" t="s">
        <v>1291</v>
      </c>
      <c r="F101" s="436" t="s">
        <v>754</v>
      </c>
      <c r="G101" s="441" t="s">
        <v>761</v>
      </c>
      <c r="H101" s="436" t="s">
        <v>756</v>
      </c>
      <c r="I101" s="437" t="s">
        <v>1181</v>
      </c>
      <c r="J101" s="437" t="s">
        <v>1181</v>
      </c>
      <c r="K101" s="436">
        <v>2026</v>
      </c>
      <c r="L101" s="439">
        <v>46121</v>
      </c>
      <c r="M101" s="440">
        <v>46368</v>
      </c>
      <c r="N101" s="283"/>
      <c r="O101" s="283"/>
      <c r="P101" s="283"/>
      <c r="Q101" s="283" t="s">
        <v>91</v>
      </c>
    </row>
    <row r="102" spans="1:17" ht="15.75" customHeight="1" x14ac:dyDescent="0.3">
      <c r="A102" s="435">
        <v>89</v>
      </c>
      <c r="B102" s="436" t="s">
        <v>385</v>
      </c>
      <c r="C102" s="436" t="s">
        <v>866</v>
      </c>
      <c r="D102" s="437" t="s">
        <v>867</v>
      </c>
      <c r="E102" s="437" t="s">
        <v>868</v>
      </c>
      <c r="F102" s="436" t="s">
        <v>754</v>
      </c>
      <c r="G102" s="441" t="s">
        <v>761</v>
      </c>
      <c r="H102" s="436" t="s">
        <v>756</v>
      </c>
      <c r="I102" s="437" t="s">
        <v>869</v>
      </c>
      <c r="J102" s="437" t="s">
        <v>869</v>
      </c>
      <c r="K102" s="436">
        <v>2026</v>
      </c>
      <c r="L102" s="439">
        <v>46064</v>
      </c>
      <c r="M102" s="440">
        <v>46356</v>
      </c>
      <c r="N102" s="283"/>
      <c r="O102" s="283"/>
      <c r="P102" s="283"/>
      <c r="Q102" s="283" t="s">
        <v>91</v>
      </c>
    </row>
    <row r="103" spans="1:17" ht="15.75" customHeight="1" x14ac:dyDescent="0.3">
      <c r="A103" s="435">
        <v>90</v>
      </c>
      <c r="B103" s="436" t="s">
        <v>386</v>
      </c>
      <c r="C103" s="436" t="s">
        <v>1182</v>
      </c>
      <c r="D103" s="437" t="s">
        <v>1183</v>
      </c>
      <c r="E103" s="437" t="s">
        <v>1184</v>
      </c>
      <c r="F103" s="436" t="s">
        <v>754</v>
      </c>
      <c r="G103" s="441" t="s">
        <v>761</v>
      </c>
      <c r="H103" s="436" t="s">
        <v>756</v>
      </c>
      <c r="I103" s="437" t="s">
        <v>1185</v>
      </c>
      <c r="J103" s="437"/>
      <c r="K103" s="436">
        <v>2023</v>
      </c>
      <c r="L103" s="439">
        <v>45069</v>
      </c>
      <c r="M103" s="440">
        <v>45260</v>
      </c>
      <c r="N103" s="283" t="s">
        <v>91</v>
      </c>
      <c r="O103" s="283"/>
      <c r="P103" s="283"/>
      <c r="Q103" s="283"/>
    </row>
    <row r="104" spans="1:17" ht="15.75" customHeight="1" x14ac:dyDescent="0.3">
      <c r="A104" s="435">
        <v>91</v>
      </c>
      <c r="B104" s="436" t="s">
        <v>387</v>
      </c>
      <c r="C104" s="436" t="s">
        <v>993</v>
      </c>
      <c r="D104" s="437" t="s">
        <v>994</v>
      </c>
      <c r="E104" s="437" t="s">
        <v>1292</v>
      </c>
      <c r="F104" s="436" t="s">
        <v>754</v>
      </c>
      <c r="G104" s="441" t="s">
        <v>761</v>
      </c>
      <c r="H104" s="436" t="s">
        <v>756</v>
      </c>
      <c r="I104" s="437" t="s">
        <v>995</v>
      </c>
      <c r="J104" s="437" t="s">
        <v>995</v>
      </c>
      <c r="K104" s="436">
        <v>2026</v>
      </c>
      <c r="L104" s="439">
        <v>46050</v>
      </c>
      <c r="M104" s="440">
        <v>46368</v>
      </c>
      <c r="N104" s="283"/>
      <c r="O104" s="283"/>
      <c r="P104" s="283"/>
      <c r="Q104" s="283" t="s">
        <v>91</v>
      </c>
    </row>
    <row r="105" spans="1:17" ht="15.75" customHeight="1" x14ac:dyDescent="0.3">
      <c r="A105" s="435">
        <v>92</v>
      </c>
      <c r="B105" s="436" t="s">
        <v>1066</v>
      </c>
      <c r="C105" s="436" t="s">
        <v>1067</v>
      </c>
      <c r="D105" s="437" t="s">
        <v>1068</v>
      </c>
      <c r="E105" s="437" t="s">
        <v>1293</v>
      </c>
      <c r="F105" s="436" t="s">
        <v>754</v>
      </c>
      <c r="G105" s="441" t="s">
        <v>761</v>
      </c>
      <c r="H105" s="436" t="s">
        <v>756</v>
      </c>
      <c r="I105" s="437" t="s">
        <v>1069</v>
      </c>
      <c r="J105" s="437" t="s">
        <v>1070</v>
      </c>
      <c r="K105" s="436">
        <v>2026</v>
      </c>
      <c r="L105" s="439">
        <v>46077</v>
      </c>
      <c r="M105" s="440">
        <v>46368</v>
      </c>
      <c r="N105" s="283"/>
      <c r="O105" s="283"/>
      <c r="P105" s="283"/>
      <c r="Q105" s="283" t="s">
        <v>91</v>
      </c>
    </row>
    <row r="106" spans="1:17" ht="15.75" customHeight="1" x14ac:dyDescent="0.3">
      <c r="A106" s="435">
        <v>93</v>
      </c>
      <c r="B106" s="436" t="s">
        <v>388</v>
      </c>
      <c r="C106" s="436" t="s">
        <v>870</v>
      </c>
      <c r="D106" s="437" t="s">
        <v>820</v>
      </c>
      <c r="E106" s="437" t="s">
        <v>871</v>
      </c>
      <c r="F106" s="436" t="s">
        <v>754</v>
      </c>
      <c r="G106" s="441" t="s">
        <v>761</v>
      </c>
      <c r="H106" s="436" t="s">
        <v>756</v>
      </c>
      <c r="I106" s="437" t="s">
        <v>872</v>
      </c>
      <c r="J106" s="437" t="s">
        <v>1294</v>
      </c>
      <c r="K106" s="436">
        <v>2026</v>
      </c>
      <c r="L106" s="439">
        <v>46076</v>
      </c>
      <c r="M106" s="440">
        <v>46356</v>
      </c>
      <c r="N106" s="283"/>
      <c r="O106" s="283"/>
      <c r="P106" s="283"/>
      <c r="Q106" s="283" t="s">
        <v>91</v>
      </c>
    </row>
    <row r="107" spans="1:17" ht="15.75" customHeight="1" x14ac:dyDescent="0.3">
      <c r="A107" s="435">
        <v>94</v>
      </c>
      <c r="B107" s="436" t="s">
        <v>589</v>
      </c>
      <c r="C107" s="436" t="s">
        <v>996</v>
      </c>
      <c r="D107" s="437" t="s">
        <v>820</v>
      </c>
      <c r="E107" s="437" t="s">
        <v>1295</v>
      </c>
      <c r="F107" s="436" t="s">
        <v>754</v>
      </c>
      <c r="G107" s="441" t="s">
        <v>755</v>
      </c>
      <c r="H107" s="436" t="s">
        <v>756</v>
      </c>
      <c r="I107" s="437" t="s">
        <v>997</v>
      </c>
      <c r="J107" s="437" t="s">
        <v>998</v>
      </c>
      <c r="K107" s="436">
        <v>2026</v>
      </c>
      <c r="L107" s="439">
        <v>46064</v>
      </c>
      <c r="M107" s="440">
        <v>46368</v>
      </c>
      <c r="N107" s="283"/>
      <c r="O107" s="283"/>
      <c r="P107" s="283"/>
      <c r="Q107" s="283" t="s">
        <v>91</v>
      </c>
    </row>
    <row r="108" spans="1:17" ht="15.75" customHeight="1" x14ac:dyDescent="0.3">
      <c r="A108" s="435">
        <v>95</v>
      </c>
      <c r="B108" s="436" t="s">
        <v>389</v>
      </c>
      <c r="C108" s="436" t="s">
        <v>1071</v>
      </c>
      <c r="D108" s="437" t="s">
        <v>1072</v>
      </c>
      <c r="E108" s="437" t="s">
        <v>1073</v>
      </c>
      <c r="F108" s="436" t="s">
        <v>754</v>
      </c>
      <c r="G108" s="441" t="s">
        <v>755</v>
      </c>
      <c r="H108" s="436" t="s">
        <v>756</v>
      </c>
      <c r="I108" s="437" t="s">
        <v>1074</v>
      </c>
      <c r="J108" s="437" t="s">
        <v>1074</v>
      </c>
      <c r="K108" s="436">
        <v>2024</v>
      </c>
      <c r="L108" s="439">
        <v>45581</v>
      </c>
      <c r="M108" s="440">
        <v>47407</v>
      </c>
      <c r="N108" s="283"/>
      <c r="O108" s="283" t="s">
        <v>91</v>
      </c>
      <c r="P108" s="283"/>
      <c r="Q108" s="283"/>
    </row>
    <row r="109" spans="1:17" ht="15.75" customHeight="1" x14ac:dyDescent="0.3">
      <c r="A109" s="435">
        <v>96</v>
      </c>
      <c r="B109" s="436" t="s">
        <v>390</v>
      </c>
      <c r="C109" s="436" t="s">
        <v>999</v>
      </c>
      <c r="D109" s="437" t="s">
        <v>1000</v>
      </c>
      <c r="E109" s="437" t="s">
        <v>1001</v>
      </c>
      <c r="F109" s="436" t="s">
        <v>754</v>
      </c>
      <c r="G109" s="441" t="s">
        <v>755</v>
      </c>
      <c r="H109" s="436" t="s">
        <v>756</v>
      </c>
      <c r="I109" s="437" t="s">
        <v>1002</v>
      </c>
      <c r="J109" s="437" t="s">
        <v>1002</v>
      </c>
      <c r="K109" s="436">
        <v>2025</v>
      </c>
      <c r="L109" s="439">
        <v>45694</v>
      </c>
      <c r="M109" s="440">
        <v>45991</v>
      </c>
      <c r="N109" s="283" t="s">
        <v>91</v>
      </c>
      <c r="O109" s="283" t="s">
        <v>91</v>
      </c>
      <c r="P109" s="283" t="s">
        <v>91</v>
      </c>
      <c r="Q109" s="283"/>
    </row>
    <row r="110" spans="1:17" ht="15.75" customHeight="1" x14ac:dyDescent="0.3">
      <c r="A110" s="435">
        <v>97</v>
      </c>
      <c r="B110" s="436" t="s">
        <v>391</v>
      </c>
      <c r="C110" s="436" t="s">
        <v>1003</v>
      </c>
      <c r="D110" s="437" t="s">
        <v>1004</v>
      </c>
      <c r="E110" s="437" t="s">
        <v>1005</v>
      </c>
      <c r="F110" s="436" t="s">
        <v>754</v>
      </c>
      <c r="G110" s="441" t="s">
        <v>761</v>
      </c>
      <c r="H110" s="436" t="s">
        <v>756</v>
      </c>
      <c r="I110" s="437" t="s">
        <v>1006</v>
      </c>
      <c r="J110" s="437" t="s">
        <v>1007</v>
      </c>
      <c r="K110" s="436">
        <v>2025</v>
      </c>
      <c r="L110" s="439">
        <v>45783</v>
      </c>
      <c r="M110" s="440">
        <v>45991</v>
      </c>
      <c r="N110" s="283" t="s">
        <v>91</v>
      </c>
      <c r="O110" s="283" t="s">
        <v>91</v>
      </c>
      <c r="P110" s="283" t="s">
        <v>91</v>
      </c>
      <c r="Q110" s="283"/>
    </row>
    <row r="111" spans="1:17" ht="15.75" customHeight="1" x14ac:dyDescent="0.3">
      <c r="A111" s="435">
        <v>98</v>
      </c>
      <c r="B111" s="436" t="s">
        <v>392</v>
      </c>
      <c r="C111" s="436" t="s">
        <v>1186</v>
      </c>
      <c r="D111" s="437" t="s">
        <v>1187</v>
      </c>
      <c r="E111" s="437" t="s">
        <v>1188</v>
      </c>
      <c r="F111" s="436" t="s">
        <v>1259</v>
      </c>
      <c r="G111" s="441" t="s">
        <v>761</v>
      </c>
      <c r="H111" s="436" t="s">
        <v>756</v>
      </c>
      <c r="I111" s="437" t="s">
        <v>1189</v>
      </c>
      <c r="J111" s="437" t="s">
        <v>1190</v>
      </c>
      <c r="K111" s="436">
        <v>2023</v>
      </c>
      <c r="L111" s="439">
        <v>45009</v>
      </c>
      <c r="M111" s="440">
        <v>45260</v>
      </c>
      <c r="N111" s="283" t="s">
        <v>91</v>
      </c>
      <c r="O111" s="283"/>
      <c r="P111" s="283"/>
      <c r="Q111" s="283"/>
    </row>
    <row r="112" spans="1:17" ht="15.75" customHeight="1" x14ac:dyDescent="0.3">
      <c r="A112" s="435">
        <v>99</v>
      </c>
      <c r="B112" s="436" t="s">
        <v>393</v>
      </c>
      <c r="C112" s="436" t="s">
        <v>1008</v>
      </c>
      <c r="D112" s="437" t="s">
        <v>1009</v>
      </c>
      <c r="E112" s="437" t="s">
        <v>1010</v>
      </c>
      <c r="F112" s="436" t="s">
        <v>754</v>
      </c>
      <c r="G112" s="441" t="s">
        <v>761</v>
      </c>
      <c r="H112" s="436" t="s">
        <v>756</v>
      </c>
      <c r="I112" s="437" t="s">
        <v>1011</v>
      </c>
      <c r="J112" s="437" t="s">
        <v>1011</v>
      </c>
      <c r="K112" s="436">
        <v>2026</v>
      </c>
      <c r="L112" s="439">
        <v>46065</v>
      </c>
      <c r="M112" s="440">
        <v>46356</v>
      </c>
      <c r="N112" s="283"/>
      <c r="O112" s="283"/>
      <c r="P112" s="283"/>
      <c r="Q112" s="283" t="s">
        <v>91</v>
      </c>
    </row>
    <row r="113" spans="1:17" ht="15.75" customHeight="1" x14ac:dyDescent="0.3">
      <c r="A113" s="435">
        <v>100</v>
      </c>
      <c r="B113" s="436" t="s">
        <v>395</v>
      </c>
      <c r="C113" s="436" t="s">
        <v>873</v>
      </c>
      <c r="D113" s="437" t="s">
        <v>874</v>
      </c>
      <c r="E113" s="437" t="s">
        <v>875</v>
      </c>
      <c r="F113" s="436" t="s">
        <v>754</v>
      </c>
      <c r="G113" s="441" t="s">
        <v>761</v>
      </c>
      <c r="H113" s="436" t="s">
        <v>756</v>
      </c>
      <c r="I113" s="437" t="s">
        <v>876</v>
      </c>
      <c r="J113" s="437" t="s">
        <v>877</v>
      </c>
      <c r="K113" s="436">
        <v>2026</v>
      </c>
      <c r="L113" s="439">
        <v>46072</v>
      </c>
      <c r="M113" s="440">
        <v>46368</v>
      </c>
      <c r="N113" s="283"/>
      <c r="O113" s="283"/>
      <c r="P113" s="283"/>
      <c r="Q113" s="283" t="s">
        <v>91</v>
      </c>
    </row>
    <row r="114" spans="1:17" ht="15.75" customHeight="1" x14ac:dyDescent="0.3">
      <c r="A114" s="435">
        <v>101</v>
      </c>
      <c r="B114" s="436" t="s">
        <v>1229</v>
      </c>
      <c r="C114" s="436" t="s">
        <v>1230</v>
      </c>
      <c r="D114" s="437" t="s">
        <v>1231</v>
      </c>
      <c r="E114" s="437" t="s">
        <v>1232</v>
      </c>
      <c r="F114" s="436" t="s">
        <v>1259</v>
      </c>
      <c r="G114" s="441" t="s">
        <v>1271</v>
      </c>
      <c r="H114" s="436" t="s">
        <v>1266</v>
      </c>
      <c r="I114" s="437" t="s">
        <v>1233</v>
      </c>
      <c r="J114" s="437"/>
      <c r="K114" s="436">
        <v>2023</v>
      </c>
      <c r="L114" s="442"/>
      <c r="M114" s="443"/>
      <c r="N114" s="283" t="s">
        <v>91</v>
      </c>
      <c r="O114" s="283"/>
      <c r="P114" s="283"/>
      <c r="Q114" s="283"/>
    </row>
    <row r="115" spans="1:17" ht="15.75" customHeight="1" x14ac:dyDescent="0.3">
      <c r="A115" s="435">
        <v>102</v>
      </c>
      <c r="B115" s="436" t="s">
        <v>394</v>
      </c>
      <c r="C115" s="436" t="s">
        <v>878</v>
      </c>
      <c r="D115" s="437" t="s">
        <v>879</v>
      </c>
      <c r="E115" s="437" t="s">
        <v>880</v>
      </c>
      <c r="F115" s="436" t="s">
        <v>754</v>
      </c>
      <c r="G115" s="441" t="s">
        <v>761</v>
      </c>
      <c r="H115" s="436" t="s">
        <v>756</v>
      </c>
      <c r="I115" s="437" t="s">
        <v>881</v>
      </c>
      <c r="J115" s="437" t="s">
        <v>881</v>
      </c>
      <c r="K115" s="436">
        <v>2026</v>
      </c>
      <c r="L115" s="439">
        <v>46065</v>
      </c>
      <c r="M115" s="440">
        <v>46368</v>
      </c>
      <c r="N115" s="283"/>
      <c r="O115" s="283"/>
      <c r="P115" s="283"/>
      <c r="Q115" s="283" t="s">
        <v>91</v>
      </c>
    </row>
    <row r="116" spans="1:17" ht="15.75" customHeight="1" x14ac:dyDescent="0.3">
      <c r="A116" s="435">
        <v>103</v>
      </c>
      <c r="B116" s="436" t="s">
        <v>590</v>
      </c>
      <c r="C116" s="436" t="s">
        <v>1012</v>
      </c>
      <c r="D116" s="448" t="s">
        <v>1013</v>
      </c>
      <c r="E116" s="437" t="s">
        <v>1296</v>
      </c>
      <c r="F116" s="436" t="s">
        <v>754</v>
      </c>
      <c r="G116" s="441" t="s">
        <v>755</v>
      </c>
      <c r="H116" s="436" t="s">
        <v>756</v>
      </c>
      <c r="I116" s="437" t="s">
        <v>1014</v>
      </c>
      <c r="J116" s="437" t="s">
        <v>1015</v>
      </c>
      <c r="K116" s="436">
        <v>2026</v>
      </c>
      <c r="L116" s="439">
        <v>46083</v>
      </c>
      <c r="M116" s="440">
        <v>46368</v>
      </c>
      <c r="N116" s="283"/>
      <c r="O116" s="283"/>
      <c r="P116" s="283"/>
      <c r="Q116" s="283" t="s">
        <v>91</v>
      </c>
    </row>
    <row r="117" spans="1:17" ht="15.75" customHeight="1" x14ac:dyDescent="0.3">
      <c r="A117" s="435">
        <v>104</v>
      </c>
      <c r="B117" s="436" t="s">
        <v>591</v>
      </c>
      <c r="C117" s="449" t="s">
        <v>1075</v>
      </c>
      <c r="D117" s="437" t="s">
        <v>1076</v>
      </c>
      <c r="E117" s="437" t="s">
        <v>1077</v>
      </c>
      <c r="F117" s="436" t="s">
        <v>754</v>
      </c>
      <c r="G117" s="441" t="s">
        <v>777</v>
      </c>
      <c r="H117" s="436" t="s">
        <v>756</v>
      </c>
      <c r="I117" s="437" t="s">
        <v>1078</v>
      </c>
      <c r="J117" s="437" t="s">
        <v>1079</v>
      </c>
      <c r="K117" s="436">
        <v>2024</v>
      </c>
      <c r="L117" s="439">
        <v>45343</v>
      </c>
      <c r="M117" s="440">
        <v>47817</v>
      </c>
      <c r="N117" s="283"/>
      <c r="O117" s="283" t="s">
        <v>91</v>
      </c>
      <c r="P117" s="283"/>
      <c r="Q117" s="283"/>
    </row>
    <row r="118" spans="1:17" ht="15.75" customHeight="1" x14ac:dyDescent="0.3">
      <c r="A118" s="435">
        <v>105</v>
      </c>
      <c r="B118" s="436" t="s">
        <v>592</v>
      </c>
      <c r="C118" s="449" t="s">
        <v>882</v>
      </c>
      <c r="D118" s="437" t="s">
        <v>883</v>
      </c>
      <c r="E118" s="437" t="s">
        <v>884</v>
      </c>
      <c r="F118" s="436" t="s">
        <v>754</v>
      </c>
      <c r="G118" s="441" t="s">
        <v>761</v>
      </c>
      <c r="H118" s="436" t="s">
        <v>756</v>
      </c>
      <c r="I118" s="437" t="s">
        <v>885</v>
      </c>
      <c r="J118" s="437" t="s">
        <v>886</v>
      </c>
      <c r="K118" s="436">
        <v>2026</v>
      </c>
      <c r="L118" s="439">
        <v>46069</v>
      </c>
      <c r="M118" s="440">
        <v>46368</v>
      </c>
      <c r="N118" s="283"/>
      <c r="O118" s="283"/>
      <c r="P118" s="283"/>
      <c r="Q118" s="283" t="s">
        <v>91</v>
      </c>
    </row>
    <row r="119" spans="1:17" ht="38.25" customHeight="1" x14ac:dyDescent="0.3">
      <c r="A119" s="435">
        <v>106</v>
      </c>
      <c r="B119" s="436" t="s">
        <v>593</v>
      </c>
      <c r="C119" s="436" t="s">
        <v>1297</v>
      </c>
      <c r="D119" s="437" t="s">
        <v>887</v>
      </c>
      <c r="E119" s="437" t="s">
        <v>888</v>
      </c>
      <c r="F119" s="436" t="s">
        <v>754</v>
      </c>
      <c r="G119" s="441" t="s">
        <v>761</v>
      </c>
      <c r="H119" s="436" t="s">
        <v>756</v>
      </c>
      <c r="I119" s="437" t="s">
        <v>889</v>
      </c>
      <c r="J119" s="437" t="s">
        <v>890</v>
      </c>
      <c r="K119" s="436">
        <v>2026</v>
      </c>
      <c r="L119" s="439">
        <v>46080</v>
      </c>
      <c r="M119" s="440">
        <v>47541</v>
      </c>
      <c r="N119" s="283"/>
      <c r="O119" s="283"/>
      <c r="P119" s="283"/>
      <c r="Q119" s="283" t="s">
        <v>91</v>
      </c>
    </row>
    <row r="120" spans="1:17" ht="15.75" customHeight="1" x14ac:dyDescent="0.3">
      <c r="A120" s="435">
        <v>107</v>
      </c>
      <c r="B120" s="436" t="s">
        <v>594</v>
      </c>
      <c r="C120" s="436"/>
      <c r="D120" s="449" t="s">
        <v>594</v>
      </c>
      <c r="E120" s="437" t="s">
        <v>1016</v>
      </c>
      <c r="F120" s="436" t="s">
        <v>754</v>
      </c>
      <c r="G120" s="441" t="s">
        <v>755</v>
      </c>
      <c r="H120" s="436" t="s">
        <v>756</v>
      </c>
      <c r="I120" s="437" t="s">
        <v>1017</v>
      </c>
      <c r="J120" s="437" t="s">
        <v>1017</v>
      </c>
      <c r="K120" s="436">
        <v>2025</v>
      </c>
      <c r="L120" s="439">
        <v>45735</v>
      </c>
      <c r="M120" s="440">
        <v>45735</v>
      </c>
      <c r="N120" s="283" t="s">
        <v>91</v>
      </c>
      <c r="O120" s="283" t="s">
        <v>91</v>
      </c>
      <c r="P120" s="283" t="s">
        <v>91</v>
      </c>
      <c r="Q120" s="283"/>
    </row>
    <row r="121" spans="1:17" ht="15.75" customHeight="1" x14ac:dyDescent="0.3">
      <c r="A121" s="435">
        <v>108</v>
      </c>
      <c r="B121" s="436" t="s">
        <v>595</v>
      </c>
      <c r="C121" s="436" t="s">
        <v>1018</v>
      </c>
      <c r="D121" s="437" t="s">
        <v>1019</v>
      </c>
      <c r="E121" s="437" t="s">
        <v>1020</v>
      </c>
      <c r="F121" s="436" t="s">
        <v>754</v>
      </c>
      <c r="G121" s="441" t="s">
        <v>755</v>
      </c>
      <c r="H121" s="436" t="s">
        <v>756</v>
      </c>
      <c r="I121" s="437" t="s">
        <v>1021</v>
      </c>
      <c r="J121" s="437" t="s">
        <v>1022</v>
      </c>
      <c r="K121" s="436">
        <v>2025</v>
      </c>
      <c r="L121" s="439">
        <v>45811</v>
      </c>
      <c r="M121" s="440">
        <v>45991</v>
      </c>
      <c r="N121" s="283" t="s">
        <v>91</v>
      </c>
      <c r="O121" s="283" t="s">
        <v>91</v>
      </c>
      <c r="P121" s="283" t="s">
        <v>91</v>
      </c>
      <c r="Q121" s="283"/>
    </row>
    <row r="122" spans="1:17" ht="15.75" customHeight="1" x14ac:dyDescent="0.3">
      <c r="A122" s="435">
        <v>109</v>
      </c>
      <c r="B122" s="436" t="s">
        <v>596</v>
      </c>
      <c r="C122" s="436" t="s">
        <v>1298</v>
      </c>
      <c r="D122" s="437" t="s">
        <v>1023</v>
      </c>
      <c r="E122" s="437" t="s">
        <v>1024</v>
      </c>
      <c r="F122" s="436" t="s">
        <v>754</v>
      </c>
      <c r="G122" s="441" t="s">
        <v>761</v>
      </c>
      <c r="H122" s="436" t="s">
        <v>756</v>
      </c>
      <c r="I122" s="437" t="s">
        <v>1025</v>
      </c>
      <c r="J122" s="437" t="s">
        <v>1026</v>
      </c>
      <c r="K122" s="436">
        <v>2026</v>
      </c>
      <c r="L122" s="439">
        <v>46092</v>
      </c>
      <c r="M122" s="440">
        <v>46371</v>
      </c>
      <c r="N122" s="283"/>
      <c r="O122" s="283"/>
      <c r="P122" s="283"/>
      <c r="Q122" s="283" t="s">
        <v>91</v>
      </c>
    </row>
    <row r="123" spans="1:17" ht="15.75" customHeight="1" x14ac:dyDescent="0.3">
      <c r="A123" s="435">
        <v>110</v>
      </c>
      <c r="B123" s="436" t="s">
        <v>597</v>
      </c>
      <c r="C123" s="436" t="s">
        <v>1027</v>
      </c>
      <c r="D123" s="437" t="s">
        <v>1028</v>
      </c>
      <c r="E123" s="437" t="s">
        <v>1029</v>
      </c>
      <c r="F123" s="436" t="s">
        <v>754</v>
      </c>
      <c r="G123" s="441" t="s">
        <v>755</v>
      </c>
      <c r="H123" s="436" t="s">
        <v>756</v>
      </c>
      <c r="I123" s="437" t="s">
        <v>1030</v>
      </c>
      <c r="J123" s="437" t="s">
        <v>1299</v>
      </c>
      <c r="K123" s="436">
        <v>2026</v>
      </c>
      <c r="L123" s="439">
        <v>46092</v>
      </c>
      <c r="M123" s="440">
        <v>46368</v>
      </c>
      <c r="N123" s="283"/>
      <c r="O123" s="283"/>
      <c r="P123" s="283"/>
      <c r="Q123" s="283" t="s">
        <v>91</v>
      </c>
    </row>
    <row r="124" spans="1:17" ht="15.75" customHeight="1" x14ac:dyDescent="0.3">
      <c r="A124" s="435">
        <v>111</v>
      </c>
      <c r="B124" s="436" t="s">
        <v>1031</v>
      </c>
      <c r="C124" s="436" t="s">
        <v>1300</v>
      </c>
      <c r="D124" s="437" t="s">
        <v>1301</v>
      </c>
      <c r="E124" s="437" t="s">
        <v>1033</v>
      </c>
      <c r="F124" s="436" t="s">
        <v>754</v>
      </c>
      <c r="G124" s="441" t="s">
        <v>755</v>
      </c>
      <c r="H124" s="436" t="s">
        <v>756</v>
      </c>
      <c r="I124" s="437" t="s">
        <v>1034</v>
      </c>
      <c r="J124" s="437" t="s">
        <v>1035</v>
      </c>
      <c r="K124" s="436">
        <v>2025</v>
      </c>
      <c r="L124" s="439">
        <v>45938</v>
      </c>
      <c r="M124" s="440">
        <v>46304</v>
      </c>
      <c r="N124" s="283"/>
      <c r="O124" s="283"/>
      <c r="P124" s="283" t="s">
        <v>91</v>
      </c>
      <c r="Q124" s="283"/>
    </row>
    <row r="125" spans="1:17" ht="15.75" customHeight="1" x14ac:dyDescent="0.3">
      <c r="A125" s="435">
        <v>112</v>
      </c>
      <c r="B125" s="436" t="s">
        <v>891</v>
      </c>
      <c r="C125" s="436" t="s">
        <v>892</v>
      </c>
      <c r="D125" s="437" t="s">
        <v>1302</v>
      </c>
      <c r="E125" s="437" t="s">
        <v>893</v>
      </c>
      <c r="F125" s="436" t="s">
        <v>754</v>
      </c>
      <c r="G125" s="441" t="s">
        <v>755</v>
      </c>
      <c r="H125" s="436" t="s">
        <v>756</v>
      </c>
      <c r="I125" s="437" t="s">
        <v>894</v>
      </c>
      <c r="J125" s="437" t="s">
        <v>895</v>
      </c>
      <c r="K125" s="436">
        <v>2026</v>
      </c>
      <c r="L125" s="439">
        <v>46048</v>
      </c>
      <c r="M125" s="440">
        <v>46368</v>
      </c>
      <c r="N125" s="283"/>
      <c r="O125" s="283"/>
      <c r="P125" s="283"/>
      <c r="Q125" s="283" t="s">
        <v>91</v>
      </c>
    </row>
    <row r="126" spans="1:17" ht="15.75" customHeight="1" x14ac:dyDescent="0.3">
      <c r="A126" s="435">
        <v>113</v>
      </c>
      <c r="B126" s="436" t="s">
        <v>1191</v>
      </c>
      <c r="C126" s="437" t="s">
        <v>1192</v>
      </c>
      <c r="D126" s="450"/>
      <c r="E126" s="437" t="s">
        <v>1193</v>
      </c>
      <c r="F126" s="436" t="s">
        <v>754</v>
      </c>
      <c r="G126" s="441" t="s">
        <v>755</v>
      </c>
      <c r="H126" s="436" t="s">
        <v>756</v>
      </c>
      <c r="I126" s="437" t="s">
        <v>1194</v>
      </c>
      <c r="J126" s="437" t="s">
        <v>1303</v>
      </c>
      <c r="K126" s="436">
        <v>2026</v>
      </c>
      <c r="L126" s="439">
        <v>46078</v>
      </c>
      <c r="M126" s="440">
        <v>46368</v>
      </c>
      <c r="N126" s="283"/>
      <c r="O126" s="283"/>
      <c r="P126" s="283"/>
      <c r="Q126" s="283" t="s">
        <v>91</v>
      </c>
    </row>
    <row r="127" spans="1:17" ht="15.75" customHeight="1" x14ac:dyDescent="0.3">
      <c r="A127" s="435">
        <v>114</v>
      </c>
      <c r="B127" s="451" t="s">
        <v>1304</v>
      </c>
      <c r="C127" s="436"/>
      <c r="D127" s="436" t="s">
        <v>1304</v>
      </c>
      <c r="E127" s="452" t="s">
        <v>1305</v>
      </c>
      <c r="F127" s="436" t="s">
        <v>1259</v>
      </c>
      <c r="G127" s="441" t="s">
        <v>777</v>
      </c>
      <c r="H127" s="448" t="s">
        <v>1285</v>
      </c>
      <c r="I127" s="448" t="s">
        <v>1306</v>
      </c>
      <c r="J127" s="452" t="s">
        <v>1306</v>
      </c>
      <c r="K127" s="436">
        <v>2022</v>
      </c>
      <c r="L127" s="439">
        <v>44814</v>
      </c>
      <c r="M127" s="440">
        <v>46368</v>
      </c>
      <c r="N127" s="283"/>
      <c r="O127" s="283"/>
      <c r="P127" s="283"/>
      <c r="Q127" s="283"/>
    </row>
    <row r="128" spans="1:17" ht="15.75" customHeight="1" x14ac:dyDescent="0.3">
      <c r="A128" s="435">
        <v>115</v>
      </c>
      <c r="B128" s="451" t="s">
        <v>1307</v>
      </c>
      <c r="C128" s="449" t="s">
        <v>1308</v>
      </c>
      <c r="D128" s="453" t="s">
        <v>1309</v>
      </c>
      <c r="E128" s="452" t="s">
        <v>1310</v>
      </c>
      <c r="F128" s="452" t="s">
        <v>754</v>
      </c>
      <c r="G128" s="441" t="s">
        <v>755</v>
      </c>
      <c r="H128" s="448" t="s">
        <v>756</v>
      </c>
      <c r="I128" s="448" t="s">
        <v>1311</v>
      </c>
      <c r="J128" s="452" t="s">
        <v>1312</v>
      </c>
      <c r="K128" s="436">
        <v>2026</v>
      </c>
      <c r="L128" s="439">
        <v>46094</v>
      </c>
      <c r="M128" s="440">
        <v>46368</v>
      </c>
      <c r="N128" s="283"/>
      <c r="O128" s="283"/>
      <c r="P128" s="283"/>
      <c r="Q128" s="283" t="s">
        <v>91</v>
      </c>
    </row>
    <row r="129" spans="1:17" ht="15.75" customHeight="1" x14ac:dyDescent="0.3">
      <c r="A129" s="435">
        <v>116</v>
      </c>
      <c r="B129" s="451" t="s">
        <v>1313</v>
      </c>
      <c r="C129" s="436" t="s">
        <v>1314</v>
      </c>
      <c r="D129" s="453" t="s">
        <v>1315</v>
      </c>
      <c r="E129" s="452" t="s">
        <v>1316</v>
      </c>
      <c r="F129" s="452" t="s">
        <v>754</v>
      </c>
      <c r="G129" s="441" t="s">
        <v>755</v>
      </c>
      <c r="H129" s="448" t="s">
        <v>756</v>
      </c>
      <c r="I129" s="448" t="s">
        <v>1317</v>
      </c>
      <c r="J129" s="454" t="s">
        <v>1318</v>
      </c>
      <c r="K129" s="436">
        <v>2026</v>
      </c>
      <c r="L129" s="455">
        <v>46132</v>
      </c>
      <c r="M129" s="440">
        <v>46387</v>
      </c>
      <c r="N129" s="283"/>
      <c r="O129" s="283"/>
      <c r="P129" s="283"/>
      <c r="Q129" s="283" t="s">
        <v>91</v>
      </c>
    </row>
    <row r="130" spans="1:17" ht="15.75" customHeight="1" x14ac:dyDescent="0.3"/>
    <row r="131" spans="1:17" ht="15.75" customHeight="1" x14ac:dyDescent="0.3"/>
    <row r="132" spans="1:17" ht="15.75" customHeight="1" x14ac:dyDescent="0.3"/>
    <row r="133" spans="1:17" ht="15.75" customHeight="1" x14ac:dyDescent="0.3"/>
    <row r="134" spans="1:17" ht="15.75" customHeight="1" x14ac:dyDescent="0.3"/>
    <row r="135" spans="1:17" ht="15.75" customHeight="1" x14ac:dyDescent="0.3"/>
    <row r="136" spans="1:17" ht="15.75" customHeight="1" x14ac:dyDescent="0.3"/>
    <row r="137" spans="1:17" ht="15.75" customHeight="1" x14ac:dyDescent="0.3"/>
    <row r="138" spans="1:17" ht="15.75" customHeight="1" x14ac:dyDescent="0.3"/>
    <row r="139" spans="1:17" ht="15.75" customHeight="1" x14ac:dyDescent="0.3"/>
    <row r="140" spans="1:17" ht="15.75" customHeight="1" x14ac:dyDescent="0.3"/>
    <row r="141" spans="1:17" ht="15.75" customHeight="1" x14ac:dyDescent="0.3"/>
    <row r="142" spans="1:17" ht="15.75" customHeight="1" x14ac:dyDescent="0.3"/>
    <row r="143" spans="1:17" ht="15.75" customHeight="1" x14ac:dyDescent="0.3"/>
    <row r="144" spans="1:17"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sheetData>
  <mergeCells count="19">
    <mergeCell ref="A42:A43"/>
    <mergeCell ref="F42:F43"/>
    <mergeCell ref="N42:N43"/>
    <mergeCell ref="O42:O43"/>
    <mergeCell ref="P42:P43"/>
    <mergeCell ref="Q42:Q43"/>
    <mergeCell ref="I42:I43"/>
    <mergeCell ref="J42:J43"/>
    <mergeCell ref="K42:K43"/>
    <mergeCell ref="L42:L43"/>
    <mergeCell ref="M42:M43"/>
    <mergeCell ref="D2:H2"/>
    <mergeCell ref="D3:H3"/>
    <mergeCell ref="D4:H4"/>
    <mergeCell ref="B42:B43"/>
    <mergeCell ref="C42:C43"/>
    <mergeCell ref="D42:D43"/>
    <mergeCell ref="G42:G43"/>
    <mergeCell ref="H42:H43"/>
  </mergeCells>
  <hyperlinks>
    <hyperlink ref="C7" r:id="rId1" xr:uid="{00000000-0004-0000-0600-000000000000}"/>
    <hyperlink ref="C8" r:id="rId2" xr:uid="{00000000-0004-0000-0600-000001000000}"/>
    <hyperlink ref="C9" r:id="rId3" xr:uid="{00000000-0004-0000-0600-000002000000}"/>
  </hyperlinks>
  <pageMargins left="0.7" right="0.7" top="0.75" bottom="0.75" header="0" footer="0"/>
  <pageSetup orientation="landscape" r:id="rId4"/>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C2:I62"/>
  <sheetViews>
    <sheetView showGridLines="0" topLeftCell="A41" zoomScale="99" workbookViewId="0">
      <selection activeCell="G55" sqref="G55"/>
    </sheetView>
  </sheetViews>
  <sheetFormatPr baseColWidth="10" defaultColWidth="11.44140625" defaultRowHeight="13.8" x14ac:dyDescent="0.3"/>
  <cols>
    <col min="1" max="2" width="11.44140625" style="98"/>
    <col min="3" max="3" width="51.109375" style="98" customWidth="1"/>
    <col min="4" max="4" width="75.33203125" style="98" customWidth="1"/>
    <col min="5" max="5" width="18.109375" style="98" customWidth="1"/>
    <col min="6" max="16384" width="11.44140625" style="98"/>
  </cols>
  <sheetData>
    <row r="2" spans="3:8" ht="12.75" customHeight="1" x14ac:dyDescent="0.3">
      <c r="D2" s="920" t="s">
        <v>0</v>
      </c>
      <c r="E2" s="920"/>
      <c r="F2" s="920"/>
      <c r="G2" s="920"/>
      <c r="H2" s="151"/>
    </row>
    <row r="3" spans="3:8" ht="12.75" customHeight="1" x14ac:dyDescent="0.3">
      <c r="D3" s="920" t="s">
        <v>397</v>
      </c>
      <c r="E3" s="920"/>
      <c r="F3" s="920"/>
      <c r="G3" s="920"/>
      <c r="H3" s="151"/>
    </row>
    <row r="4" spans="3:8" ht="12.75" customHeight="1" x14ac:dyDescent="0.3">
      <c r="D4" s="920" t="s">
        <v>415</v>
      </c>
      <c r="E4" s="920"/>
      <c r="F4" s="920"/>
      <c r="G4" s="920"/>
      <c r="H4" s="152"/>
    </row>
    <row r="6" spans="3:8" x14ac:dyDescent="0.3">
      <c r="C6" s="101" t="s">
        <v>224</v>
      </c>
      <c r="D6" s="48" t="s">
        <v>225</v>
      </c>
    </row>
    <row r="7" spans="3:8" x14ac:dyDescent="0.3">
      <c r="C7" s="118" t="s">
        <v>416</v>
      </c>
      <c r="D7" s="48" t="s">
        <v>417</v>
      </c>
    </row>
    <row r="9" spans="3:8" x14ac:dyDescent="0.3">
      <c r="C9" s="628" t="s">
        <v>294</v>
      </c>
      <c r="D9" s="629" t="s">
        <v>418</v>
      </c>
      <c r="E9" s="623">
        <v>2024</v>
      </c>
      <c r="F9" s="623">
        <v>2025</v>
      </c>
      <c r="G9" s="623">
        <v>2026</v>
      </c>
      <c r="H9" s="630" t="s">
        <v>46</v>
      </c>
    </row>
    <row r="10" spans="3:8" x14ac:dyDescent="0.3">
      <c r="C10" s="921" t="s">
        <v>419</v>
      </c>
      <c r="D10" s="625" t="s">
        <v>1344</v>
      </c>
      <c r="E10" s="631">
        <v>740</v>
      </c>
      <c r="F10" s="632">
        <v>2081</v>
      </c>
      <c r="G10" s="632">
        <v>882</v>
      </c>
      <c r="H10" s="622">
        <f>+SUM(E10:G10)</f>
        <v>3703</v>
      </c>
    </row>
    <row r="11" spans="3:8" x14ac:dyDescent="0.3">
      <c r="C11" s="922"/>
      <c r="D11" s="625" t="s">
        <v>420</v>
      </c>
      <c r="E11" s="631">
        <v>552</v>
      </c>
      <c r="F11" s="632">
        <v>7</v>
      </c>
      <c r="G11" s="632">
        <v>231</v>
      </c>
      <c r="H11" s="622">
        <f t="shared" ref="H11:H47" si="0">+SUM(E11:G11)</f>
        <v>790</v>
      </c>
    </row>
    <row r="12" spans="3:8" x14ac:dyDescent="0.3">
      <c r="C12" s="922"/>
      <c r="D12" s="625" t="s">
        <v>1343</v>
      </c>
      <c r="E12" s="631">
        <v>318</v>
      </c>
      <c r="F12" s="632">
        <v>674</v>
      </c>
      <c r="G12" s="632">
        <v>408</v>
      </c>
      <c r="H12" s="622">
        <f t="shared" si="0"/>
        <v>1400</v>
      </c>
    </row>
    <row r="13" spans="3:8" x14ac:dyDescent="0.3">
      <c r="C13" s="922"/>
      <c r="D13" s="625" t="s">
        <v>655</v>
      </c>
      <c r="E13" s="631">
        <v>552</v>
      </c>
      <c r="F13" s="632">
        <v>744</v>
      </c>
      <c r="G13" s="632">
        <v>488</v>
      </c>
      <c r="H13" s="622">
        <f t="shared" si="0"/>
        <v>1784</v>
      </c>
    </row>
    <row r="14" spans="3:8" x14ac:dyDescent="0.3">
      <c r="C14" s="922"/>
      <c r="D14" s="625" t="s">
        <v>421</v>
      </c>
      <c r="E14" s="631"/>
      <c r="F14" s="632"/>
      <c r="G14" s="632"/>
      <c r="H14" s="622">
        <f t="shared" si="0"/>
        <v>0</v>
      </c>
    </row>
    <row r="15" spans="3:8" x14ac:dyDescent="0.3">
      <c r="C15" s="922"/>
      <c r="D15" s="625" t="s">
        <v>656</v>
      </c>
      <c r="E15" s="631">
        <v>243</v>
      </c>
      <c r="F15" s="632">
        <v>1557</v>
      </c>
      <c r="G15" s="632">
        <v>499</v>
      </c>
      <c r="H15" s="622">
        <f t="shared" si="0"/>
        <v>2299</v>
      </c>
    </row>
    <row r="16" spans="3:8" ht="16.5" customHeight="1" x14ac:dyDescent="0.3">
      <c r="C16" s="922"/>
      <c r="D16" s="625" t="s">
        <v>657</v>
      </c>
      <c r="E16" s="631">
        <v>248</v>
      </c>
      <c r="F16" s="632">
        <v>245</v>
      </c>
      <c r="G16" s="632">
        <v>727</v>
      </c>
      <c r="H16" s="622">
        <f t="shared" si="0"/>
        <v>1220</v>
      </c>
    </row>
    <row r="17" spans="3:8" x14ac:dyDescent="0.3">
      <c r="C17" s="922"/>
      <c r="D17" s="625" t="s">
        <v>1236</v>
      </c>
      <c r="E17" s="631"/>
      <c r="F17" s="632">
        <v>28</v>
      </c>
      <c r="G17" s="632">
        <v>28</v>
      </c>
      <c r="H17" s="622">
        <f t="shared" si="0"/>
        <v>56</v>
      </c>
    </row>
    <row r="18" spans="3:8" x14ac:dyDescent="0.3">
      <c r="C18" s="923"/>
      <c r="D18" s="625" t="s">
        <v>1346</v>
      </c>
      <c r="E18" s="631">
        <v>5</v>
      </c>
      <c r="F18" s="632">
        <v>10</v>
      </c>
      <c r="G18" s="632"/>
      <c r="H18" s="622">
        <f t="shared" si="0"/>
        <v>15</v>
      </c>
    </row>
    <row r="19" spans="3:8" x14ac:dyDescent="0.3">
      <c r="C19" s="921" t="s">
        <v>422</v>
      </c>
      <c r="D19" s="625" t="s">
        <v>658</v>
      </c>
      <c r="E19" s="631">
        <v>93</v>
      </c>
      <c r="F19" s="632">
        <v>131</v>
      </c>
      <c r="G19" s="632">
        <v>134</v>
      </c>
      <c r="H19" s="622">
        <f t="shared" si="0"/>
        <v>358</v>
      </c>
    </row>
    <row r="20" spans="3:8" x14ac:dyDescent="0.3">
      <c r="C20" s="922"/>
      <c r="D20" s="625" t="s">
        <v>659</v>
      </c>
      <c r="E20" s="631">
        <v>67</v>
      </c>
      <c r="F20" s="632">
        <v>51</v>
      </c>
      <c r="G20" s="632"/>
      <c r="H20" s="622">
        <f t="shared" si="0"/>
        <v>118</v>
      </c>
    </row>
    <row r="21" spans="3:8" ht="14.25" customHeight="1" x14ac:dyDescent="0.3">
      <c r="C21" s="922"/>
      <c r="D21" s="625" t="s">
        <v>423</v>
      </c>
      <c r="E21" s="631">
        <v>68</v>
      </c>
      <c r="F21" s="632">
        <v>36</v>
      </c>
      <c r="G21" s="632">
        <v>19</v>
      </c>
      <c r="H21" s="622">
        <f t="shared" si="0"/>
        <v>123</v>
      </c>
    </row>
    <row r="22" spans="3:8" x14ac:dyDescent="0.3">
      <c r="C22" s="922"/>
      <c r="D22" s="625" t="s">
        <v>424</v>
      </c>
      <c r="E22" s="631">
        <v>27</v>
      </c>
      <c r="F22" s="632">
        <v>117</v>
      </c>
      <c r="G22" s="632">
        <v>97</v>
      </c>
      <c r="H22" s="622">
        <f t="shared" si="0"/>
        <v>241</v>
      </c>
    </row>
    <row r="23" spans="3:8" x14ac:dyDescent="0.3">
      <c r="C23" s="922"/>
      <c r="D23" s="625" t="s">
        <v>425</v>
      </c>
      <c r="E23" s="631"/>
      <c r="F23" s="632"/>
      <c r="G23" s="632"/>
      <c r="H23" s="622">
        <f t="shared" si="0"/>
        <v>0</v>
      </c>
    </row>
    <row r="24" spans="3:8" x14ac:dyDescent="0.3">
      <c r="C24" s="922"/>
      <c r="D24" s="625" t="s">
        <v>426</v>
      </c>
      <c r="E24" s="631">
        <v>4</v>
      </c>
      <c r="F24" s="632"/>
      <c r="G24" s="632"/>
      <c r="H24" s="622">
        <f t="shared" si="0"/>
        <v>4</v>
      </c>
    </row>
    <row r="25" spans="3:8" x14ac:dyDescent="0.3">
      <c r="C25" s="922"/>
      <c r="D25" s="627" t="s">
        <v>660</v>
      </c>
      <c r="E25" s="631"/>
      <c r="F25" s="632">
        <v>111</v>
      </c>
      <c r="G25" s="632">
        <v>75</v>
      </c>
      <c r="H25" s="622">
        <f t="shared" si="0"/>
        <v>186</v>
      </c>
    </row>
    <row r="26" spans="3:8" x14ac:dyDescent="0.3">
      <c r="C26" s="922"/>
      <c r="D26" s="626" t="s">
        <v>661</v>
      </c>
      <c r="E26" s="631"/>
      <c r="F26" s="632">
        <v>4</v>
      </c>
      <c r="G26" s="632"/>
      <c r="H26" s="622">
        <f t="shared" si="0"/>
        <v>4</v>
      </c>
    </row>
    <row r="27" spans="3:8" x14ac:dyDescent="0.3">
      <c r="C27" s="923"/>
      <c r="D27" s="625" t="s">
        <v>1347</v>
      </c>
      <c r="E27" s="626"/>
      <c r="F27" s="626"/>
      <c r="G27" s="624">
        <v>23</v>
      </c>
      <c r="H27" s="622">
        <f t="shared" si="0"/>
        <v>23</v>
      </c>
    </row>
    <row r="28" spans="3:8" ht="27.6" x14ac:dyDescent="0.3">
      <c r="C28" s="925" t="s">
        <v>427</v>
      </c>
      <c r="D28" s="625" t="s">
        <v>428</v>
      </c>
      <c r="E28" s="631">
        <v>16</v>
      </c>
      <c r="F28" s="632">
        <v>22</v>
      </c>
      <c r="G28" s="632"/>
      <c r="H28" s="622">
        <f t="shared" si="0"/>
        <v>38</v>
      </c>
    </row>
    <row r="29" spans="3:8" x14ac:dyDescent="0.3">
      <c r="C29" s="926"/>
      <c r="D29" s="625" t="s">
        <v>429</v>
      </c>
      <c r="E29" s="631">
        <v>8</v>
      </c>
      <c r="F29" s="632"/>
      <c r="G29" s="632"/>
      <c r="H29" s="622">
        <f t="shared" si="0"/>
        <v>8</v>
      </c>
    </row>
    <row r="30" spans="3:8" x14ac:dyDescent="0.3">
      <c r="C30" s="926"/>
      <c r="D30" s="625" t="s">
        <v>662</v>
      </c>
      <c r="E30" s="631">
        <v>30</v>
      </c>
      <c r="F30" s="632">
        <v>11</v>
      </c>
      <c r="G30" s="632">
        <v>25</v>
      </c>
      <c r="H30" s="622">
        <f t="shared" si="0"/>
        <v>66</v>
      </c>
    </row>
    <row r="31" spans="3:8" x14ac:dyDescent="0.3">
      <c r="C31" s="926"/>
      <c r="D31" s="625" t="s">
        <v>430</v>
      </c>
      <c r="E31" s="631">
        <v>9</v>
      </c>
      <c r="F31" s="632"/>
      <c r="G31" s="632"/>
      <c r="H31" s="622">
        <f t="shared" si="0"/>
        <v>9</v>
      </c>
    </row>
    <row r="32" spans="3:8" x14ac:dyDescent="0.3">
      <c r="C32" s="926"/>
      <c r="D32" s="625" t="s">
        <v>663</v>
      </c>
      <c r="E32" s="631">
        <v>5</v>
      </c>
      <c r="F32" s="632">
        <v>20</v>
      </c>
      <c r="G32" s="632">
        <v>3</v>
      </c>
      <c r="H32" s="622">
        <f t="shared" si="0"/>
        <v>28</v>
      </c>
    </row>
    <row r="33" spans="3:9" x14ac:dyDescent="0.3">
      <c r="C33" s="926"/>
      <c r="D33" s="625" t="s">
        <v>664</v>
      </c>
      <c r="E33" s="631"/>
      <c r="F33" s="632">
        <v>9</v>
      </c>
      <c r="G33" s="632">
        <v>34</v>
      </c>
      <c r="H33" s="622">
        <f t="shared" si="0"/>
        <v>43</v>
      </c>
    </row>
    <row r="34" spans="3:9" x14ac:dyDescent="0.3">
      <c r="C34" s="926"/>
      <c r="D34" s="625" t="s">
        <v>665</v>
      </c>
      <c r="E34" s="631"/>
      <c r="F34" s="632">
        <v>509</v>
      </c>
      <c r="G34" s="632">
        <v>135</v>
      </c>
      <c r="H34" s="622">
        <f t="shared" si="0"/>
        <v>644</v>
      </c>
    </row>
    <row r="35" spans="3:9" x14ac:dyDescent="0.3">
      <c r="C35" s="926"/>
      <c r="D35" s="625" t="s">
        <v>666</v>
      </c>
      <c r="E35" s="631"/>
      <c r="F35" s="632">
        <v>68</v>
      </c>
      <c r="G35" s="632">
        <v>61</v>
      </c>
      <c r="H35" s="622">
        <f t="shared" si="0"/>
        <v>129</v>
      </c>
    </row>
    <row r="36" spans="3:9" x14ac:dyDescent="0.3">
      <c r="C36" s="927"/>
      <c r="D36" s="625" t="s">
        <v>667</v>
      </c>
      <c r="E36" s="631"/>
      <c r="F36" s="632">
        <v>156</v>
      </c>
      <c r="G36" s="632">
        <v>3</v>
      </c>
      <c r="H36" s="622">
        <f t="shared" si="0"/>
        <v>159</v>
      </c>
    </row>
    <row r="37" spans="3:9" x14ac:dyDescent="0.3">
      <c r="C37" s="921" t="s">
        <v>431</v>
      </c>
      <c r="D37" s="625" t="s">
        <v>432</v>
      </c>
      <c r="E37" s="633"/>
      <c r="F37" s="634"/>
      <c r="G37" s="634"/>
      <c r="H37" s="622">
        <f t="shared" si="0"/>
        <v>0</v>
      </c>
    </row>
    <row r="38" spans="3:9" x14ac:dyDescent="0.3">
      <c r="C38" s="922"/>
      <c r="D38" s="625" t="s">
        <v>1345</v>
      </c>
      <c r="E38" s="635"/>
      <c r="F38" s="636"/>
      <c r="G38" s="636">
        <v>221</v>
      </c>
      <c r="H38" s="622">
        <f t="shared" si="0"/>
        <v>221</v>
      </c>
    </row>
    <row r="39" spans="3:9" ht="27.6" x14ac:dyDescent="0.3">
      <c r="C39" s="923"/>
      <c r="D39" s="625" t="s">
        <v>433</v>
      </c>
      <c r="E39" s="635"/>
      <c r="F39" s="636"/>
      <c r="G39" s="636"/>
      <c r="H39" s="622">
        <f t="shared" si="0"/>
        <v>0</v>
      </c>
    </row>
    <row r="40" spans="3:9" x14ac:dyDescent="0.3">
      <c r="C40" s="928" t="s">
        <v>1348</v>
      </c>
      <c r="D40" s="625" t="s">
        <v>1237</v>
      </c>
      <c r="E40" s="637"/>
      <c r="F40" s="638">
        <v>4669</v>
      </c>
      <c r="G40" s="638">
        <v>584</v>
      </c>
      <c r="H40" s="622">
        <f t="shared" si="0"/>
        <v>5253</v>
      </c>
    </row>
    <row r="41" spans="3:9" x14ac:dyDescent="0.3">
      <c r="C41" s="929"/>
      <c r="D41" s="625" t="s">
        <v>1238</v>
      </c>
      <c r="E41" s="639"/>
      <c r="F41" s="626">
        <v>1923</v>
      </c>
      <c r="G41" s="626"/>
      <c r="H41" s="622">
        <f t="shared" si="0"/>
        <v>1923</v>
      </c>
    </row>
    <row r="42" spans="3:9" x14ac:dyDescent="0.3">
      <c r="C42" s="929"/>
      <c r="D42" s="625" t="s">
        <v>1239</v>
      </c>
      <c r="E42" s="639"/>
      <c r="F42" s="626">
        <v>5240</v>
      </c>
      <c r="G42" s="626">
        <v>1209</v>
      </c>
      <c r="H42" s="622">
        <f t="shared" si="0"/>
        <v>6449</v>
      </c>
    </row>
    <row r="43" spans="3:9" x14ac:dyDescent="0.3">
      <c r="C43" s="929"/>
      <c r="D43" s="624" t="s">
        <v>1240</v>
      </c>
      <c r="E43" s="639"/>
      <c r="F43" s="626">
        <v>2362</v>
      </c>
      <c r="G43" s="626">
        <v>749</v>
      </c>
      <c r="H43" s="622">
        <f t="shared" si="0"/>
        <v>3111</v>
      </c>
    </row>
    <row r="44" spans="3:9" x14ac:dyDescent="0.3">
      <c r="C44" s="929"/>
      <c r="D44" s="626" t="s">
        <v>1241</v>
      </c>
      <c r="E44" s="640"/>
      <c r="F44" s="641">
        <v>394</v>
      </c>
      <c r="G44" s="641">
        <v>34</v>
      </c>
      <c r="H44" s="622">
        <f t="shared" si="0"/>
        <v>428</v>
      </c>
    </row>
    <row r="45" spans="3:9" x14ac:dyDescent="0.3">
      <c r="C45" s="929"/>
      <c r="D45" s="590" t="s">
        <v>1349</v>
      </c>
      <c r="E45" s="635"/>
      <c r="F45" s="635"/>
      <c r="G45" s="635">
        <v>216</v>
      </c>
      <c r="H45" s="622">
        <f t="shared" si="0"/>
        <v>216</v>
      </c>
    </row>
    <row r="46" spans="3:9" x14ac:dyDescent="0.3">
      <c r="C46" s="929"/>
      <c r="D46" s="590" t="s">
        <v>1350</v>
      </c>
      <c r="E46" s="635"/>
      <c r="F46" s="635"/>
      <c r="G46" s="635">
        <v>25</v>
      </c>
      <c r="H46" s="622">
        <f t="shared" si="0"/>
        <v>25</v>
      </c>
    </row>
    <row r="47" spans="3:9" x14ac:dyDescent="0.3">
      <c r="C47" s="929"/>
      <c r="D47" s="642" t="s">
        <v>1351</v>
      </c>
      <c r="E47" s="643"/>
      <c r="F47" s="643"/>
      <c r="G47" s="643">
        <v>136</v>
      </c>
      <c r="H47" s="622">
        <f t="shared" si="0"/>
        <v>136</v>
      </c>
    </row>
    <row r="48" spans="3:9" x14ac:dyDescent="0.3">
      <c r="C48" s="644"/>
      <c r="D48" s="644" t="s">
        <v>46</v>
      </c>
      <c r="E48" s="645">
        <f>+SUM(E10:E47)</f>
        <v>2985</v>
      </c>
      <c r="F48" s="645">
        <f t="shared" ref="F48:H48" si="1">+SUM(F10:F47)</f>
        <v>21179</v>
      </c>
      <c r="G48" s="645">
        <f t="shared" si="1"/>
        <v>7046</v>
      </c>
      <c r="H48" s="646">
        <f t="shared" si="1"/>
        <v>31210</v>
      </c>
      <c r="I48" s="153"/>
    </row>
    <row r="51" spans="3:9" ht="16.5" customHeight="1" x14ac:dyDescent="0.3">
      <c r="C51" s="924" t="s">
        <v>1252</v>
      </c>
      <c r="D51" s="924"/>
      <c r="E51" s="924"/>
      <c r="F51" s="924"/>
      <c r="G51" s="924"/>
      <c r="H51" s="148"/>
    </row>
    <row r="52" spans="3:9" x14ac:dyDescent="0.3">
      <c r="C52" s="167" t="s">
        <v>437</v>
      </c>
      <c r="D52" s="169"/>
      <c r="E52" s="169">
        <v>2024</v>
      </c>
      <c r="F52" s="169">
        <v>2025</v>
      </c>
      <c r="G52" s="169">
        <v>2026</v>
      </c>
      <c r="H52" s="169" t="s">
        <v>46</v>
      </c>
    </row>
    <row r="53" spans="3:9" x14ac:dyDescent="0.3">
      <c r="C53" s="266" t="s">
        <v>1529</v>
      </c>
      <c r="D53" s="708">
        <v>322</v>
      </c>
      <c r="E53" s="709">
        <v>4272</v>
      </c>
      <c r="F53" s="709">
        <v>2901</v>
      </c>
      <c r="G53" s="595">
        <v>7495</v>
      </c>
      <c r="H53" s="696">
        <f>+SUM(E53:G53)</f>
        <v>14668</v>
      </c>
    </row>
    <row r="54" spans="3:9" x14ac:dyDescent="0.3">
      <c r="C54" s="707" t="s">
        <v>1529</v>
      </c>
      <c r="D54" s="707" t="s">
        <v>1530</v>
      </c>
      <c r="E54" s="707"/>
      <c r="F54" s="707">
        <v>1</v>
      </c>
      <c r="G54" s="707">
        <v>8</v>
      </c>
      <c r="H54" s="696">
        <f>+SUM(E54:G54)</f>
        <v>9</v>
      </c>
    </row>
    <row r="55" spans="3:9" x14ac:dyDescent="0.3">
      <c r="C55" s="695"/>
      <c r="D55" s="695"/>
      <c r="F55" s="695"/>
      <c r="G55" s="695"/>
    </row>
    <row r="56" spans="3:9" x14ac:dyDescent="0.3">
      <c r="C56" s="695"/>
      <c r="D56" s="695"/>
      <c r="F56" s="695"/>
      <c r="G56" s="695"/>
    </row>
    <row r="57" spans="3:9" x14ac:dyDescent="0.3">
      <c r="D57" s="151"/>
    </row>
    <row r="58" spans="3:9" ht="13.8" customHeight="1" x14ac:dyDescent="0.3">
      <c r="C58" s="924" t="s">
        <v>1252</v>
      </c>
      <c r="D58" s="924"/>
      <c r="E58" s="924"/>
      <c r="F58" s="924"/>
      <c r="G58" s="924"/>
      <c r="H58" s="924"/>
    </row>
    <row r="59" spans="3:9" x14ac:dyDescent="0.3">
      <c r="C59" s="656" t="s">
        <v>1355</v>
      </c>
      <c r="D59" s="657" t="s">
        <v>418</v>
      </c>
      <c r="E59" s="657">
        <v>2024</v>
      </c>
      <c r="F59" s="657">
        <v>2025</v>
      </c>
      <c r="G59" s="657">
        <v>2026</v>
      </c>
      <c r="H59" s="657" t="s">
        <v>46</v>
      </c>
      <c r="I59" s="658"/>
    </row>
    <row r="60" spans="3:9" x14ac:dyDescent="0.3">
      <c r="C60" s="706" t="s">
        <v>1530</v>
      </c>
      <c r="D60" s="960" t="s">
        <v>1343</v>
      </c>
      <c r="E60" s="148"/>
      <c r="F60" s="707"/>
      <c r="G60" s="707">
        <v>7</v>
      </c>
      <c r="H60" s="962">
        <f>+SUM(E60:G60)</f>
        <v>7</v>
      </c>
    </row>
    <row r="61" spans="3:9" x14ac:dyDescent="0.3">
      <c r="C61" s="706" t="s">
        <v>1530</v>
      </c>
      <c r="D61" s="961" t="s">
        <v>1344</v>
      </c>
      <c r="E61" s="148"/>
      <c r="F61" s="148">
        <v>1</v>
      </c>
      <c r="G61" s="148"/>
      <c r="H61" s="962">
        <f t="shared" ref="H61:H62" si="2">+SUM(E61:G61)</f>
        <v>1</v>
      </c>
    </row>
    <row r="62" spans="3:9" x14ac:dyDescent="0.3">
      <c r="C62" s="706" t="s">
        <v>1530</v>
      </c>
      <c r="D62" s="961" t="s">
        <v>657</v>
      </c>
      <c r="E62" s="148"/>
      <c r="F62" s="148"/>
      <c r="G62" s="148">
        <v>1</v>
      </c>
      <c r="H62" s="962">
        <f t="shared" si="2"/>
        <v>1</v>
      </c>
    </row>
  </sheetData>
  <mergeCells count="10">
    <mergeCell ref="D2:G2"/>
    <mergeCell ref="D3:G3"/>
    <mergeCell ref="D4:G4"/>
    <mergeCell ref="C10:C18"/>
    <mergeCell ref="C58:H58"/>
    <mergeCell ref="C19:C27"/>
    <mergeCell ref="C28:C36"/>
    <mergeCell ref="C37:C39"/>
    <mergeCell ref="C40:C47"/>
    <mergeCell ref="C51:G51"/>
  </mergeCells>
  <hyperlinks>
    <hyperlink ref="D6" r:id="rId1" xr:uid="{00000000-0004-0000-0700-000000000000}"/>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AA656"/>
  <sheetViews>
    <sheetView showGridLines="0" topLeftCell="A44" zoomScaleNormal="100" workbookViewId="0"/>
  </sheetViews>
  <sheetFormatPr baseColWidth="10" defaultColWidth="9.109375" defaultRowHeight="15" customHeight="1" x14ac:dyDescent="0.3"/>
  <cols>
    <col min="1" max="1" width="9.109375" style="171"/>
    <col min="2" max="2" width="34.5546875" style="171" customWidth="1"/>
    <col min="3" max="3" width="36.6640625" style="171" customWidth="1"/>
    <col min="4" max="4" width="31.33203125" style="171" customWidth="1"/>
    <col min="5" max="5" width="35" style="171" customWidth="1"/>
    <col min="6" max="12" width="19.5546875" style="171" customWidth="1"/>
    <col min="13" max="13" width="19.6640625" style="171" customWidth="1"/>
    <col min="14" max="14" width="16" style="171" customWidth="1"/>
    <col min="15" max="26" width="12.109375" style="171" customWidth="1"/>
    <col min="27" max="16384" width="9.109375" style="171"/>
  </cols>
  <sheetData>
    <row r="2" spans="2:26" ht="12.75" customHeight="1" x14ac:dyDescent="0.3">
      <c r="C2" s="172"/>
      <c r="D2" s="906" t="s">
        <v>0</v>
      </c>
      <c r="E2" s="906"/>
      <c r="F2" s="906"/>
      <c r="G2" s="906"/>
    </row>
    <row r="3" spans="2:26" ht="12.75" customHeight="1" x14ac:dyDescent="0.3">
      <c r="C3" s="172"/>
      <c r="D3" s="838" t="s">
        <v>445</v>
      </c>
      <c r="E3" s="838"/>
      <c r="F3" s="838"/>
      <c r="G3" s="838"/>
    </row>
    <row r="4" spans="2:26" ht="12.75" customHeight="1" x14ac:dyDescent="0.3">
      <c r="B4" s="173"/>
    </row>
    <row r="5" spans="2:26" ht="14.4" x14ac:dyDescent="0.3">
      <c r="B5" s="174"/>
      <c r="C5" s="174"/>
      <c r="D5" s="174"/>
      <c r="E5" s="174"/>
      <c r="F5" s="175"/>
      <c r="G5" s="174"/>
      <c r="H5" s="174"/>
      <c r="I5" s="174"/>
      <c r="J5" s="174"/>
      <c r="K5" s="174"/>
      <c r="L5" s="174"/>
      <c r="M5" s="174"/>
      <c r="N5" s="174"/>
      <c r="O5" s="174"/>
      <c r="P5" s="174"/>
      <c r="Q5" s="174"/>
      <c r="R5" s="174"/>
      <c r="S5" s="174"/>
      <c r="T5" s="174"/>
      <c r="U5" s="174"/>
      <c r="V5" s="174"/>
      <c r="W5" s="174"/>
      <c r="X5" s="174"/>
      <c r="Y5" s="174"/>
      <c r="Z5" s="174"/>
    </row>
    <row r="6" spans="2:26" s="173" customFormat="1" ht="14.4" x14ac:dyDescent="0.3">
      <c r="B6" s="176" t="s">
        <v>446</v>
      </c>
      <c r="C6" s="176" t="s">
        <v>447</v>
      </c>
      <c r="D6" s="176" t="s">
        <v>448</v>
      </c>
      <c r="E6" s="176" t="s">
        <v>449</v>
      </c>
      <c r="F6" s="176" t="s">
        <v>450</v>
      </c>
      <c r="G6" s="176" t="s">
        <v>451</v>
      </c>
      <c r="H6" s="176" t="s">
        <v>452</v>
      </c>
      <c r="I6" s="176" t="s">
        <v>453</v>
      </c>
      <c r="J6" s="176" t="s">
        <v>669</v>
      </c>
      <c r="K6" s="177"/>
      <c r="L6" s="177"/>
      <c r="M6" s="177"/>
      <c r="N6" s="177"/>
      <c r="O6" s="177"/>
      <c r="P6" s="177"/>
      <c r="Q6" s="177"/>
      <c r="R6" s="177"/>
      <c r="S6" s="177"/>
      <c r="T6" s="178"/>
      <c r="U6" s="174"/>
      <c r="V6" s="174"/>
      <c r="W6" s="174"/>
      <c r="X6" s="174"/>
      <c r="Y6" s="174"/>
      <c r="Z6" s="174"/>
    </row>
    <row r="7" spans="2:26" ht="34.5" customHeight="1" x14ac:dyDescent="0.3">
      <c r="B7" s="179" t="s">
        <v>454</v>
      </c>
      <c r="C7" s="180" t="s">
        <v>455</v>
      </c>
      <c r="D7" s="181" t="s">
        <v>456</v>
      </c>
      <c r="E7" s="182" t="s">
        <v>457</v>
      </c>
      <c r="F7" s="183">
        <v>1945</v>
      </c>
      <c r="G7" s="184">
        <v>1945</v>
      </c>
      <c r="H7" s="184">
        <v>1945</v>
      </c>
      <c r="I7" s="184">
        <v>1945</v>
      </c>
      <c r="J7" s="184">
        <v>1945</v>
      </c>
      <c r="K7" s="185"/>
      <c r="L7" s="185"/>
      <c r="M7" s="185"/>
      <c r="N7" s="185"/>
      <c r="O7" s="186"/>
      <c r="P7" s="185"/>
      <c r="Q7" s="185"/>
      <c r="R7" s="185"/>
      <c r="S7" s="187"/>
      <c r="T7" s="178"/>
      <c r="U7" s="174"/>
      <c r="V7" s="174"/>
      <c r="W7" s="174"/>
      <c r="X7" s="174"/>
      <c r="Y7" s="174"/>
      <c r="Z7" s="174"/>
    </row>
    <row r="8" spans="2:26" ht="34.5" customHeight="1" x14ac:dyDescent="0.3">
      <c r="B8" s="180" t="s">
        <v>458</v>
      </c>
      <c r="C8" s="180" t="s">
        <v>459</v>
      </c>
      <c r="D8" s="181" t="s">
        <v>460</v>
      </c>
      <c r="E8" s="182" t="s">
        <v>461</v>
      </c>
      <c r="F8" s="183">
        <v>662</v>
      </c>
      <c r="G8" s="184">
        <v>662</v>
      </c>
      <c r="H8" s="184">
        <v>1300</v>
      </c>
      <c r="I8" s="184">
        <v>1300</v>
      </c>
      <c r="J8" s="184">
        <v>1300</v>
      </c>
      <c r="K8" s="185"/>
      <c r="L8" s="185"/>
      <c r="M8" s="185"/>
      <c r="N8" s="185"/>
      <c r="O8" s="186"/>
      <c r="P8" s="185"/>
      <c r="Q8" s="185"/>
      <c r="R8" s="185"/>
      <c r="S8" s="187"/>
      <c r="T8" s="178"/>
      <c r="U8" s="174"/>
      <c r="V8" s="174"/>
      <c r="W8" s="174"/>
      <c r="X8" s="174"/>
      <c r="Y8" s="174"/>
      <c r="Z8" s="174"/>
    </row>
    <row r="9" spans="2:26" ht="34.5" customHeight="1" x14ac:dyDescent="0.3">
      <c r="B9" s="179" t="s">
        <v>462</v>
      </c>
      <c r="C9" s="180" t="s">
        <v>463</v>
      </c>
      <c r="D9" s="181" t="s">
        <v>464</v>
      </c>
      <c r="E9" s="182" t="s">
        <v>465</v>
      </c>
      <c r="F9" s="183">
        <v>600</v>
      </c>
      <c r="G9" s="184">
        <v>600</v>
      </c>
      <c r="H9" s="184">
        <v>600</v>
      </c>
      <c r="I9" s="184">
        <v>600</v>
      </c>
      <c r="J9" s="184">
        <v>600</v>
      </c>
      <c r="K9" s="185"/>
      <c r="L9" s="185"/>
      <c r="M9" s="185"/>
      <c r="N9" s="185"/>
      <c r="O9" s="186"/>
      <c r="P9" s="185"/>
      <c r="Q9" s="185"/>
      <c r="R9" s="185"/>
      <c r="S9" s="187"/>
      <c r="T9" s="178"/>
      <c r="U9" s="174"/>
      <c r="V9" s="174"/>
      <c r="W9" s="174"/>
      <c r="X9" s="174"/>
      <c r="Y9" s="174"/>
      <c r="Z9" s="174"/>
    </row>
    <row r="10" spans="2:26" ht="34.5" customHeight="1" x14ac:dyDescent="0.3">
      <c r="B10" s="179" t="s">
        <v>466</v>
      </c>
      <c r="C10" s="180" t="s">
        <v>467</v>
      </c>
      <c r="D10" s="181" t="s">
        <v>468</v>
      </c>
      <c r="E10" s="182" t="s">
        <v>469</v>
      </c>
      <c r="F10" s="183">
        <v>444</v>
      </c>
      <c r="G10" s="184">
        <v>444</v>
      </c>
      <c r="H10" s="184">
        <v>444</v>
      </c>
      <c r="I10" s="184">
        <v>444</v>
      </c>
      <c r="J10" s="184">
        <v>444</v>
      </c>
      <c r="K10" s="185"/>
      <c r="L10" s="185"/>
      <c r="M10" s="185"/>
      <c r="N10" s="185"/>
      <c r="O10" s="186"/>
      <c r="P10" s="185"/>
      <c r="Q10" s="185"/>
      <c r="R10" s="185"/>
      <c r="S10" s="187"/>
      <c r="T10" s="178"/>
      <c r="U10" s="174"/>
      <c r="V10" s="174"/>
      <c r="W10" s="174"/>
      <c r="X10" s="174"/>
      <c r="Y10" s="174"/>
      <c r="Z10" s="174"/>
    </row>
    <row r="11" spans="2:26" ht="34.5" customHeight="1" x14ac:dyDescent="0.3">
      <c r="B11" s="180" t="s">
        <v>470</v>
      </c>
      <c r="C11" s="180" t="s">
        <v>471</v>
      </c>
      <c r="D11" s="326" t="s">
        <v>472</v>
      </c>
      <c r="E11" s="182" t="s">
        <v>473</v>
      </c>
      <c r="F11" s="183">
        <v>380</v>
      </c>
      <c r="G11" s="183">
        <v>380</v>
      </c>
      <c r="H11" s="183">
        <v>380</v>
      </c>
      <c r="I11" s="183">
        <v>380</v>
      </c>
      <c r="J11" s="183">
        <v>380</v>
      </c>
      <c r="K11" s="188"/>
      <c r="L11" s="188"/>
      <c r="M11" s="188"/>
      <c r="N11" s="188"/>
      <c r="O11" s="189"/>
      <c r="P11" s="185"/>
      <c r="Q11" s="185"/>
      <c r="R11" s="185"/>
      <c r="S11" s="187"/>
      <c r="T11" s="178"/>
      <c r="U11" s="174"/>
      <c r="V11" s="174"/>
      <c r="W11" s="174"/>
      <c r="X11" s="174"/>
      <c r="Y11" s="174"/>
      <c r="Z11" s="174"/>
    </row>
    <row r="12" spans="2:26" ht="34.5" customHeight="1" x14ac:dyDescent="0.3">
      <c r="B12" s="180" t="s">
        <v>474</v>
      </c>
      <c r="C12" s="180" t="s">
        <v>475</v>
      </c>
      <c r="D12" s="181" t="s">
        <v>476</v>
      </c>
      <c r="E12" s="182" t="s">
        <v>477</v>
      </c>
      <c r="F12" s="183">
        <v>261</v>
      </c>
      <c r="G12" s="184">
        <v>261</v>
      </c>
      <c r="H12" s="184">
        <v>261</v>
      </c>
      <c r="I12" s="184">
        <v>261</v>
      </c>
      <c r="J12" s="184">
        <v>261</v>
      </c>
      <c r="K12" s="185"/>
      <c r="L12" s="185"/>
      <c r="M12" s="185"/>
      <c r="N12" s="185"/>
      <c r="O12" s="186"/>
      <c r="P12" s="185"/>
      <c r="Q12" s="185"/>
      <c r="R12" s="185"/>
      <c r="S12" s="187"/>
      <c r="T12" s="178"/>
      <c r="U12" s="174"/>
      <c r="V12" s="174"/>
      <c r="W12" s="174"/>
      <c r="X12" s="174"/>
      <c r="Y12" s="174"/>
      <c r="Z12" s="174"/>
    </row>
    <row r="13" spans="2:26" ht="34.5" customHeight="1" x14ac:dyDescent="0.3">
      <c r="B13" s="179" t="s">
        <v>478</v>
      </c>
      <c r="C13" s="180" t="s">
        <v>479</v>
      </c>
      <c r="D13" s="181" t="s">
        <v>480</v>
      </c>
      <c r="E13" s="182" t="s">
        <v>481</v>
      </c>
      <c r="F13" s="183">
        <v>255</v>
      </c>
      <c r="G13" s="184">
        <v>255</v>
      </c>
      <c r="H13" s="184">
        <v>255</v>
      </c>
      <c r="I13" s="184">
        <v>255</v>
      </c>
      <c r="J13" s="184">
        <v>255</v>
      </c>
      <c r="K13" s="185"/>
      <c r="L13" s="185"/>
      <c r="M13" s="185"/>
      <c r="N13" s="185"/>
      <c r="O13" s="186"/>
      <c r="P13" s="185"/>
      <c r="Q13" s="185"/>
      <c r="R13" s="185"/>
      <c r="S13" s="187"/>
      <c r="T13" s="178"/>
      <c r="U13" s="174"/>
      <c r="V13" s="174"/>
      <c r="W13" s="174"/>
      <c r="X13" s="174"/>
      <c r="Y13" s="174"/>
      <c r="Z13" s="174"/>
    </row>
    <row r="14" spans="2:26" ht="34.5" customHeight="1" x14ac:dyDescent="0.3">
      <c r="B14" s="179" t="s">
        <v>482</v>
      </c>
      <c r="C14" s="180" t="s">
        <v>483</v>
      </c>
      <c r="D14" s="181" t="s">
        <v>484</v>
      </c>
      <c r="E14" s="182"/>
      <c r="F14" s="183">
        <v>100</v>
      </c>
      <c r="G14" s="184">
        <v>100</v>
      </c>
      <c r="H14" s="184">
        <v>100</v>
      </c>
      <c r="I14" s="184">
        <v>100</v>
      </c>
      <c r="J14" s="184">
        <v>100</v>
      </c>
      <c r="K14" s="185"/>
      <c r="L14" s="185"/>
      <c r="M14" s="185"/>
      <c r="N14" s="185"/>
      <c r="O14" s="186"/>
      <c r="P14" s="185"/>
      <c r="Q14" s="185"/>
      <c r="R14" s="185"/>
      <c r="S14" s="187"/>
      <c r="T14" s="178"/>
      <c r="U14" s="174"/>
      <c r="V14" s="174"/>
      <c r="W14" s="174"/>
      <c r="X14" s="174"/>
      <c r="Y14" s="174"/>
      <c r="Z14" s="174"/>
    </row>
    <row r="15" spans="2:26" ht="34.5" customHeight="1" x14ac:dyDescent="0.3">
      <c r="B15" s="190" t="s">
        <v>466</v>
      </c>
      <c r="C15" s="182" t="s">
        <v>485</v>
      </c>
      <c r="D15" s="191" t="s">
        <v>468</v>
      </c>
      <c r="E15" s="182" t="s">
        <v>486</v>
      </c>
      <c r="F15" s="183">
        <v>72</v>
      </c>
      <c r="G15" s="184">
        <v>72</v>
      </c>
      <c r="H15" s="184">
        <v>72</v>
      </c>
      <c r="I15" s="184">
        <v>72</v>
      </c>
      <c r="J15" s="184">
        <v>72</v>
      </c>
      <c r="K15" s="185"/>
      <c r="L15" s="185"/>
      <c r="M15" s="185"/>
      <c r="N15" s="185"/>
      <c r="O15" s="186"/>
      <c r="P15" s="185"/>
      <c r="Q15" s="185"/>
      <c r="R15" s="185"/>
      <c r="S15" s="187"/>
      <c r="T15" s="178"/>
      <c r="U15" s="174"/>
      <c r="V15" s="174"/>
      <c r="W15" s="174"/>
      <c r="X15" s="174"/>
      <c r="Y15" s="174"/>
      <c r="Z15" s="174"/>
    </row>
    <row r="16" spans="2:26" ht="34.5" customHeight="1" x14ac:dyDescent="0.3">
      <c r="B16" s="179" t="s">
        <v>478</v>
      </c>
      <c r="C16" s="180" t="s">
        <v>487</v>
      </c>
      <c r="D16" s="181" t="s">
        <v>480</v>
      </c>
      <c r="E16" s="182"/>
      <c r="F16" s="183">
        <v>70</v>
      </c>
      <c r="G16" s="184">
        <v>70</v>
      </c>
      <c r="H16" s="184">
        <v>70</v>
      </c>
      <c r="I16" s="184">
        <v>70</v>
      </c>
      <c r="J16" s="184">
        <v>70</v>
      </c>
      <c r="K16" s="185"/>
      <c r="L16" s="185"/>
      <c r="M16" s="185"/>
      <c r="N16" s="185"/>
      <c r="O16" s="186"/>
      <c r="P16" s="185"/>
      <c r="Q16" s="185"/>
      <c r="R16" s="185"/>
      <c r="S16" s="187"/>
      <c r="T16" s="178"/>
      <c r="U16" s="174"/>
      <c r="V16" s="174"/>
      <c r="W16" s="174"/>
      <c r="X16" s="174"/>
      <c r="Y16" s="174"/>
      <c r="Z16" s="174"/>
    </row>
    <row r="17" spans="2:27" ht="34.5" customHeight="1" x14ac:dyDescent="0.3">
      <c r="B17" s="179" t="s">
        <v>488</v>
      </c>
      <c r="C17" s="180" t="s">
        <v>489</v>
      </c>
      <c r="D17" s="181" t="s">
        <v>490</v>
      </c>
      <c r="E17" s="182" t="s">
        <v>491</v>
      </c>
      <c r="F17" s="183">
        <v>121</v>
      </c>
      <c r="G17" s="184">
        <v>121</v>
      </c>
      <c r="H17" s="184">
        <v>62</v>
      </c>
      <c r="I17" s="184">
        <v>62</v>
      </c>
      <c r="J17" s="184">
        <v>62</v>
      </c>
      <c r="K17" s="185"/>
      <c r="L17" s="185"/>
      <c r="M17" s="185"/>
      <c r="N17" s="185"/>
      <c r="O17" s="186"/>
      <c r="P17" s="185"/>
      <c r="Q17" s="185"/>
      <c r="R17" s="185"/>
      <c r="S17" s="187"/>
      <c r="T17" s="178"/>
      <c r="U17" s="174"/>
      <c r="V17" s="174"/>
      <c r="W17" s="174"/>
      <c r="X17" s="174"/>
      <c r="Y17" s="174"/>
      <c r="Z17" s="174"/>
    </row>
    <row r="18" spans="2:27" ht="14.4" x14ac:dyDescent="0.3">
      <c r="B18" s="930" t="s">
        <v>46</v>
      </c>
      <c r="C18" s="931"/>
      <c r="D18" s="931"/>
      <c r="E18" s="931"/>
      <c r="F18" s="192">
        <f>SUM(F7:F17)</f>
        <v>4910</v>
      </c>
      <c r="G18" s="192">
        <f>SUM(G7:G17)</f>
        <v>4910</v>
      </c>
      <c r="H18" s="192">
        <f>SUM(H7:H17)</f>
        <v>5489</v>
      </c>
      <c r="I18" s="192">
        <f>SUM(I7:I17)</f>
        <v>5489</v>
      </c>
      <c r="J18" s="192">
        <f>SUM(J7:J17)</f>
        <v>5489</v>
      </c>
      <c r="K18" s="193"/>
      <c r="L18" s="193"/>
      <c r="M18" s="193"/>
      <c r="N18" s="193"/>
      <c r="O18" s="193"/>
      <c r="P18" s="193"/>
      <c r="Q18" s="193"/>
      <c r="R18" s="193"/>
      <c r="S18" s="193"/>
      <c r="T18" s="178"/>
      <c r="U18" s="174"/>
      <c r="V18" s="174"/>
      <c r="W18" s="174"/>
      <c r="X18" s="174"/>
      <c r="Y18" s="174"/>
      <c r="Z18" s="174"/>
    </row>
    <row r="19" spans="2:27" ht="78.75" customHeight="1" x14ac:dyDescent="0.3">
      <c r="B19" s="932" t="s">
        <v>670</v>
      </c>
      <c r="C19" s="932"/>
      <c r="D19" s="932"/>
      <c r="E19" s="932"/>
      <c r="F19" s="194"/>
      <c r="G19" s="194"/>
      <c r="H19" s="194"/>
      <c r="I19" s="194"/>
      <c r="J19" s="178"/>
      <c r="K19" s="178"/>
      <c r="L19" s="178"/>
      <c r="M19" s="178"/>
      <c r="N19" s="178"/>
      <c r="O19" s="178"/>
      <c r="P19" s="178"/>
      <c r="Q19" s="178"/>
      <c r="R19" s="178"/>
      <c r="S19" s="187"/>
      <c r="T19" s="178"/>
      <c r="U19" s="194"/>
      <c r="V19" s="194"/>
      <c r="W19" s="194"/>
      <c r="X19" s="194"/>
      <c r="Y19" s="194"/>
      <c r="Z19" s="194"/>
      <c r="AA19" s="195"/>
    </row>
    <row r="20" spans="2:27" s="172" customFormat="1" ht="66" customHeight="1" x14ac:dyDescent="0.3">
      <c r="B20" s="196" t="s">
        <v>446</v>
      </c>
      <c r="C20" s="196" t="s">
        <v>447</v>
      </c>
      <c r="D20" s="196" t="s">
        <v>492</v>
      </c>
      <c r="E20" s="196" t="s">
        <v>493</v>
      </c>
      <c r="F20" s="196" t="s">
        <v>494</v>
      </c>
      <c r="G20" s="196" t="s">
        <v>495</v>
      </c>
      <c r="H20" s="196" t="s">
        <v>496</v>
      </c>
      <c r="I20" s="196" t="s">
        <v>497</v>
      </c>
      <c r="J20" s="196" t="s">
        <v>498</v>
      </c>
      <c r="K20" s="196" t="s">
        <v>499</v>
      </c>
      <c r="L20" s="196" t="s">
        <v>500</v>
      </c>
      <c r="M20" s="197" t="s">
        <v>501</v>
      </c>
      <c r="N20" s="197" t="s">
        <v>502</v>
      </c>
      <c r="O20" s="198"/>
      <c r="T20" s="199"/>
      <c r="U20" s="199"/>
      <c r="V20" s="199"/>
      <c r="W20" s="199"/>
      <c r="X20" s="199"/>
      <c r="Y20" s="199"/>
      <c r="Z20" s="199"/>
      <c r="AA20" s="200"/>
    </row>
    <row r="21" spans="2:27" ht="30.75" customHeight="1" x14ac:dyDescent="0.3">
      <c r="B21" s="202" t="s">
        <v>454</v>
      </c>
      <c r="C21" s="202" t="s">
        <v>455</v>
      </c>
      <c r="D21" s="203">
        <v>4</v>
      </c>
      <c r="E21" s="203">
        <v>488</v>
      </c>
      <c r="F21" s="203">
        <v>17</v>
      </c>
      <c r="G21" s="203">
        <v>3</v>
      </c>
      <c r="H21" s="203">
        <v>21</v>
      </c>
      <c r="I21" s="204">
        <v>60</v>
      </c>
      <c r="J21" s="205">
        <v>215</v>
      </c>
      <c r="K21" s="203">
        <v>1</v>
      </c>
      <c r="L21" s="203">
        <v>6</v>
      </c>
      <c r="M21" s="263">
        <v>22</v>
      </c>
      <c r="N21" s="208"/>
      <c r="O21" s="187"/>
      <c r="T21" s="194"/>
      <c r="U21" s="194"/>
      <c r="V21" s="194"/>
      <c r="W21" s="194"/>
      <c r="X21" s="194"/>
      <c r="Y21" s="194"/>
      <c r="Z21" s="194"/>
      <c r="AA21" s="195"/>
    </row>
    <row r="22" spans="2:27" ht="30.75" customHeight="1" x14ac:dyDescent="0.3">
      <c r="B22" s="201" t="s">
        <v>462</v>
      </c>
      <c r="C22" s="202" t="s">
        <v>463</v>
      </c>
      <c r="D22" s="203">
        <v>3</v>
      </c>
      <c r="E22" s="203">
        <f>364/2</f>
        <v>182</v>
      </c>
      <c r="F22" s="203">
        <v>16</v>
      </c>
      <c r="G22" s="203">
        <v>3</v>
      </c>
      <c r="H22" s="203">
        <v>0</v>
      </c>
      <c r="I22" s="204">
        <v>156</v>
      </c>
      <c r="J22" s="205">
        <v>46</v>
      </c>
      <c r="K22" s="203">
        <v>1</v>
      </c>
      <c r="L22" s="206">
        <v>3</v>
      </c>
      <c r="M22" s="207">
        <v>22</v>
      </c>
      <c r="N22" s="208"/>
      <c r="O22" s="187"/>
      <c r="T22" s="194"/>
      <c r="U22" s="194"/>
      <c r="V22" s="194"/>
      <c r="W22" s="194"/>
      <c r="X22" s="194"/>
      <c r="Y22" s="194"/>
      <c r="Z22" s="194"/>
      <c r="AA22" s="195"/>
    </row>
    <row r="23" spans="2:27" ht="30.75" customHeight="1" x14ac:dyDescent="0.3">
      <c r="B23" s="201" t="s">
        <v>466</v>
      </c>
      <c r="C23" s="202" t="s">
        <v>467</v>
      </c>
      <c r="D23" s="203">
        <v>3</v>
      </c>
      <c r="E23" s="203">
        <v>148</v>
      </c>
      <c r="F23" s="203">
        <v>6</v>
      </c>
      <c r="G23" s="203">
        <v>6</v>
      </c>
      <c r="H23" s="204">
        <v>3</v>
      </c>
      <c r="I23" s="204">
        <v>60</v>
      </c>
      <c r="J23" s="205">
        <v>287</v>
      </c>
      <c r="K23" s="203">
        <v>1</v>
      </c>
      <c r="L23" s="206"/>
      <c r="M23" s="207">
        <v>22</v>
      </c>
      <c r="N23" s="208"/>
      <c r="O23" s="187"/>
      <c r="T23" s="194"/>
      <c r="U23" s="194"/>
      <c r="V23" s="194"/>
      <c r="W23" s="194"/>
      <c r="X23" s="194"/>
      <c r="Y23" s="194"/>
      <c r="Z23" s="194"/>
      <c r="AA23" s="195"/>
    </row>
    <row r="24" spans="2:27" ht="30.75" customHeight="1" x14ac:dyDescent="0.3">
      <c r="B24" s="201" t="s">
        <v>458</v>
      </c>
      <c r="C24" s="202" t="s">
        <v>459</v>
      </c>
      <c r="D24" s="203">
        <v>2</v>
      </c>
      <c r="E24" s="203">
        <v>141</v>
      </c>
      <c r="F24" s="203">
        <v>5</v>
      </c>
      <c r="G24" s="203">
        <v>4</v>
      </c>
      <c r="H24" s="203">
        <v>11</v>
      </c>
      <c r="I24" s="204">
        <v>79</v>
      </c>
      <c r="J24" s="205">
        <v>320</v>
      </c>
      <c r="K24" s="203">
        <v>1</v>
      </c>
      <c r="L24" s="206">
        <v>0</v>
      </c>
      <c r="M24" s="207">
        <v>7</v>
      </c>
      <c r="N24" s="208">
        <v>2</v>
      </c>
      <c r="O24" s="187"/>
      <c r="T24" s="194"/>
      <c r="U24" s="194"/>
      <c r="V24" s="194"/>
      <c r="W24" s="194"/>
      <c r="X24" s="194"/>
      <c r="Y24" s="194"/>
      <c r="Z24" s="194"/>
      <c r="AA24" s="195"/>
    </row>
    <row r="25" spans="2:27" ht="30.75" customHeight="1" x14ac:dyDescent="0.3">
      <c r="B25" s="202" t="s">
        <v>470</v>
      </c>
      <c r="C25" s="202" t="s">
        <v>471</v>
      </c>
      <c r="D25" s="700">
        <v>2</v>
      </c>
      <c r="E25" s="700">
        <v>114</v>
      </c>
      <c r="F25" s="700">
        <v>4</v>
      </c>
      <c r="G25" s="700">
        <v>4</v>
      </c>
      <c r="H25" s="700">
        <v>0</v>
      </c>
      <c r="I25" s="700">
        <v>49</v>
      </c>
      <c r="J25" s="701">
        <v>391</v>
      </c>
      <c r="K25" s="203">
        <v>1</v>
      </c>
      <c r="L25" s="203">
        <v>2</v>
      </c>
      <c r="M25" s="263">
        <v>9</v>
      </c>
      <c r="N25" s="208"/>
      <c r="O25" s="187"/>
      <c r="T25" s="194"/>
      <c r="U25" s="194"/>
      <c r="V25" s="194"/>
      <c r="W25" s="194"/>
      <c r="X25" s="194"/>
      <c r="Y25" s="194"/>
      <c r="Z25" s="194"/>
      <c r="AA25" s="195"/>
    </row>
    <row r="26" spans="2:27" ht="30.75" customHeight="1" x14ac:dyDescent="0.3">
      <c r="B26" s="202" t="s">
        <v>474</v>
      </c>
      <c r="C26" s="202" t="s">
        <v>475</v>
      </c>
      <c r="D26" s="203">
        <v>1</v>
      </c>
      <c r="E26" s="203">
        <v>72</v>
      </c>
      <c r="F26" s="203">
        <v>4</v>
      </c>
      <c r="G26" s="203">
        <v>1</v>
      </c>
      <c r="H26" s="203">
        <v>0</v>
      </c>
      <c r="I26" s="203">
        <v>43</v>
      </c>
      <c r="J26" s="205">
        <v>272</v>
      </c>
      <c r="K26" s="203">
        <v>1</v>
      </c>
      <c r="L26" s="203">
        <v>2</v>
      </c>
      <c r="M26" s="263">
        <v>2</v>
      </c>
      <c r="N26" s="208"/>
      <c r="O26" s="209"/>
      <c r="T26" s="174"/>
      <c r="U26" s="174"/>
      <c r="V26" s="174"/>
      <c r="W26" s="174"/>
      <c r="X26" s="174"/>
      <c r="Y26" s="174"/>
      <c r="Z26" s="174"/>
    </row>
    <row r="27" spans="2:27" ht="30.75" customHeight="1" x14ac:dyDescent="0.3">
      <c r="B27" s="201" t="s">
        <v>478</v>
      </c>
      <c r="C27" s="202" t="s">
        <v>479</v>
      </c>
      <c r="D27" s="203">
        <v>1</v>
      </c>
      <c r="E27" s="203">
        <v>48</v>
      </c>
      <c r="F27" s="203">
        <v>3</v>
      </c>
      <c r="G27" s="203">
        <v>1</v>
      </c>
      <c r="H27" s="204">
        <v>0</v>
      </c>
      <c r="I27" s="204">
        <v>50</v>
      </c>
      <c r="J27" s="205">
        <v>47</v>
      </c>
      <c r="K27" s="203">
        <v>1</v>
      </c>
      <c r="L27" s="206">
        <v>0</v>
      </c>
      <c r="M27" s="207">
        <v>0</v>
      </c>
      <c r="N27" s="208"/>
      <c r="O27" s="187"/>
      <c r="T27" s="194"/>
      <c r="U27" s="194"/>
      <c r="V27" s="194"/>
      <c r="W27" s="194"/>
      <c r="X27" s="194"/>
      <c r="Y27" s="194"/>
      <c r="Z27" s="194"/>
      <c r="AA27" s="195"/>
    </row>
    <row r="28" spans="2:27" ht="30.75" customHeight="1" x14ac:dyDescent="0.3">
      <c r="B28" s="201" t="s">
        <v>482</v>
      </c>
      <c r="C28" s="202" t="s">
        <v>483</v>
      </c>
      <c r="D28" s="203">
        <v>1</v>
      </c>
      <c r="E28" s="203">
        <v>32</v>
      </c>
      <c r="F28" s="203">
        <v>2</v>
      </c>
      <c r="G28" s="204">
        <v>2</v>
      </c>
      <c r="H28" s="204">
        <v>0</v>
      </c>
      <c r="I28" s="204">
        <v>0</v>
      </c>
      <c r="J28" s="205">
        <v>47</v>
      </c>
      <c r="K28" s="203">
        <v>1</v>
      </c>
      <c r="L28" s="206">
        <v>0</v>
      </c>
      <c r="M28" s="207">
        <v>0</v>
      </c>
      <c r="N28" s="208"/>
      <c r="O28" s="187"/>
      <c r="T28" s="194"/>
      <c r="U28" s="194"/>
      <c r="V28" s="194"/>
      <c r="W28" s="194"/>
      <c r="X28" s="194"/>
      <c r="Y28" s="194"/>
      <c r="Z28" s="194"/>
      <c r="AA28" s="195"/>
    </row>
    <row r="29" spans="2:27" ht="30.75" customHeight="1" x14ac:dyDescent="0.3">
      <c r="B29" s="210" t="s">
        <v>466</v>
      </c>
      <c r="C29" s="211" t="s">
        <v>485</v>
      </c>
      <c r="D29" s="203">
        <v>1</v>
      </c>
      <c r="E29" s="203">
        <v>12</v>
      </c>
      <c r="F29" s="203">
        <v>1</v>
      </c>
      <c r="G29" s="204">
        <v>3</v>
      </c>
      <c r="H29" s="204">
        <v>0</v>
      </c>
      <c r="I29" s="204">
        <v>0</v>
      </c>
      <c r="J29" s="205"/>
      <c r="K29" s="203">
        <v>0</v>
      </c>
      <c r="L29" s="206">
        <v>0</v>
      </c>
      <c r="M29" s="207">
        <v>0</v>
      </c>
      <c r="N29" s="208"/>
      <c r="O29" s="187"/>
      <c r="T29" s="194"/>
      <c r="U29" s="194"/>
      <c r="V29" s="194"/>
      <c r="W29" s="194"/>
      <c r="X29" s="194"/>
      <c r="Y29" s="194"/>
      <c r="Z29" s="194"/>
      <c r="AA29" s="195"/>
    </row>
    <row r="30" spans="2:27" ht="30.75" customHeight="1" x14ac:dyDescent="0.3">
      <c r="B30" s="201" t="s">
        <v>488</v>
      </c>
      <c r="C30" s="202" t="s">
        <v>489</v>
      </c>
      <c r="D30" s="203">
        <v>1</v>
      </c>
      <c r="E30" s="203">
        <v>6</v>
      </c>
      <c r="F30" s="203">
        <v>1</v>
      </c>
      <c r="G30" s="204">
        <v>2</v>
      </c>
      <c r="H30" s="204">
        <v>5</v>
      </c>
      <c r="I30" s="204">
        <v>0</v>
      </c>
      <c r="J30" s="205">
        <v>50</v>
      </c>
      <c r="K30" s="203">
        <v>1</v>
      </c>
      <c r="L30" s="206"/>
      <c r="M30" s="207"/>
      <c r="N30" s="208"/>
      <c r="O30" s="187"/>
      <c r="T30" s="194"/>
      <c r="U30" s="194"/>
      <c r="V30" s="194"/>
      <c r="W30" s="194"/>
      <c r="X30" s="194"/>
      <c r="Y30" s="194"/>
      <c r="Z30" s="194"/>
      <c r="AA30" s="195"/>
    </row>
    <row r="31" spans="2:27" ht="30.75" customHeight="1" x14ac:dyDescent="0.3">
      <c r="B31" s="212" t="s">
        <v>478</v>
      </c>
      <c r="C31" s="213" t="s">
        <v>487</v>
      </c>
      <c r="D31" s="214">
        <v>1</v>
      </c>
      <c r="E31" s="214">
        <v>1</v>
      </c>
      <c r="F31" s="215">
        <v>3</v>
      </c>
      <c r="G31" s="215">
        <v>0</v>
      </c>
      <c r="H31" s="215">
        <v>6</v>
      </c>
      <c r="I31" s="215">
        <v>0</v>
      </c>
      <c r="J31" s="216">
        <v>0</v>
      </c>
      <c r="K31" s="216">
        <v>0</v>
      </c>
      <c r="L31" s="214">
        <v>1</v>
      </c>
      <c r="M31" s="217">
        <v>0</v>
      </c>
      <c r="N31" s="218"/>
      <c r="O31" s="187"/>
      <c r="T31" s="194"/>
      <c r="U31" s="194"/>
      <c r="V31" s="194"/>
      <c r="W31" s="194"/>
      <c r="X31" s="194"/>
      <c r="Y31" s="194"/>
      <c r="Z31" s="194"/>
      <c r="AA31" s="195"/>
    </row>
    <row r="32" spans="2:27" ht="22.5" customHeight="1" x14ac:dyDescent="0.3">
      <c r="B32" s="933" t="s">
        <v>46</v>
      </c>
      <c r="C32" s="933"/>
      <c r="D32" s="192">
        <f>+SUM(D21:D31)</f>
        <v>20</v>
      </c>
      <c r="E32" s="192">
        <f t="shared" ref="E32:L32" si="0">+SUM(E21:E31)</f>
        <v>1244</v>
      </c>
      <c r="F32" s="192">
        <f t="shared" si="0"/>
        <v>62</v>
      </c>
      <c r="G32" s="192">
        <f t="shared" si="0"/>
        <v>29</v>
      </c>
      <c r="H32" s="192">
        <f>+SUM(H21:H31)</f>
        <v>46</v>
      </c>
      <c r="I32" s="192">
        <f t="shared" si="0"/>
        <v>497</v>
      </c>
      <c r="J32" s="192">
        <f t="shared" si="0"/>
        <v>1675</v>
      </c>
      <c r="K32" s="192">
        <f t="shared" si="0"/>
        <v>9</v>
      </c>
      <c r="L32" s="192">
        <f t="shared" si="0"/>
        <v>14</v>
      </c>
      <c r="M32" s="192">
        <f>+SUM(M21:M31)</f>
        <v>84</v>
      </c>
      <c r="N32" s="192">
        <f>+SUM(N21:N31)</f>
        <v>2</v>
      </c>
      <c r="O32" s="193"/>
      <c r="T32" s="194"/>
      <c r="U32" s="194"/>
      <c r="V32" s="194"/>
      <c r="W32" s="194"/>
      <c r="X32" s="194"/>
      <c r="Y32" s="194"/>
      <c r="Z32" s="194"/>
      <c r="AA32" s="195"/>
    </row>
    <row r="33" spans="2:15" ht="12.75" customHeight="1" x14ac:dyDescent="0.3">
      <c r="B33" s="173"/>
    </row>
    <row r="34" spans="2:15" ht="25.5" customHeight="1" x14ac:dyDescent="0.3">
      <c r="B34" s="173"/>
    </row>
    <row r="35" spans="2:15" ht="57.75" customHeight="1" x14ac:dyDescent="0.3">
      <c r="B35" s="219" t="s">
        <v>503</v>
      </c>
      <c r="C35" s="219" t="s">
        <v>504</v>
      </c>
      <c r="D35" s="219" t="s">
        <v>505</v>
      </c>
      <c r="E35" s="219" t="s">
        <v>506</v>
      </c>
      <c r="F35" s="219" t="s">
        <v>507</v>
      </c>
      <c r="G35" s="219" t="s">
        <v>508</v>
      </c>
      <c r="H35" s="219" t="s">
        <v>509</v>
      </c>
      <c r="I35" s="257" t="s">
        <v>510</v>
      </c>
      <c r="J35" s="219" t="s">
        <v>511</v>
      </c>
      <c r="K35" s="219" t="s">
        <v>512</v>
      </c>
      <c r="L35" s="219" t="s">
        <v>513</v>
      </c>
      <c r="M35" s="219" t="s">
        <v>514</v>
      </c>
      <c r="N35" s="219" t="s">
        <v>46</v>
      </c>
      <c r="O35" s="219" t="s">
        <v>515</v>
      </c>
    </row>
    <row r="36" spans="2:15" ht="21.75" customHeight="1" x14ac:dyDescent="0.3">
      <c r="B36" s="220" t="s">
        <v>516</v>
      </c>
      <c r="C36" s="221">
        <v>3</v>
      </c>
      <c r="D36" s="221">
        <v>1</v>
      </c>
      <c r="E36" s="221">
        <v>1</v>
      </c>
      <c r="F36" s="224">
        <v>1</v>
      </c>
      <c r="G36" s="224">
        <v>2</v>
      </c>
      <c r="H36" s="224">
        <v>2</v>
      </c>
      <c r="I36" s="258">
        <v>2</v>
      </c>
      <c r="J36" s="221">
        <v>1</v>
      </c>
      <c r="K36" s="222">
        <v>1</v>
      </c>
      <c r="L36" s="221">
        <v>1</v>
      </c>
      <c r="M36" s="223">
        <v>1</v>
      </c>
      <c r="N36" s="224">
        <f>SUM(C36:M36)</f>
        <v>16</v>
      </c>
      <c r="O36" s="225">
        <v>3</v>
      </c>
    </row>
    <row r="37" spans="2:15" ht="21.75" customHeight="1" x14ac:dyDescent="0.3">
      <c r="B37" s="220" t="s">
        <v>517</v>
      </c>
      <c r="C37" s="221">
        <v>0</v>
      </c>
      <c r="D37" s="221">
        <v>0</v>
      </c>
      <c r="E37" s="221">
        <v>2</v>
      </c>
      <c r="F37" s="224">
        <v>0</v>
      </c>
      <c r="G37" s="224">
        <v>0</v>
      </c>
      <c r="H37" s="224">
        <v>4</v>
      </c>
      <c r="I37" s="258">
        <v>0</v>
      </c>
      <c r="J37" s="221">
        <v>0</v>
      </c>
      <c r="K37" s="222">
        <v>0</v>
      </c>
      <c r="L37" s="221">
        <v>0</v>
      </c>
      <c r="M37" s="223">
        <v>0</v>
      </c>
      <c r="N37" s="224">
        <f t="shared" ref="N37:N52" si="1">SUM(C37:M37)</f>
        <v>6</v>
      </c>
      <c r="O37" s="225">
        <v>0</v>
      </c>
    </row>
    <row r="38" spans="2:15" ht="21.75" customHeight="1" x14ac:dyDescent="0.3">
      <c r="B38" s="220" t="s">
        <v>518</v>
      </c>
      <c r="C38" s="221">
        <v>0</v>
      </c>
      <c r="D38" s="221">
        <v>0</v>
      </c>
      <c r="E38" s="221">
        <v>0</v>
      </c>
      <c r="F38" s="224">
        <v>0</v>
      </c>
      <c r="G38" s="224">
        <v>0</v>
      </c>
      <c r="H38" s="224">
        <v>1</v>
      </c>
      <c r="I38" s="258">
        <v>0</v>
      </c>
      <c r="J38" s="221">
        <v>0</v>
      </c>
      <c r="K38" s="222">
        <v>0</v>
      </c>
      <c r="L38" s="221">
        <v>0</v>
      </c>
      <c r="M38" s="223">
        <v>0</v>
      </c>
      <c r="N38" s="224">
        <f t="shared" si="1"/>
        <v>1</v>
      </c>
      <c r="O38" s="225">
        <v>0</v>
      </c>
    </row>
    <row r="39" spans="2:15" ht="21.75" customHeight="1" x14ac:dyDescent="0.3">
      <c r="B39" s="220" t="s">
        <v>519</v>
      </c>
      <c r="C39" s="221">
        <v>1</v>
      </c>
      <c r="D39" s="221">
        <v>0</v>
      </c>
      <c r="E39" s="221">
        <v>3</v>
      </c>
      <c r="F39" s="224">
        <v>1</v>
      </c>
      <c r="G39" s="224">
        <v>2</v>
      </c>
      <c r="H39" s="224">
        <v>1</v>
      </c>
      <c r="I39" s="258">
        <v>1</v>
      </c>
      <c r="J39" s="221">
        <v>0</v>
      </c>
      <c r="K39" s="222">
        <v>0</v>
      </c>
      <c r="L39" s="222">
        <v>0</v>
      </c>
      <c r="M39" s="223">
        <v>0</v>
      </c>
      <c r="N39" s="224">
        <f t="shared" si="1"/>
        <v>9</v>
      </c>
      <c r="O39" s="225">
        <v>3</v>
      </c>
    </row>
    <row r="40" spans="2:15" ht="21.75" customHeight="1" x14ac:dyDescent="0.3">
      <c r="B40" s="220" t="s">
        <v>520</v>
      </c>
      <c r="C40" s="221">
        <v>0</v>
      </c>
      <c r="D40" s="221">
        <v>0</v>
      </c>
      <c r="E40" s="221">
        <v>3</v>
      </c>
      <c r="F40" s="224">
        <v>0</v>
      </c>
      <c r="G40" s="224">
        <v>0</v>
      </c>
      <c r="H40" s="224">
        <v>1</v>
      </c>
      <c r="I40" s="258">
        <v>1</v>
      </c>
      <c r="J40" s="221">
        <v>0</v>
      </c>
      <c r="K40" s="222">
        <v>0</v>
      </c>
      <c r="L40" s="222">
        <v>0</v>
      </c>
      <c r="M40" s="223">
        <v>0</v>
      </c>
      <c r="N40" s="224">
        <f t="shared" si="1"/>
        <v>5</v>
      </c>
      <c r="O40" s="225">
        <v>1</v>
      </c>
    </row>
    <row r="41" spans="2:15" ht="21.75" customHeight="1" x14ac:dyDescent="0.3">
      <c r="B41" s="220" t="s">
        <v>521</v>
      </c>
      <c r="C41" s="221">
        <v>0</v>
      </c>
      <c r="D41" s="221">
        <v>0</v>
      </c>
      <c r="E41" s="221">
        <v>0</v>
      </c>
      <c r="F41" s="224">
        <v>0</v>
      </c>
      <c r="G41" s="224">
        <v>0</v>
      </c>
      <c r="H41" s="224">
        <v>0</v>
      </c>
      <c r="I41" s="258">
        <v>1</v>
      </c>
      <c r="J41" s="221">
        <v>0</v>
      </c>
      <c r="K41" s="222">
        <v>0</v>
      </c>
      <c r="L41" s="222">
        <v>0</v>
      </c>
      <c r="M41" s="223">
        <v>0</v>
      </c>
      <c r="N41" s="224">
        <f t="shared" si="1"/>
        <v>1</v>
      </c>
      <c r="O41" s="225">
        <v>0</v>
      </c>
    </row>
    <row r="42" spans="2:15" ht="21.75" customHeight="1" x14ac:dyDescent="0.3">
      <c r="B42" s="220" t="s">
        <v>522</v>
      </c>
      <c r="C42" s="221">
        <v>0</v>
      </c>
      <c r="D42" s="221">
        <v>0</v>
      </c>
      <c r="E42" s="221">
        <v>0</v>
      </c>
      <c r="F42" s="224">
        <v>0</v>
      </c>
      <c r="G42" s="224">
        <v>0</v>
      </c>
      <c r="H42" s="224">
        <v>1</v>
      </c>
      <c r="I42" s="258">
        <v>1</v>
      </c>
      <c r="J42" s="221">
        <v>0</v>
      </c>
      <c r="K42" s="222">
        <v>0</v>
      </c>
      <c r="L42" s="222">
        <v>0</v>
      </c>
      <c r="M42" s="223">
        <v>0</v>
      </c>
      <c r="N42" s="224">
        <f t="shared" si="1"/>
        <v>2</v>
      </c>
      <c r="O42" s="225">
        <v>0</v>
      </c>
    </row>
    <row r="43" spans="2:15" ht="21.75" customHeight="1" x14ac:dyDescent="0.3">
      <c r="B43" s="220" t="s">
        <v>523</v>
      </c>
      <c r="C43" s="221">
        <v>1</v>
      </c>
      <c r="D43" s="221">
        <v>0</v>
      </c>
      <c r="E43" s="221">
        <v>0</v>
      </c>
      <c r="F43" s="224">
        <v>0</v>
      </c>
      <c r="G43" s="224">
        <v>0</v>
      </c>
      <c r="H43" s="224">
        <v>1</v>
      </c>
      <c r="I43" s="258">
        <v>2</v>
      </c>
      <c r="J43" s="221">
        <v>0</v>
      </c>
      <c r="K43" s="222">
        <v>0</v>
      </c>
      <c r="L43" s="222">
        <v>0</v>
      </c>
      <c r="M43" s="223">
        <v>0</v>
      </c>
      <c r="N43" s="224">
        <f t="shared" si="1"/>
        <v>4</v>
      </c>
      <c r="O43" s="225">
        <v>0</v>
      </c>
    </row>
    <row r="44" spans="2:15" ht="21.75" customHeight="1" x14ac:dyDescent="0.3">
      <c r="B44" s="220" t="s">
        <v>524</v>
      </c>
      <c r="C44" s="221">
        <v>0</v>
      </c>
      <c r="D44" s="221">
        <v>0</v>
      </c>
      <c r="E44" s="221">
        <v>0</v>
      </c>
      <c r="F44" s="224">
        <v>0</v>
      </c>
      <c r="G44" s="224">
        <v>0</v>
      </c>
      <c r="H44" s="224">
        <v>1</v>
      </c>
      <c r="I44" s="258">
        <v>1</v>
      </c>
      <c r="J44" s="221">
        <v>0</v>
      </c>
      <c r="K44" s="222">
        <v>0</v>
      </c>
      <c r="L44" s="222">
        <v>0</v>
      </c>
      <c r="M44" s="223">
        <v>0</v>
      </c>
      <c r="N44" s="224">
        <f t="shared" si="1"/>
        <v>2</v>
      </c>
      <c r="O44" s="225">
        <v>0</v>
      </c>
    </row>
    <row r="45" spans="2:15" ht="21.75" customHeight="1" x14ac:dyDescent="0.3">
      <c r="B45" s="220" t="s">
        <v>525</v>
      </c>
      <c r="C45" s="221">
        <v>9</v>
      </c>
      <c r="D45" s="221">
        <v>0</v>
      </c>
      <c r="E45" s="221">
        <v>0</v>
      </c>
      <c r="F45" s="224">
        <v>0</v>
      </c>
      <c r="G45" s="224">
        <v>0</v>
      </c>
      <c r="H45" s="224">
        <v>9</v>
      </c>
      <c r="I45" s="258">
        <v>3</v>
      </c>
      <c r="J45" s="221">
        <v>0</v>
      </c>
      <c r="K45" s="222">
        <v>0</v>
      </c>
      <c r="L45" s="222">
        <v>0</v>
      </c>
      <c r="M45" s="223">
        <v>0</v>
      </c>
      <c r="N45" s="224">
        <f t="shared" si="1"/>
        <v>21</v>
      </c>
      <c r="O45" s="225">
        <v>0</v>
      </c>
    </row>
    <row r="46" spans="2:15" ht="21.75" customHeight="1" x14ac:dyDescent="0.3">
      <c r="B46" s="220" t="s">
        <v>526</v>
      </c>
      <c r="C46" s="226">
        <v>1</v>
      </c>
      <c r="D46" s="226">
        <v>0</v>
      </c>
      <c r="E46" s="226">
        <v>0</v>
      </c>
      <c r="F46" s="224">
        <v>0</v>
      </c>
      <c r="G46" s="224">
        <v>0</v>
      </c>
      <c r="H46" s="224">
        <v>1</v>
      </c>
      <c r="I46" s="258">
        <v>0</v>
      </c>
      <c r="J46" s="226">
        <v>0</v>
      </c>
      <c r="K46" s="222">
        <v>0</v>
      </c>
      <c r="L46" s="222">
        <v>0</v>
      </c>
      <c r="M46" s="223">
        <v>0</v>
      </c>
      <c r="N46" s="224">
        <f t="shared" si="1"/>
        <v>2</v>
      </c>
      <c r="O46" s="225">
        <v>0</v>
      </c>
    </row>
    <row r="47" spans="2:15" ht="21.75" customHeight="1" x14ac:dyDescent="0.3">
      <c r="B47" s="220" t="s">
        <v>527</v>
      </c>
      <c r="C47" s="221">
        <v>0</v>
      </c>
      <c r="D47" s="221">
        <v>0</v>
      </c>
      <c r="E47" s="221">
        <v>10</v>
      </c>
      <c r="F47" s="224">
        <v>0</v>
      </c>
      <c r="G47" s="224">
        <v>0</v>
      </c>
      <c r="H47" s="224">
        <v>0</v>
      </c>
      <c r="I47" s="258">
        <v>3</v>
      </c>
      <c r="J47" s="221">
        <v>0</v>
      </c>
      <c r="K47" s="222">
        <v>0</v>
      </c>
      <c r="L47" s="222">
        <v>0</v>
      </c>
      <c r="M47" s="223">
        <v>0</v>
      </c>
      <c r="N47" s="224">
        <f t="shared" si="1"/>
        <v>13</v>
      </c>
      <c r="O47" s="225">
        <v>1</v>
      </c>
    </row>
    <row r="48" spans="2:15" ht="21.75" customHeight="1" x14ac:dyDescent="0.3">
      <c r="B48" s="220" t="s">
        <v>528</v>
      </c>
      <c r="C48" s="221">
        <v>0</v>
      </c>
      <c r="D48" s="221">
        <v>0</v>
      </c>
      <c r="E48" s="221">
        <v>0</v>
      </c>
      <c r="F48" s="224">
        <v>0</v>
      </c>
      <c r="G48" s="224">
        <v>0</v>
      </c>
      <c r="H48" s="224">
        <v>0</v>
      </c>
      <c r="I48" s="258">
        <v>1</v>
      </c>
      <c r="J48" s="221">
        <v>0</v>
      </c>
      <c r="K48" s="222">
        <v>0</v>
      </c>
      <c r="L48" s="222">
        <v>0</v>
      </c>
      <c r="M48" s="223">
        <v>0</v>
      </c>
      <c r="N48" s="224">
        <f t="shared" si="1"/>
        <v>1</v>
      </c>
      <c r="O48" s="225">
        <v>0</v>
      </c>
    </row>
    <row r="49" spans="2:15" ht="21.75" customHeight="1" x14ac:dyDescent="0.3">
      <c r="B49" s="220" t="s">
        <v>529</v>
      </c>
      <c r="C49" s="221">
        <v>0</v>
      </c>
      <c r="D49" s="221">
        <v>0</v>
      </c>
      <c r="E49" s="221">
        <v>0</v>
      </c>
      <c r="F49" s="224">
        <v>0</v>
      </c>
      <c r="G49" s="224">
        <v>0</v>
      </c>
      <c r="H49" s="224">
        <v>0</v>
      </c>
      <c r="I49" s="258">
        <v>1</v>
      </c>
      <c r="J49" s="221">
        <v>0</v>
      </c>
      <c r="K49" s="222">
        <v>0</v>
      </c>
      <c r="L49" s="222">
        <v>0</v>
      </c>
      <c r="M49" s="223">
        <v>0</v>
      </c>
      <c r="N49" s="224">
        <f t="shared" si="1"/>
        <v>1</v>
      </c>
      <c r="O49" s="225">
        <v>0</v>
      </c>
    </row>
    <row r="50" spans="2:15" ht="21.75" customHeight="1" x14ac:dyDescent="0.3">
      <c r="B50" s="220" t="s">
        <v>530</v>
      </c>
      <c r="C50" s="221">
        <v>0</v>
      </c>
      <c r="D50" s="221">
        <v>0</v>
      </c>
      <c r="E50" s="221">
        <v>0</v>
      </c>
      <c r="F50" s="224">
        <v>0</v>
      </c>
      <c r="G50" s="224">
        <v>0</v>
      </c>
      <c r="H50" s="224">
        <v>0</v>
      </c>
      <c r="I50" s="258">
        <v>1</v>
      </c>
      <c r="J50" s="221">
        <v>0</v>
      </c>
      <c r="K50" s="222">
        <v>0</v>
      </c>
      <c r="L50" s="222">
        <v>0</v>
      </c>
      <c r="M50" s="223">
        <v>0</v>
      </c>
      <c r="N50" s="224">
        <f t="shared" si="1"/>
        <v>1</v>
      </c>
      <c r="O50" s="225">
        <v>1</v>
      </c>
    </row>
    <row r="51" spans="2:15" ht="21.75" customHeight="1" x14ac:dyDescent="0.3">
      <c r="B51" s="220" t="s">
        <v>531</v>
      </c>
      <c r="C51" s="221">
        <v>0</v>
      </c>
      <c r="D51" s="221">
        <v>0</v>
      </c>
      <c r="E51" s="221">
        <v>2</v>
      </c>
      <c r="F51" s="224">
        <v>0</v>
      </c>
      <c r="G51" s="224">
        <v>0</v>
      </c>
      <c r="H51" s="224">
        <v>0</v>
      </c>
      <c r="I51" s="258"/>
      <c r="J51" s="221">
        <v>0</v>
      </c>
      <c r="K51" s="222">
        <v>0</v>
      </c>
      <c r="L51" s="222">
        <v>0</v>
      </c>
      <c r="M51" s="223">
        <v>0</v>
      </c>
      <c r="N51" s="224">
        <f t="shared" si="1"/>
        <v>2</v>
      </c>
      <c r="O51" s="225">
        <v>0</v>
      </c>
    </row>
    <row r="52" spans="2:15" ht="12.75" customHeight="1" x14ac:dyDescent="0.3">
      <c r="B52" s="220" t="s">
        <v>532</v>
      </c>
      <c r="C52" s="221">
        <v>0</v>
      </c>
      <c r="D52" s="221">
        <v>0</v>
      </c>
      <c r="E52" s="221">
        <v>0</v>
      </c>
      <c r="F52" s="224">
        <v>0</v>
      </c>
      <c r="G52" s="224">
        <v>0</v>
      </c>
      <c r="H52" s="224">
        <v>0</v>
      </c>
      <c r="I52" s="258">
        <v>1</v>
      </c>
      <c r="J52" s="221">
        <v>0</v>
      </c>
      <c r="K52" s="222">
        <v>0</v>
      </c>
      <c r="L52" s="222">
        <v>0</v>
      </c>
      <c r="M52" s="223">
        <v>0</v>
      </c>
      <c r="N52" s="224">
        <f t="shared" si="1"/>
        <v>1</v>
      </c>
      <c r="O52" s="225">
        <v>1</v>
      </c>
    </row>
    <row r="53" spans="2:15" ht="27.75" customHeight="1" x14ac:dyDescent="0.3">
      <c r="B53" s="227" t="s">
        <v>46</v>
      </c>
      <c r="C53" s="228">
        <f>+SUM(C36:C52)</f>
        <v>15</v>
      </c>
      <c r="D53" s="228">
        <f t="shared" ref="D53:O53" si="2">+SUM(D36:D52)</f>
        <v>1</v>
      </c>
      <c r="E53" s="228">
        <f t="shared" si="2"/>
        <v>21</v>
      </c>
      <c r="F53" s="228">
        <f t="shared" si="2"/>
        <v>2</v>
      </c>
      <c r="G53" s="228">
        <f t="shared" si="2"/>
        <v>4</v>
      </c>
      <c r="H53" s="228">
        <f t="shared" si="2"/>
        <v>22</v>
      </c>
      <c r="I53" s="228">
        <f t="shared" si="2"/>
        <v>19</v>
      </c>
      <c r="J53" s="228">
        <f t="shared" si="2"/>
        <v>1</v>
      </c>
      <c r="K53" s="228">
        <f t="shared" si="2"/>
        <v>1</v>
      </c>
      <c r="L53" s="228">
        <f t="shared" si="2"/>
        <v>1</v>
      </c>
      <c r="M53" s="228">
        <f t="shared" si="2"/>
        <v>1</v>
      </c>
      <c r="N53" s="228">
        <f t="shared" si="2"/>
        <v>88</v>
      </c>
      <c r="O53" s="228">
        <f t="shared" si="2"/>
        <v>10</v>
      </c>
    </row>
    <row r="54" spans="2:15" ht="12.75" customHeight="1" x14ac:dyDescent="0.3">
      <c r="B54" s="173"/>
    </row>
    <row r="55" spans="2:15" ht="12.75" customHeight="1" x14ac:dyDescent="0.3">
      <c r="B55" s="173"/>
    </row>
    <row r="56" spans="2:15" ht="12.75" customHeight="1" x14ac:dyDescent="0.3">
      <c r="B56" s="173"/>
    </row>
    <row r="57" spans="2:15" ht="12.75" customHeight="1" x14ac:dyDescent="0.3">
      <c r="B57" s="173"/>
    </row>
    <row r="58" spans="2:15" ht="12.75" customHeight="1" x14ac:dyDescent="0.3">
      <c r="B58" s="173"/>
    </row>
    <row r="59" spans="2:15" ht="12.75" customHeight="1" x14ac:dyDescent="0.3">
      <c r="B59" s="173"/>
    </row>
    <row r="60" spans="2:15" ht="12.75" customHeight="1" x14ac:dyDescent="0.3">
      <c r="B60" s="173"/>
    </row>
    <row r="61" spans="2:15" ht="12.75" customHeight="1" x14ac:dyDescent="0.3">
      <c r="B61" s="173"/>
    </row>
    <row r="62" spans="2:15" ht="12.75" customHeight="1" x14ac:dyDescent="0.3">
      <c r="B62" s="173"/>
    </row>
    <row r="63" spans="2:15" ht="12.75" customHeight="1" x14ac:dyDescent="0.3">
      <c r="B63" s="173"/>
    </row>
    <row r="64" spans="2:15" ht="12.75" customHeight="1" x14ac:dyDescent="0.3">
      <c r="B64" s="173"/>
    </row>
    <row r="65" spans="2:2" ht="12.75" customHeight="1" x14ac:dyDescent="0.3">
      <c r="B65" s="173"/>
    </row>
    <row r="66" spans="2:2" ht="12.75" customHeight="1" x14ac:dyDescent="0.3">
      <c r="B66" s="173"/>
    </row>
    <row r="67" spans="2:2" ht="12.75" customHeight="1" x14ac:dyDescent="0.3">
      <c r="B67" s="173"/>
    </row>
    <row r="68" spans="2:2" ht="12.75" customHeight="1" x14ac:dyDescent="0.3">
      <c r="B68" s="173"/>
    </row>
    <row r="69" spans="2:2" ht="12.75" customHeight="1" x14ac:dyDescent="0.3">
      <c r="B69" s="173"/>
    </row>
    <row r="70" spans="2:2" ht="12.75" customHeight="1" x14ac:dyDescent="0.3">
      <c r="B70" s="173"/>
    </row>
    <row r="71" spans="2:2" ht="12.75" customHeight="1" x14ac:dyDescent="0.3">
      <c r="B71" s="173"/>
    </row>
    <row r="72" spans="2:2" ht="12.75" customHeight="1" x14ac:dyDescent="0.3">
      <c r="B72" s="173"/>
    </row>
    <row r="73" spans="2:2" ht="12.75" customHeight="1" x14ac:dyDescent="0.3">
      <c r="B73" s="173"/>
    </row>
    <row r="74" spans="2:2" ht="12.75" customHeight="1" x14ac:dyDescent="0.3">
      <c r="B74" s="173"/>
    </row>
    <row r="75" spans="2:2" ht="12.75" customHeight="1" x14ac:dyDescent="0.3">
      <c r="B75" s="173"/>
    </row>
    <row r="76" spans="2:2" ht="12.75" customHeight="1" x14ac:dyDescent="0.3">
      <c r="B76" s="173"/>
    </row>
    <row r="77" spans="2:2" ht="12.75" customHeight="1" x14ac:dyDescent="0.3">
      <c r="B77" s="173"/>
    </row>
    <row r="78" spans="2:2" ht="12.75" customHeight="1" x14ac:dyDescent="0.3">
      <c r="B78" s="173"/>
    </row>
    <row r="79" spans="2:2" ht="12.75" customHeight="1" x14ac:dyDescent="0.3">
      <c r="B79" s="173"/>
    </row>
    <row r="80" spans="2:2" ht="12.75" customHeight="1" x14ac:dyDescent="0.3">
      <c r="B80" s="173"/>
    </row>
    <row r="81" spans="2:2" ht="12.75" customHeight="1" x14ac:dyDescent="0.3">
      <c r="B81" s="173"/>
    </row>
    <row r="82" spans="2:2" ht="12.75" customHeight="1" x14ac:dyDescent="0.3">
      <c r="B82" s="173"/>
    </row>
    <row r="83" spans="2:2" ht="12.75" customHeight="1" x14ac:dyDescent="0.3">
      <c r="B83" s="173"/>
    </row>
    <row r="84" spans="2:2" ht="12.75" customHeight="1" x14ac:dyDescent="0.3">
      <c r="B84" s="173"/>
    </row>
    <row r="85" spans="2:2" ht="12.75" customHeight="1" x14ac:dyDescent="0.3">
      <c r="B85" s="173"/>
    </row>
    <row r="86" spans="2:2" ht="12.75" customHeight="1" x14ac:dyDescent="0.3">
      <c r="B86" s="173"/>
    </row>
    <row r="87" spans="2:2" ht="12.75" customHeight="1" x14ac:dyDescent="0.3">
      <c r="B87" s="173"/>
    </row>
    <row r="88" spans="2:2" ht="12.75" customHeight="1" x14ac:dyDescent="0.3">
      <c r="B88" s="173"/>
    </row>
    <row r="89" spans="2:2" ht="12.75" customHeight="1" x14ac:dyDescent="0.3">
      <c r="B89" s="173"/>
    </row>
    <row r="90" spans="2:2" ht="12.75" customHeight="1" x14ac:dyDescent="0.3">
      <c r="B90" s="173"/>
    </row>
    <row r="91" spans="2:2" ht="12.75" customHeight="1" x14ac:dyDescent="0.3">
      <c r="B91" s="173"/>
    </row>
    <row r="92" spans="2:2" ht="12.75" customHeight="1" x14ac:dyDescent="0.3">
      <c r="B92" s="173"/>
    </row>
    <row r="93" spans="2:2" ht="12.75" customHeight="1" x14ac:dyDescent="0.3">
      <c r="B93" s="173"/>
    </row>
    <row r="94" spans="2:2" ht="12.75" customHeight="1" x14ac:dyDescent="0.3">
      <c r="B94" s="173"/>
    </row>
    <row r="95" spans="2:2" ht="12.75" customHeight="1" x14ac:dyDescent="0.3">
      <c r="B95" s="173"/>
    </row>
    <row r="96" spans="2:2" ht="12.75" customHeight="1" x14ac:dyDescent="0.3">
      <c r="B96" s="173"/>
    </row>
    <row r="97" spans="2:2" ht="12.75" customHeight="1" x14ac:dyDescent="0.3">
      <c r="B97" s="173"/>
    </row>
    <row r="98" spans="2:2" ht="12.75" customHeight="1" x14ac:dyDescent="0.3">
      <c r="B98" s="173"/>
    </row>
    <row r="99" spans="2:2" ht="12.75" customHeight="1" x14ac:dyDescent="0.3">
      <c r="B99" s="173"/>
    </row>
    <row r="100" spans="2:2" ht="12.75" customHeight="1" x14ac:dyDescent="0.3">
      <c r="B100" s="173"/>
    </row>
    <row r="101" spans="2:2" ht="12.75" customHeight="1" x14ac:dyDescent="0.3">
      <c r="B101" s="173"/>
    </row>
    <row r="102" spans="2:2" ht="12.75" customHeight="1" x14ac:dyDescent="0.3">
      <c r="B102" s="173"/>
    </row>
    <row r="103" spans="2:2" ht="12.75" customHeight="1" x14ac:dyDescent="0.3">
      <c r="B103" s="173"/>
    </row>
    <row r="104" spans="2:2" ht="12.75" customHeight="1" x14ac:dyDescent="0.3">
      <c r="B104" s="173"/>
    </row>
    <row r="105" spans="2:2" ht="12.75" customHeight="1" x14ac:dyDescent="0.3">
      <c r="B105" s="173"/>
    </row>
    <row r="106" spans="2:2" ht="12.75" customHeight="1" x14ac:dyDescent="0.3">
      <c r="B106" s="173"/>
    </row>
    <row r="107" spans="2:2" ht="12.75" customHeight="1" x14ac:dyDescent="0.3">
      <c r="B107" s="173"/>
    </row>
    <row r="108" spans="2:2" ht="12.75" customHeight="1" x14ac:dyDescent="0.3">
      <c r="B108" s="173"/>
    </row>
    <row r="109" spans="2:2" ht="12.75" customHeight="1" x14ac:dyDescent="0.3">
      <c r="B109" s="173"/>
    </row>
    <row r="110" spans="2:2" ht="12.75" customHeight="1" x14ac:dyDescent="0.3">
      <c r="B110" s="173"/>
    </row>
    <row r="111" spans="2:2" ht="12.75" customHeight="1" x14ac:dyDescent="0.3">
      <c r="B111" s="173"/>
    </row>
    <row r="112" spans="2:2" ht="12.75" customHeight="1" x14ac:dyDescent="0.3">
      <c r="B112" s="173"/>
    </row>
    <row r="113" spans="2:2" ht="12.75" customHeight="1" x14ac:dyDescent="0.3">
      <c r="B113" s="173"/>
    </row>
    <row r="114" spans="2:2" ht="12.75" customHeight="1" x14ac:dyDescent="0.3">
      <c r="B114" s="173"/>
    </row>
    <row r="115" spans="2:2" ht="12.75" customHeight="1" x14ac:dyDescent="0.3">
      <c r="B115" s="173"/>
    </row>
    <row r="116" spans="2:2" ht="12.75" customHeight="1" x14ac:dyDescent="0.3">
      <c r="B116" s="173"/>
    </row>
    <row r="117" spans="2:2" ht="12.75" customHeight="1" x14ac:dyDescent="0.3">
      <c r="B117" s="173"/>
    </row>
    <row r="118" spans="2:2" ht="12.75" customHeight="1" x14ac:dyDescent="0.3">
      <c r="B118" s="173"/>
    </row>
    <row r="119" spans="2:2" ht="12.75" customHeight="1" x14ac:dyDescent="0.3">
      <c r="B119" s="173"/>
    </row>
    <row r="120" spans="2:2" ht="12.75" customHeight="1" x14ac:dyDescent="0.3">
      <c r="B120" s="173"/>
    </row>
    <row r="121" spans="2:2" ht="12.75" customHeight="1" x14ac:dyDescent="0.3">
      <c r="B121" s="173"/>
    </row>
    <row r="122" spans="2:2" ht="12.75" customHeight="1" x14ac:dyDescent="0.3">
      <c r="B122" s="173"/>
    </row>
    <row r="123" spans="2:2" ht="12.75" customHeight="1" x14ac:dyDescent="0.3">
      <c r="B123" s="173"/>
    </row>
    <row r="124" spans="2:2" ht="12.75" customHeight="1" x14ac:dyDescent="0.3">
      <c r="B124" s="173"/>
    </row>
    <row r="125" spans="2:2" ht="12.75" customHeight="1" x14ac:dyDescent="0.3">
      <c r="B125" s="173"/>
    </row>
    <row r="126" spans="2:2" ht="12.75" customHeight="1" x14ac:dyDescent="0.3">
      <c r="B126" s="173"/>
    </row>
    <row r="127" spans="2:2" ht="12.75" customHeight="1" x14ac:dyDescent="0.3">
      <c r="B127" s="173"/>
    </row>
    <row r="128" spans="2:2" ht="12.75" customHeight="1" x14ac:dyDescent="0.3">
      <c r="B128" s="173"/>
    </row>
    <row r="129" spans="2:2" ht="12.75" customHeight="1" x14ac:dyDescent="0.3">
      <c r="B129" s="173"/>
    </row>
    <row r="130" spans="2:2" ht="12.75" customHeight="1" x14ac:dyDescent="0.3">
      <c r="B130" s="173"/>
    </row>
    <row r="131" spans="2:2" ht="12.75" customHeight="1" x14ac:dyDescent="0.3">
      <c r="B131" s="173"/>
    </row>
    <row r="132" spans="2:2" ht="12.75" customHeight="1" x14ac:dyDescent="0.3">
      <c r="B132" s="173"/>
    </row>
    <row r="133" spans="2:2" ht="12.75" customHeight="1" x14ac:dyDescent="0.3">
      <c r="B133" s="173"/>
    </row>
    <row r="134" spans="2:2" ht="12.75" customHeight="1" x14ac:dyDescent="0.3">
      <c r="B134" s="173"/>
    </row>
    <row r="135" spans="2:2" ht="12.75" customHeight="1" x14ac:dyDescent="0.3">
      <c r="B135" s="173"/>
    </row>
    <row r="136" spans="2:2" ht="12.75" customHeight="1" x14ac:dyDescent="0.3">
      <c r="B136" s="173"/>
    </row>
    <row r="137" spans="2:2" ht="12.75" customHeight="1" x14ac:dyDescent="0.3">
      <c r="B137" s="173"/>
    </row>
    <row r="138" spans="2:2" ht="12.75" customHeight="1" x14ac:dyDescent="0.3">
      <c r="B138" s="173"/>
    </row>
    <row r="139" spans="2:2" ht="12.75" customHeight="1" x14ac:dyDescent="0.3">
      <c r="B139" s="173"/>
    </row>
    <row r="140" spans="2:2" ht="12.75" customHeight="1" x14ac:dyDescent="0.3">
      <c r="B140" s="173"/>
    </row>
    <row r="141" spans="2:2" ht="12.75" customHeight="1" x14ac:dyDescent="0.3">
      <c r="B141" s="173"/>
    </row>
    <row r="142" spans="2:2" ht="12.75" customHeight="1" x14ac:dyDescent="0.3">
      <c r="B142" s="173"/>
    </row>
    <row r="143" spans="2:2" ht="12.75" customHeight="1" x14ac:dyDescent="0.3">
      <c r="B143" s="173"/>
    </row>
    <row r="144" spans="2:2" ht="12.75" customHeight="1" x14ac:dyDescent="0.3">
      <c r="B144" s="173"/>
    </row>
    <row r="145" spans="2:2" ht="12.75" customHeight="1" x14ac:dyDescent="0.3">
      <c r="B145" s="173"/>
    </row>
    <row r="146" spans="2:2" ht="12.75" customHeight="1" x14ac:dyDescent="0.3">
      <c r="B146" s="173"/>
    </row>
    <row r="147" spans="2:2" ht="12.75" customHeight="1" x14ac:dyDescent="0.3">
      <c r="B147" s="173"/>
    </row>
    <row r="148" spans="2:2" ht="12.75" customHeight="1" x14ac:dyDescent="0.3">
      <c r="B148" s="173"/>
    </row>
    <row r="149" spans="2:2" ht="12.75" customHeight="1" x14ac:dyDescent="0.3">
      <c r="B149" s="173"/>
    </row>
    <row r="150" spans="2:2" ht="12.75" customHeight="1" x14ac:dyDescent="0.3">
      <c r="B150" s="173"/>
    </row>
    <row r="151" spans="2:2" ht="12.75" customHeight="1" x14ac:dyDescent="0.3">
      <c r="B151" s="173"/>
    </row>
    <row r="152" spans="2:2" ht="12.75" customHeight="1" x14ac:dyDescent="0.3">
      <c r="B152" s="173"/>
    </row>
    <row r="153" spans="2:2" ht="12.75" customHeight="1" x14ac:dyDescent="0.3">
      <c r="B153" s="173"/>
    </row>
    <row r="154" spans="2:2" ht="12.75" customHeight="1" x14ac:dyDescent="0.3">
      <c r="B154" s="173"/>
    </row>
    <row r="155" spans="2:2" ht="12.75" customHeight="1" x14ac:dyDescent="0.3">
      <c r="B155" s="173"/>
    </row>
    <row r="156" spans="2:2" ht="12.75" customHeight="1" x14ac:dyDescent="0.3">
      <c r="B156" s="173"/>
    </row>
    <row r="157" spans="2:2" ht="12.75" customHeight="1" x14ac:dyDescent="0.3">
      <c r="B157" s="173"/>
    </row>
    <row r="158" spans="2:2" ht="12.75" customHeight="1" x14ac:dyDescent="0.3">
      <c r="B158" s="173"/>
    </row>
    <row r="159" spans="2:2" ht="12.75" customHeight="1" x14ac:dyDescent="0.3">
      <c r="B159" s="173"/>
    </row>
    <row r="160" spans="2:2" ht="12.75" customHeight="1" x14ac:dyDescent="0.3">
      <c r="B160" s="173"/>
    </row>
    <row r="161" spans="2:2" ht="12.75" customHeight="1" x14ac:dyDescent="0.3">
      <c r="B161" s="173"/>
    </row>
    <row r="162" spans="2:2" ht="12.75" customHeight="1" x14ac:dyDescent="0.3">
      <c r="B162" s="173"/>
    </row>
    <row r="163" spans="2:2" ht="12.75" customHeight="1" x14ac:dyDescent="0.3">
      <c r="B163" s="173"/>
    </row>
    <row r="164" spans="2:2" ht="12.75" customHeight="1" x14ac:dyDescent="0.3">
      <c r="B164" s="173"/>
    </row>
    <row r="165" spans="2:2" ht="12.75" customHeight="1" x14ac:dyDescent="0.3">
      <c r="B165" s="173"/>
    </row>
    <row r="166" spans="2:2" ht="12.75" customHeight="1" x14ac:dyDescent="0.3">
      <c r="B166" s="173"/>
    </row>
    <row r="167" spans="2:2" ht="12.75" customHeight="1" x14ac:dyDescent="0.3">
      <c r="B167" s="173"/>
    </row>
    <row r="168" spans="2:2" ht="12.75" customHeight="1" x14ac:dyDescent="0.3">
      <c r="B168" s="173"/>
    </row>
    <row r="169" spans="2:2" ht="12.75" customHeight="1" x14ac:dyDescent="0.3">
      <c r="B169" s="173"/>
    </row>
    <row r="170" spans="2:2" ht="12.75" customHeight="1" x14ac:dyDescent="0.3">
      <c r="B170" s="173"/>
    </row>
    <row r="171" spans="2:2" ht="12.75" customHeight="1" x14ac:dyDescent="0.3">
      <c r="B171" s="173"/>
    </row>
    <row r="172" spans="2:2" ht="12.75" customHeight="1" x14ac:dyDescent="0.3">
      <c r="B172" s="173"/>
    </row>
    <row r="173" spans="2:2" ht="12.75" customHeight="1" x14ac:dyDescent="0.3">
      <c r="B173" s="173"/>
    </row>
    <row r="174" spans="2:2" ht="12.75" customHeight="1" x14ac:dyDescent="0.3">
      <c r="B174" s="173"/>
    </row>
    <row r="175" spans="2:2" ht="12.75" customHeight="1" x14ac:dyDescent="0.3">
      <c r="B175" s="173"/>
    </row>
    <row r="176" spans="2:2" ht="12.75" customHeight="1" x14ac:dyDescent="0.3">
      <c r="B176" s="173"/>
    </row>
    <row r="177" spans="2:2" ht="12.75" customHeight="1" x14ac:dyDescent="0.3">
      <c r="B177" s="173"/>
    </row>
    <row r="178" spans="2:2" ht="12.75" customHeight="1" x14ac:dyDescent="0.3">
      <c r="B178" s="173"/>
    </row>
    <row r="179" spans="2:2" ht="12.75" customHeight="1" x14ac:dyDescent="0.3">
      <c r="B179" s="173"/>
    </row>
    <row r="180" spans="2:2" ht="12.75" customHeight="1" x14ac:dyDescent="0.3">
      <c r="B180" s="173"/>
    </row>
    <row r="181" spans="2:2" ht="12.75" customHeight="1" x14ac:dyDescent="0.3">
      <c r="B181" s="173"/>
    </row>
    <row r="182" spans="2:2" ht="12.75" customHeight="1" x14ac:dyDescent="0.3">
      <c r="B182" s="173"/>
    </row>
    <row r="183" spans="2:2" ht="12.75" customHeight="1" x14ac:dyDescent="0.3">
      <c r="B183" s="173"/>
    </row>
    <row r="184" spans="2:2" ht="12.75" customHeight="1" x14ac:dyDescent="0.3">
      <c r="B184" s="173"/>
    </row>
    <row r="185" spans="2:2" ht="12.75" customHeight="1" x14ac:dyDescent="0.3">
      <c r="B185" s="173"/>
    </row>
    <row r="186" spans="2:2" ht="12.75" customHeight="1" x14ac:dyDescent="0.3">
      <c r="B186" s="173"/>
    </row>
    <row r="187" spans="2:2" ht="12.75" customHeight="1" x14ac:dyDescent="0.3">
      <c r="B187" s="173"/>
    </row>
    <row r="188" spans="2:2" ht="12.75" customHeight="1" x14ac:dyDescent="0.3">
      <c r="B188" s="173"/>
    </row>
    <row r="189" spans="2:2" ht="12.75" customHeight="1" x14ac:dyDescent="0.3">
      <c r="B189" s="173"/>
    </row>
    <row r="190" spans="2:2" ht="12.75" customHeight="1" x14ac:dyDescent="0.3">
      <c r="B190" s="173"/>
    </row>
    <row r="191" spans="2:2" ht="12.75" customHeight="1" x14ac:dyDescent="0.3">
      <c r="B191" s="173"/>
    </row>
    <row r="192" spans="2:2" ht="12.75" customHeight="1" x14ac:dyDescent="0.3">
      <c r="B192" s="173"/>
    </row>
    <row r="193" spans="2:2" ht="12.75" customHeight="1" x14ac:dyDescent="0.3">
      <c r="B193" s="173"/>
    </row>
    <row r="194" spans="2:2" ht="12.75" customHeight="1" x14ac:dyDescent="0.3">
      <c r="B194" s="173"/>
    </row>
    <row r="195" spans="2:2" ht="12.75" customHeight="1" x14ac:dyDescent="0.3">
      <c r="B195" s="173"/>
    </row>
    <row r="196" spans="2:2" ht="12.75" customHeight="1" x14ac:dyDescent="0.3">
      <c r="B196" s="173"/>
    </row>
    <row r="197" spans="2:2" ht="12.75" customHeight="1" x14ac:dyDescent="0.3">
      <c r="B197" s="173"/>
    </row>
    <row r="198" spans="2:2" ht="12.75" customHeight="1" x14ac:dyDescent="0.3">
      <c r="B198" s="173"/>
    </row>
    <row r="199" spans="2:2" ht="12.75" customHeight="1" x14ac:dyDescent="0.3">
      <c r="B199" s="173"/>
    </row>
    <row r="200" spans="2:2" ht="12.75" customHeight="1" x14ac:dyDescent="0.3">
      <c r="B200" s="173"/>
    </row>
    <row r="201" spans="2:2" ht="12.75" customHeight="1" x14ac:dyDescent="0.3">
      <c r="B201" s="173"/>
    </row>
    <row r="202" spans="2:2" ht="12.75" customHeight="1" x14ac:dyDescent="0.3">
      <c r="B202" s="173"/>
    </row>
    <row r="203" spans="2:2" ht="12.75" customHeight="1" x14ac:dyDescent="0.3">
      <c r="B203" s="173"/>
    </row>
    <row r="204" spans="2:2" ht="12.75" customHeight="1" x14ac:dyDescent="0.3">
      <c r="B204" s="173"/>
    </row>
    <row r="205" spans="2:2" ht="12.75" customHeight="1" x14ac:dyDescent="0.3">
      <c r="B205" s="173"/>
    </row>
    <row r="206" spans="2:2" ht="12.75" customHeight="1" x14ac:dyDescent="0.3">
      <c r="B206" s="173"/>
    </row>
    <row r="207" spans="2:2" ht="12.75" customHeight="1" x14ac:dyDescent="0.3">
      <c r="B207" s="173"/>
    </row>
    <row r="208" spans="2:2" ht="12.75" customHeight="1" x14ac:dyDescent="0.3">
      <c r="B208" s="173"/>
    </row>
    <row r="209" spans="2:2" ht="12.75" customHeight="1" x14ac:dyDescent="0.3">
      <c r="B209" s="173"/>
    </row>
    <row r="210" spans="2:2" ht="12.75" customHeight="1" x14ac:dyDescent="0.3">
      <c r="B210" s="173"/>
    </row>
    <row r="211" spans="2:2" ht="12.75" customHeight="1" x14ac:dyDescent="0.3">
      <c r="B211" s="173"/>
    </row>
    <row r="212" spans="2:2" ht="12.75" customHeight="1" x14ac:dyDescent="0.3">
      <c r="B212" s="173"/>
    </row>
    <row r="213" spans="2:2" ht="12.75" customHeight="1" x14ac:dyDescent="0.3">
      <c r="B213" s="173"/>
    </row>
    <row r="214" spans="2:2" ht="12.75" customHeight="1" x14ac:dyDescent="0.3">
      <c r="B214" s="173"/>
    </row>
    <row r="215" spans="2:2" ht="12.75" customHeight="1" x14ac:dyDescent="0.3">
      <c r="B215" s="173"/>
    </row>
    <row r="216" spans="2:2" ht="12.75" customHeight="1" x14ac:dyDescent="0.3">
      <c r="B216" s="173"/>
    </row>
    <row r="217" spans="2:2" ht="12.75" customHeight="1" x14ac:dyDescent="0.3">
      <c r="B217" s="173"/>
    </row>
    <row r="218" spans="2:2" ht="12.75" customHeight="1" x14ac:dyDescent="0.3">
      <c r="B218" s="173"/>
    </row>
    <row r="219" spans="2:2" ht="12.75" customHeight="1" x14ac:dyDescent="0.3">
      <c r="B219" s="173"/>
    </row>
    <row r="220" spans="2:2" ht="12.75" customHeight="1" x14ac:dyDescent="0.3">
      <c r="B220" s="173"/>
    </row>
    <row r="221" spans="2:2" ht="12.75" customHeight="1" x14ac:dyDescent="0.3">
      <c r="B221" s="173"/>
    </row>
    <row r="222" spans="2:2" ht="12.75" customHeight="1" x14ac:dyDescent="0.3">
      <c r="B222" s="173"/>
    </row>
    <row r="223" spans="2:2" ht="12.75" customHeight="1" x14ac:dyDescent="0.3">
      <c r="B223" s="173"/>
    </row>
    <row r="224" spans="2:2" ht="12.75" customHeight="1" x14ac:dyDescent="0.3">
      <c r="B224" s="173"/>
    </row>
    <row r="225" spans="2:2" ht="12.75" customHeight="1" x14ac:dyDescent="0.3">
      <c r="B225" s="173"/>
    </row>
    <row r="226" spans="2:2" ht="12.75" customHeight="1" x14ac:dyDescent="0.3">
      <c r="B226" s="173"/>
    </row>
    <row r="227" spans="2:2" ht="12.75" customHeight="1" x14ac:dyDescent="0.3">
      <c r="B227" s="173"/>
    </row>
    <row r="228" spans="2:2" ht="12.75" customHeight="1" x14ac:dyDescent="0.3">
      <c r="B228" s="173"/>
    </row>
    <row r="229" spans="2:2" ht="12.75" customHeight="1" x14ac:dyDescent="0.3">
      <c r="B229" s="173"/>
    </row>
    <row r="230" spans="2:2" ht="12.75" customHeight="1" x14ac:dyDescent="0.3">
      <c r="B230" s="173"/>
    </row>
    <row r="231" spans="2:2" ht="12.75" customHeight="1" x14ac:dyDescent="0.3">
      <c r="B231" s="173"/>
    </row>
    <row r="232" spans="2:2" ht="12.75" customHeight="1" x14ac:dyDescent="0.3">
      <c r="B232" s="173"/>
    </row>
    <row r="233" spans="2:2" ht="12.75" customHeight="1" x14ac:dyDescent="0.3">
      <c r="B233" s="173"/>
    </row>
    <row r="234" spans="2:2" ht="12.75" customHeight="1" x14ac:dyDescent="0.3">
      <c r="B234" s="173"/>
    </row>
    <row r="235" spans="2:2" ht="12.75" customHeight="1" x14ac:dyDescent="0.3">
      <c r="B235" s="173"/>
    </row>
    <row r="236" spans="2:2" ht="12.75" customHeight="1" x14ac:dyDescent="0.3">
      <c r="B236" s="173"/>
    </row>
    <row r="237" spans="2:2" ht="12.75" customHeight="1" x14ac:dyDescent="0.3">
      <c r="B237" s="173"/>
    </row>
    <row r="238" spans="2:2" ht="12.75" customHeight="1" x14ac:dyDescent="0.3">
      <c r="B238" s="173"/>
    </row>
    <row r="239" spans="2:2" ht="12.75" customHeight="1" x14ac:dyDescent="0.3">
      <c r="B239" s="173"/>
    </row>
    <row r="240" spans="2:2" ht="12.75" customHeight="1" x14ac:dyDescent="0.3">
      <c r="B240" s="173"/>
    </row>
    <row r="241" spans="2:2" ht="12.75" customHeight="1" x14ac:dyDescent="0.3">
      <c r="B241" s="173"/>
    </row>
    <row r="242" spans="2:2" ht="12.75" customHeight="1" x14ac:dyDescent="0.3">
      <c r="B242" s="173"/>
    </row>
    <row r="243" spans="2:2" ht="12.75" customHeight="1" x14ac:dyDescent="0.3">
      <c r="B243" s="173"/>
    </row>
    <row r="244" spans="2:2" ht="12.75" customHeight="1" x14ac:dyDescent="0.3">
      <c r="B244" s="173"/>
    </row>
    <row r="245" spans="2:2" ht="12.75" customHeight="1" x14ac:dyDescent="0.3">
      <c r="B245" s="173"/>
    </row>
    <row r="246" spans="2:2" ht="12.75" customHeight="1" x14ac:dyDescent="0.3">
      <c r="B246" s="173"/>
    </row>
    <row r="247" spans="2:2" ht="12.75" customHeight="1" x14ac:dyDescent="0.3">
      <c r="B247" s="173"/>
    </row>
    <row r="248" spans="2:2" ht="12.75" customHeight="1" x14ac:dyDescent="0.3">
      <c r="B248" s="173"/>
    </row>
    <row r="249" spans="2:2" ht="12.75" customHeight="1" x14ac:dyDescent="0.3">
      <c r="B249" s="173"/>
    </row>
    <row r="250" spans="2:2" ht="12.75" customHeight="1" x14ac:dyDescent="0.3">
      <c r="B250" s="173"/>
    </row>
    <row r="251" spans="2:2" ht="12.75" customHeight="1" x14ac:dyDescent="0.3">
      <c r="B251" s="173"/>
    </row>
    <row r="252" spans="2:2" ht="12.75" customHeight="1" x14ac:dyDescent="0.3">
      <c r="B252" s="173"/>
    </row>
    <row r="253" spans="2:2" ht="12.75" customHeight="1" x14ac:dyDescent="0.3">
      <c r="B253" s="173"/>
    </row>
    <row r="254" spans="2:2" ht="12.75" customHeight="1" x14ac:dyDescent="0.3">
      <c r="B254" s="173"/>
    </row>
    <row r="255" spans="2:2" ht="12.75" customHeight="1" x14ac:dyDescent="0.3">
      <c r="B255" s="173"/>
    </row>
    <row r="256" spans="2:2" ht="12.75" customHeight="1" x14ac:dyDescent="0.3">
      <c r="B256" s="173"/>
    </row>
    <row r="257" spans="2:2" ht="12.75" customHeight="1" x14ac:dyDescent="0.3">
      <c r="B257" s="173"/>
    </row>
    <row r="258" spans="2:2" ht="12.75" customHeight="1" x14ac:dyDescent="0.3">
      <c r="B258" s="173"/>
    </row>
    <row r="259" spans="2:2" ht="12.75" customHeight="1" x14ac:dyDescent="0.3">
      <c r="B259" s="173"/>
    </row>
    <row r="260" spans="2:2" ht="12.75" customHeight="1" x14ac:dyDescent="0.3">
      <c r="B260" s="173"/>
    </row>
    <row r="261" spans="2:2" ht="12.75" customHeight="1" x14ac:dyDescent="0.3">
      <c r="B261" s="173"/>
    </row>
    <row r="262" spans="2:2" ht="12.75" customHeight="1" x14ac:dyDescent="0.3">
      <c r="B262" s="173"/>
    </row>
    <row r="263" spans="2:2" ht="12.75" customHeight="1" x14ac:dyDescent="0.3">
      <c r="B263" s="173"/>
    </row>
    <row r="264" spans="2:2" ht="12.75" customHeight="1" x14ac:dyDescent="0.3">
      <c r="B264" s="173"/>
    </row>
    <row r="265" spans="2:2" ht="12.75" customHeight="1" x14ac:dyDescent="0.3">
      <c r="B265" s="173"/>
    </row>
    <row r="266" spans="2:2" ht="12.75" customHeight="1" x14ac:dyDescent="0.3">
      <c r="B266" s="173"/>
    </row>
    <row r="267" spans="2:2" ht="12.75" customHeight="1" x14ac:dyDescent="0.3">
      <c r="B267" s="173"/>
    </row>
    <row r="268" spans="2:2" ht="12.75" customHeight="1" x14ac:dyDescent="0.3">
      <c r="B268" s="173"/>
    </row>
    <row r="269" spans="2:2" ht="12.75" customHeight="1" x14ac:dyDescent="0.3">
      <c r="B269" s="173"/>
    </row>
    <row r="270" spans="2:2" ht="12.75" customHeight="1" x14ac:dyDescent="0.3">
      <c r="B270" s="173"/>
    </row>
    <row r="271" spans="2:2" ht="12.75" customHeight="1" x14ac:dyDescent="0.3">
      <c r="B271" s="173"/>
    </row>
    <row r="272" spans="2:2" ht="12.75" customHeight="1" x14ac:dyDescent="0.3">
      <c r="B272" s="173"/>
    </row>
    <row r="273" spans="2:2" ht="12.75" customHeight="1" x14ac:dyDescent="0.3">
      <c r="B273" s="173"/>
    </row>
    <row r="274" spans="2:2" ht="12.75" customHeight="1" x14ac:dyDescent="0.3">
      <c r="B274" s="173"/>
    </row>
    <row r="275" spans="2:2" ht="12.75" customHeight="1" x14ac:dyDescent="0.3">
      <c r="B275" s="173"/>
    </row>
    <row r="276" spans="2:2" ht="12.75" customHeight="1" x14ac:dyDescent="0.3">
      <c r="B276" s="173"/>
    </row>
    <row r="277" spans="2:2" ht="12.75" customHeight="1" x14ac:dyDescent="0.3">
      <c r="B277" s="173"/>
    </row>
    <row r="278" spans="2:2" ht="12.75" customHeight="1" x14ac:dyDescent="0.3">
      <c r="B278" s="173"/>
    </row>
    <row r="279" spans="2:2" ht="12.75" customHeight="1" x14ac:dyDescent="0.3">
      <c r="B279" s="173"/>
    </row>
    <row r="280" spans="2:2" ht="12.75" customHeight="1" x14ac:dyDescent="0.3">
      <c r="B280" s="173"/>
    </row>
    <row r="281" spans="2:2" ht="12.75" customHeight="1" x14ac:dyDescent="0.3">
      <c r="B281" s="173"/>
    </row>
    <row r="282" spans="2:2" ht="12.75" customHeight="1" x14ac:dyDescent="0.3">
      <c r="B282" s="173"/>
    </row>
    <row r="283" spans="2:2" ht="12.75" customHeight="1" x14ac:dyDescent="0.3">
      <c r="B283" s="173"/>
    </row>
    <row r="284" spans="2:2" ht="12.75" customHeight="1" x14ac:dyDescent="0.3">
      <c r="B284" s="173"/>
    </row>
    <row r="285" spans="2:2" ht="12.75" customHeight="1" x14ac:dyDescent="0.3">
      <c r="B285" s="173"/>
    </row>
    <row r="286" spans="2:2" ht="12.75" customHeight="1" x14ac:dyDescent="0.3">
      <c r="B286" s="173"/>
    </row>
    <row r="287" spans="2:2" ht="12.75" customHeight="1" x14ac:dyDescent="0.3">
      <c r="B287" s="173"/>
    </row>
    <row r="288" spans="2:2" ht="12.75" customHeight="1" x14ac:dyDescent="0.3">
      <c r="B288" s="173"/>
    </row>
    <row r="289" spans="2:2" ht="12.75" customHeight="1" x14ac:dyDescent="0.3">
      <c r="B289" s="173"/>
    </row>
    <row r="290" spans="2:2" ht="12.75" customHeight="1" x14ac:dyDescent="0.3">
      <c r="B290" s="173"/>
    </row>
    <row r="291" spans="2:2" ht="12.75" customHeight="1" x14ac:dyDescent="0.3">
      <c r="B291" s="173"/>
    </row>
    <row r="292" spans="2:2" ht="12.75" customHeight="1" x14ac:dyDescent="0.3">
      <c r="B292" s="173"/>
    </row>
    <row r="293" spans="2:2" ht="12.75" customHeight="1" x14ac:dyDescent="0.3">
      <c r="B293" s="173"/>
    </row>
    <row r="294" spans="2:2" ht="12.75" customHeight="1" x14ac:dyDescent="0.3">
      <c r="B294" s="173"/>
    </row>
    <row r="295" spans="2:2" ht="12.75" customHeight="1" x14ac:dyDescent="0.3">
      <c r="B295" s="173"/>
    </row>
    <row r="296" spans="2:2" ht="12.75" customHeight="1" x14ac:dyDescent="0.3">
      <c r="B296" s="173"/>
    </row>
    <row r="297" spans="2:2" ht="12.75" customHeight="1" x14ac:dyDescent="0.3">
      <c r="B297" s="173"/>
    </row>
    <row r="298" spans="2:2" ht="12.75" customHeight="1" x14ac:dyDescent="0.3">
      <c r="B298" s="173"/>
    </row>
    <row r="299" spans="2:2" ht="12.75" customHeight="1" x14ac:dyDescent="0.3">
      <c r="B299" s="173"/>
    </row>
    <row r="300" spans="2:2" ht="12.75" customHeight="1" x14ac:dyDescent="0.3">
      <c r="B300" s="173"/>
    </row>
    <row r="301" spans="2:2" ht="12.75" customHeight="1" x14ac:dyDescent="0.3">
      <c r="B301" s="173"/>
    </row>
    <row r="302" spans="2:2" ht="12.75" customHeight="1" x14ac:dyDescent="0.3">
      <c r="B302" s="173"/>
    </row>
    <row r="303" spans="2:2" ht="12.75" customHeight="1" x14ac:dyDescent="0.3">
      <c r="B303" s="173"/>
    </row>
    <row r="304" spans="2:2" ht="12.75" customHeight="1" x14ac:dyDescent="0.3">
      <c r="B304" s="173"/>
    </row>
    <row r="305" spans="2:2" ht="12.75" customHeight="1" x14ac:dyDescent="0.3">
      <c r="B305" s="173"/>
    </row>
    <row r="306" spans="2:2" ht="12.75" customHeight="1" x14ac:dyDescent="0.3">
      <c r="B306" s="173"/>
    </row>
    <row r="307" spans="2:2" ht="12.75" customHeight="1" x14ac:dyDescent="0.3">
      <c r="B307" s="173"/>
    </row>
    <row r="308" spans="2:2" ht="12.75" customHeight="1" x14ac:dyDescent="0.3">
      <c r="B308" s="173"/>
    </row>
    <row r="309" spans="2:2" ht="12.75" customHeight="1" x14ac:dyDescent="0.3">
      <c r="B309" s="173"/>
    </row>
    <row r="310" spans="2:2" ht="12.75" customHeight="1" x14ac:dyDescent="0.3">
      <c r="B310" s="173"/>
    </row>
    <row r="311" spans="2:2" ht="12.75" customHeight="1" x14ac:dyDescent="0.3">
      <c r="B311" s="173"/>
    </row>
    <row r="312" spans="2:2" ht="12.75" customHeight="1" x14ac:dyDescent="0.3">
      <c r="B312" s="173"/>
    </row>
    <row r="313" spans="2:2" ht="12.75" customHeight="1" x14ac:dyDescent="0.3">
      <c r="B313" s="173"/>
    </row>
    <row r="314" spans="2:2" ht="12.75" customHeight="1" x14ac:dyDescent="0.3">
      <c r="B314" s="173"/>
    </row>
    <row r="315" spans="2:2" ht="12.75" customHeight="1" x14ac:dyDescent="0.3">
      <c r="B315" s="173"/>
    </row>
    <row r="316" spans="2:2" ht="12.75" customHeight="1" x14ac:dyDescent="0.3">
      <c r="B316" s="173"/>
    </row>
    <row r="317" spans="2:2" ht="12.75" customHeight="1" x14ac:dyDescent="0.3">
      <c r="B317" s="173"/>
    </row>
    <row r="318" spans="2:2" ht="12.75" customHeight="1" x14ac:dyDescent="0.3">
      <c r="B318" s="173"/>
    </row>
    <row r="319" spans="2:2" ht="12.75" customHeight="1" x14ac:dyDescent="0.3">
      <c r="B319" s="173"/>
    </row>
    <row r="320" spans="2:2" ht="12.75" customHeight="1" x14ac:dyDescent="0.3">
      <c r="B320" s="173"/>
    </row>
    <row r="321" spans="2:2" ht="12.75" customHeight="1" x14ac:dyDescent="0.3">
      <c r="B321" s="173"/>
    </row>
    <row r="322" spans="2:2" ht="12.75" customHeight="1" x14ac:dyDescent="0.3">
      <c r="B322" s="173"/>
    </row>
    <row r="323" spans="2:2" ht="12.75" customHeight="1" x14ac:dyDescent="0.3">
      <c r="B323" s="173"/>
    </row>
    <row r="324" spans="2:2" ht="12.75" customHeight="1" x14ac:dyDescent="0.3">
      <c r="B324" s="173"/>
    </row>
    <row r="325" spans="2:2" ht="12.75" customHeight="1" x14ac:dyDescent="0.3">
      <c r="B325" s="173"/>
    </row>
    <row r="326" spans="2:2" ht="12.75" customHeight="1" x14ac:dyDescent="0.3">
      <c r="B326" s="173"/>
    </row>
    <row r="327" spans="2:2" ht="12.75" customHeight="1" x14ac:dyDescent="0.3">
      <c r="B327" s="173"/>
    </row>
    <row r="328" spans="2:2" ht="12.75" customHeight="1" x14ac:dyDescent="0.3">
      <c r="B328" s="173"/>
    </row>
    <row r="329" spans="2:2" ht="12.75" customHeight="1" x14ac:dyDescent="0.3">
      <c r="B329" s="173"/>
    </row>
    <row r="330" spans="2:2" ht="12.75" customHeight="1" x14ac:dyDescent="0.3">
      <c r="B330" s="173"/>
    </row>
    <row r="331" spans="2:2" ht="12.75" customHeight="1" x14ac:dyDescent="0.3">
      <c r="B331" s="173"/>
    </row>
    <row r="332" spans="2:2" ht="12.75" customHeight="1" x14ac:dyDescent="0.3">
      <c r="B332" s="173"/>
    </row>
    <row r="333" spans="2:2" ht="12.75" customHeight="1" x14ac:dyDescent="0.3">
      <c r="B333" s="173"/>
    </row>
    <row r="334" spans="2:2" ht="14.4" x14ac:dyDescent="0.3">
      <c r="B334" s="173"/>
    </row>
    <row r="335" spans="2:2" ht="14.4" x14ac:dyDescent="0.3">
      <c r="B335" s="173"/>
    </row>
    <row r="336" spans="2:2" ht="14.4" x14ac:dyDescent="0.3">
      <c r="B336" s="173"/>
    </row>
    <row r="337" spans="2:2" ht="14.4" x14ac:dyDescent="0.3">
      <c r="B337" s="173"/>
    </row>
    <row r="338" spans="2:2" ht="14.4" x14ac:dyDescent="0.3">
      <c r="B338" s="173"/>
    </row>
    <row r="339" spans="2:2" ht="14.4" x14ac:dyDescent="0.3">
      <c r="B339" s="173"/>
    </row>
    <row r="340" spans="2:2" ht="14.4" x14ac:dyDescent="0.3">
      <c r="B340" s="173"/>
    </row>
    <row r="341" spans="2:2" ht="14.4" x14ac:dyDescent="0.3">
      <c r="B341" s="173"/>
    </row>
    <row r="342" spans="2:2" ht="14.4" x14ac:dyDescent="0.3">
      <c r="B342" s="173"/>
    </row>
    <row r="343" spans="2:2" ht="14.4" x14ac:dyDescent="0.3">
      <c r="B343" s="173"/>
    </row>
    <row r="344" spans="2:2" ht="14.4" x14ac:dyDescent="0.3">
      <c r="B344" s="173"/>
    </row>
    <row r="345" spans="2:2" ht="14.4" x14ac:dyDescent="0.3">
      <c r="B345" s="173"/>
    </row>
    <row r="346" spans="2:2" ht="14.4" x14ac:dyDescent="0.3">
      <c r="B346" s="173"/>
    </row>
    <row r="347" spans="2:2" ht="14.4" x14ac:dyDescent="0.3">
      <c r="B347" s="173"/>
    </row>
    <row r="348" spans="2:2" ht="14.4" x14ac:dyDescent="0.3">
      <c r="B348" s="173"/>
    </row>
    <row r="349" spans="2:2" ht="14.4" x14ac:dyDescent="0.3">
      <c r="B349" s="173"/>
    </row>
    <row r="350" spans="2:2" ht="14.4" x14ac:dyDescent="0.3">
      <c r="B350" s="173"/>
    </row>
    <row r="351" spans="2:2" ht="14.4" x14ac:dyDescent="0.3">
      <c r="B351" s="173"/>
    </row>
    <row r="352" spans="2:2" ht="14.4" x14ac:dyDescent="0.3">
      <c r="B352" s="173"/>
    </row>
    <row r="353" spans="2:2" ht="14.4" x14ac:dyDescent="0.3">
      <c r="B353" s="173"/>
    </row>
    <row r="354" spans="2:2" ht="14.4" x14ac:dyDescent="0.3">
      <c r="B354" s="173"/>
    </row>
    <row r="355" spans="2:2" ht="14.4" x14ac:dyDescent="0.3">
      <c r="B355" s="173"/>
    </row>
    <row r="356" spans="2:2" ht="14.4" x14ac:dyDescent="0.3">
      <c r="B356" s="173"/>
    </row>
    <row r="357" spans="2:2" ht="14.4" x14ac:dyDescent="0.3">
      <c r="B357" s="173"/>
    </row>
    <row r="358" spans="2:2" ht="14.4" x14ac:dyDescent="0.3">
      <c r="B358" s="173"/>
    </row>
    <row r="359" spans="2:2" ht="14.4" x14ac:dyDescent="0.3">
      <c r="B359" s="173"/>
    </row>
    <row r="360" spans="2:2" ht="14.4" x14ac:dyDescent="0.3">
      <c r="B360" s="173"/>
    </row>
    <row r="361" spans="2:2" ht="14.4" x14ac:dyDescent="0.3">
      <c r="B361" s="173"/>
    </row>
    <row r="362" spans="2:2" ht="14.4" x14ac:dyDescent="0.3">
      <c r="B362" s="173"/>
    </row>
    <row r="363" spans="2:2" ht="14.4" x14ac:dyDescent="0.3">
      <c r="B363" s="173"/>
    </row>
    <row r="364" spans="2:2" ht="14.4" x14ac:dyDescent="0.3">
      <c r="B364" s="173"/>
    </row>
    <row r="365" spans="2:2" ht="14.4" x14ac:dyDescent="0.3">
      <c r="B365" s="173"/>
    </row>
    <row r="366" spans="2:2" ht="14.4" x14ac:dyDescent="0.3">
      <c r="B366" s="173"/>
    </row>
    <row r="367" spans="2:2" ht="14.4" x14ac:dyDescent="0.3">
      <c r="B367" s="173"/>
    </row>
    <row r="368" spans="2:2" ht="14.4" x14ac:dyDescent="0.3">
      <c r="B368" s="173"/>
    </row>
    <row r="369" spans="2:2" ht="14.4" x14ac:dyDescent="0.3">
      <c r="B369" s="173"/>
    </row>
    <row r="370" spans="2:2" ht="14.4" x14ac:dyDescent="0.3">
      <c r="B370" s="173"/>
    </row>
    <row r="371" spans="2:2" ht="14.4" x14ac:dyDescent="0.3">
      <c r="B371" s="173"/>
    </row>
    <row r="372" spans="2:2" ht="14.4" x14ac:dyDescent="0.3">
      <c r="B372" s="173"/>
    </row>
    <row r="373" spans="2:2" ht="14.4" x14ac:dyDescent="0.3">
      <c r="B373" s="173"/>
    </row>
    <row r="374" spans="2:2" ht="14.4" x14ac:dyDescent="0.3">
      <c r="B374" s="173"/>
    </row>
    <row r="375" spans="2:2" ht="14.4" x14ac:dyDescent="0.3">
      <c r="B375" s="173"/>
    </row>
    <row r="376" spans="2:2" ht="14.4" x14ac:dyDescent="0.3">
      <c r="B376" s="173"/>
    </row>
    <row r="377" spans="2:2" ht="14.4" x14ac:dyDescent="0.3">
      <c r="B377" s="173"/>
    </row>
    <row r="378" spans="2:2" ht="14.4" x14ac:dyDescent="0.3">
      <c r="B378" s="173"/>
    </row>
    <row r="379" spans="2:2" ht="14.4" x14ac:dyDescent="0.3">
      <c r="B379" s="173"/>
    </row>
    <row r="380" spans="2:2" ht="14.4" x14ac:dyDescent="0.3">
      <c r="B380" s="173"/>
    </row>
    <row r="381" spans="2:2" ht="14.4" x14ac:dyDescent="0.3">
      <c r="B381" s="173"/>
    </row>
    <row r="382" spans="2:2" ht="14.4" x14ac:dyDescent="0.3">
      <c r="B382" s="173"/>
    </row>
    <row r="383" spans="2:2" ht="14.4" x14ac:dyDescent="0.3">
      <c r="B383" s="173"/>
    </row>
    <row r="384" spans="2:2" ht="14.4" x14ac:dyDescent="0.3">
      <c r="B384" s="173"/>
    </row>
    <row r="385" spans="2:2" ht="14.4" x14ac:dyDescent="0.3">
      <c r="B385" s="173"/>
    </row>
    <row r="386" spans="2:2" ht="14.4" x14ac:dyDescent="0.3">
      <c r="B386" s="173"/>
    </row>
    <row r="387" spans="2:2" ht="14.4" x14ac:dyDescent="0.3">
      <c r="B387" s="173"/>
    </row>
    <row r="388" spans="2:2" ht="14.4" x14ac:dyDescent="0.3">
      <c r="B388" s="173"/>
    </row>
    <row r="389" spans="2:2" ht="14.4" x14ac:dyDescent="0.3">
      <c r="B389" s="173"/>
    </row>
    <row r="390" spans="2:2" ht="14.4" x14ac:dyDescent="0.3">
      <c r="B390" s="173"/>
    </row>
    <row r="391" spans="2:2" ht="14.4" x14ac:dyDescent="0.3">
      <c r="B391" s="173"/>
    </row>
    <row r="392" spans="2:2" ht="14.4" x14ac:dyDescent="0.3">
      <c r="B392" s="173"/>
    </row>
    <row r="393" spans="2:2" ht="14.4" x14ac:dyDescent="0.3">
      <c r="B393" s="173"/>
    </row>
    <row r="394" spans="2:2" ht="14.4" x14ac:dyDescent="0.3">
      <c r="B394" s="173"/>
    </row>
    <row r="395" spans="2:2" ht="14.4" x14ac:dyDescent="0.3">
      <c r="B395" s="173"/>
    </row>
    <row r="396" spans="2:2" ht="14.4" x14ac:dyDescent="0.3">
      <c r="B396" s="173"/>
    </row>
    <row r="397" spans="2:2" ht="14.4" x14ac:dyDescent="0.3">
      <c r="B397" s="173"/>
    </row>
    <row r="398" spans="2:2" ht="14.4" x14ac:dyDescent="0.3">
      <c r="B398" s="173"/>
    </row>
    <row r="399" spans="2:2" ht="14.4" x14ac:dyDescent="0.3">
      <c r="B399" s="173"/>
    </row>
    <row r="400" spans="2:2" ht="14.4" x14ac:dyDescent="0.3">
      <c r="B400" s="173"/>
    </row>
    <row r="401" spans="2:2" ht="14.4" x14ac:dyDescent="0.3">
      <c r="B401" s="173"/>
    </row>
    <row r="402" spans="2:2" ht="14.4" x14ac:dyDescent="0.3">
      <c r="B402" s="173"/>
    </row>
    <row r="403" spans="2:2" ht="14.4" x14ac:dyDescent="0.3">
      <c r="B403" s="173"/>
    </row>
    <row r="404" spans="2:2" ht="14.4" x14ac:dyDescent="0.3">
      <c r="B404" s="173"/>
    </row>
    <row r="405" spans="2:2" ht="14.4" x14ac:dyDescent="0.3">
      <c r="B405" s="173"/>
    </row>
    <row r="406" spans="2:2" ht="14.4" x14ac:dyDescent="0.3">
      <c r="B406" s="173"/>
    </row>
    <row r="407" spans="2:2" ht="14.4" x14ac:dyDescent="0.3">
      <c r="B407" s="173"/>
    </row>
    <row r="408" spans="2:2" ht="14.4" x14ac:dyDescent="0.3">
      <c r="B408" s="173"/>
    </row>
    <row r="409" spans="2:2" ht="14.4" x14ac:dyDescent="0.3">
      <c r="B409" s="173"/>
    </row>
    <row r="410" spans="2:2" ht="14.4" x14ac:dyDescent="0.3">
      <c r="B410" s="173"/>
    </row>
    <row r="411" spans="2:2" ht="14.4" x14ac:dyDescent="0.3">
      <c r="B411" s="173"/>
    </row>
    <row r="412" spans="2:2" ht="14.4" x14ac:dyDescent="0.3">
      <c r="B412" s="173"/>
    </row>
    <row r="413" spans="2:2" ht="14.4" x14ac:dyDescent="0.3">
      <c r="B413" s="173"/>
    </row>
    <row r="414" spans="2:2" ht="14.4" x14ac:dyDescent="0.3">
      <c r="B414" s="173"/>
    </row>
    <row r="415" spans="2:2" ht="14.4" x14ac:dyDescent="0.3">
      <c r="B415" s="173"/>
    </row>
    <row r="416" spans="2:2" ht="14.4" x14ac:dyDescent="0.3">
      <c r="B416" s="173"/>
    </row>
    <row r="417" spans="2:2" ht="14.4" x14ac:dyDescent="0.3">
      <c r="B417" s="173"/>
    </row>
    <row r="418" spans="2:2" ht="14.4" x14ac:dyDescent="0.3">
      <c r="B418" s="173"/>
    </row>
    <row r="419" spans="2:2" ht="14.4" x14ac:dyDescent="0.3">
      <c r="B419" s="173"/>
    </row>
    <row r="420" spans="2:2" ht="14.4" x14ac:dyDescent="0.3">
      <c r="B420" s="173"/>
    </row>
    <row r="421" spans="2:2" ht="14.4" x14ac:dyDescent="0.3">
      <c r="B421" s="173"/>
    </row>
    <row r="422" spans="2:2" ht="14.4" x14ac:dyDescent="0.3">
      <c r="B422" s="173"/>
    </row>
    <row r="423" spans="2:2" ht="14.4" x14ac:dyDescent="0.3">
      <c r="B423" s="173"/>
    </row>
    <row r="424" spans="2:2" ht="14.4" x14ac:dyDescent="0.3">
      <c r="B424" s="173"/>
    </row>
    <row r="425" spans="2:2" ht="14.4" x14ac:dyDescent="0.3">
      <c r="B425" s="173"/>
    </row>
    <row r="426" spans="2:2" ht="14.4" x14ac:dyDescent="0.3">
      <c r="B426" s="173"/>
    </row>
    <row r="427" spans="2:2" ht="14.4" x14ac:dyDescent="0.3">
      <c r="B427" s="173"/>
    </row>
    <row r="428" spans="2:2" ht="14.4" x14ac:dyDescent="0.3">
      <c r="B428" s="173"/>
    </row>
    <row r="429" spans="2:2" ht="14.4" x14ac:dyDescent="0.3">
      <c r="B429" s="173"/>
    </row>
    <row r="430" spans="2:2" ht="14.4" x14ac:dyDescent="0.3">
      <c r="B430" s="173"/>
    </row>
    <row r="431" spans="2:2" ht="14.4" x14ac:dyDescent="0.3">
      <c r="B431" s="173"/>
    </row>
    <row r="432" spans="2:2" ht="14.4" x14ac:dyDescent="0.3">
      <c r="B432" s="173"/>
    </row>
    <row r="433" spans="2:2" ht="14.4" x14ac:dyDescent="0.3">
      <c r="B433" s="173"/>
    </row>
    <row r="434" spans="2:2" ht="14.4" x14ac:dyDescent="0.3">
      <c r="B434" s="173"/>
    </row>
    <row r="435" spans="2:2" ht="14.4" x14ac:dyDescent="0.3">
      <c r="B435" s="173"/>
    </row>
    <row r="436" spans="2:2" ht="14.4" x14ac:dyDescent="0.3">
      <c r="B436" s="173"/>
    </row>
    <row r="437" spans="2:2" ht="14.4" x14ac:dyDescent="0.3">
      <c r="B437" s="173"/>
    </row>
    <row r="438" spans="2:2" ht="14.4" x14ac:dyDescent="0.3">
      <c r="B438" s="173"/>
    </row>
    <row r="439" spans="2:2" ht="14.4" x14ac:dyDescent="0.3">
      <c r="B439" s="173"/>
    </row>
    <row r="440" spans="2:2" ht="14.4" x14ac:dyDescent="0.3">
      <c r="B440" s="173"/>
    </row>
    <row r="441" spans="2:2" ht="14.4" x14ac:dyDescent="0.3">
      <c r="B441" s="173"/>
    </row>
    <row r="442" spans="2:2" ht="14.4" x14ac:dyDescent="0.3">
      <c r="B442" s="173"/>
    </row>
    <row r="443" spans="2:2" ht="14.4" x14ac:dyDescent="0.3">
      <c r="B443" s="173"/>
    </row>
    <row r="444" spans="2:2" ht="14.4" x14ac:dyDescent="0.3">
      <c r="B444" s="173"/>
    </row>
    <row r="445" spans="2:2" ht="14.4" x14ac:dyDescent="0.3">
      <c r="B445" s="173"/>
    </row>
    <row r="446" spans="2:2" ht="14.4" x14ac:dyDescent="0.3">
      <c r="B446" s="173"/>
    </row>
    <row r="447" spans="2:2" ht="14.4" x14ac:dyDescent="0.3">
      <c r="B447" s="173"/>
    </row>
    <row r="448" spans="2:2" ht="14.4" x14ac:dyDescent="0.3">
      <c r="B448" s="173"/>
    </row>
    <row r="449" spans="2:2" ht="14.4" x14ac:dyDescent="0.3">
      <c r="B449" s="173"/>
    </row>
    <row r="450" spans="2:2" ht="14.4" x14ac:dyDescent="0.3">
      <c r="B450" s="173"/>
    </row>
    <row r="451" spans="2:2" ht="14.4" x14ac:dyDescent="0.3">
      <c r="B451" s="173"/>
    </row>
    <row r="452" spans="2:2" ht="14.4" x14ac:dyDescent="0.3">
      <c r="B452" s="173"/>
    </row>
    <row r="453" spans="2:2" ht="14.4" x14ac:dyDescent="0.3">
      <c r="B453" s="173"/>
    </row>
    <row r="454" spans="2:2" ht="14.4" x14ac:dyDescent="0.3">
      <c r="B454" s="173"/>
    </row>
    <row r="455" spans="2:2" ht="14.4" x14ac:dyDescent="0.3">
      <c r="B455" s="173"/>
    </row>
    <row r="456" spans="2:2" ht="14.4" x14ac:dyDescent="0.3">
      <c r="B456" s="173"/>
    </row>
    <row r="457" spans="2:2" ht="14.4" x14ac:dyDescent="0.3">
      <c r="B457" s="173"/>
    </row>
    <row r="458" spans="2:2" ht="14.4" x14ac:dyDescent="0.3">
      <c r="B458" s="173"/>
    </row>
    <row r="459" spans="2:2" ht="14.4" x14ac:dyDescent="0.3">
      <c r="B459" s="173"/>
    </row>
    <row r="460" spans="2:2" ht="14.4" x14ac:dyDescent="0.3">
      <c r="B460" s="173"/>
    </row>
    <row r="461" spans="2:2" ht="14.4" x14ac:dyDescent="0.3">
      <c r="B461" s="173"/>
    </row>
    <row r="462" spans="2:2" ht="14.4" x14ac:dyDescent="0.3">
      <c r="B462" s="173"/>
    </row>
    <row r="463" spans="2:2" ht="14.4" x14ac:dyDescent="0.3">
      <c r="B463" s="173"/>
    </row>
    <row r="464" spans="2:2" ht="14.4" x14ac:dyDescent="0.3">
      <c r="B464" s="173"/>
    </row>
    <row r="465" spans="2:2" ht="14.4" x14ac:dyDescent="0.3">
      <c r="B465" s="173"/>
    </row>
    <row r="466" spans="2:2" ht="14.4" x14ac:dyDescent="0.3">
      <c r="B466" s="173"/>
    </row>
    <row r="467" spans="2:2" ht="14.4" x14ac:dyDescent="0.3">
      <c r="B467" s="173"/>
    </row>
    <row r="468" spans="2:2" ht="14.4" x14ac:dyDescent="0.3">
      <c r="B468" s="173"/>
    </row>
    <row r="469" spans="2:2" ht="14.4" x14ac:dyDescent="0.3">
      <c r="B469" s="173"/>
    </row>
    <row r="470" spans="2:2" ht="14.4" x14ac:dyDescent="0.3">
      <c r="B470" s="173"/>
    </row>
    <row r="471" spans="2:2" ht="14.4" x14ac:dyDescent="0.3">
      <c r="B471" s="173"/>
    </row>
    <row r="472" spans="2:2" ht="14.4" x14ac:dyDescent="0.3">
      <c r="B472" s="173"/>
    </row>
    <row r="473" spans="2:2" ht="14.4" x14ac:dyDescent="0.3">
      <c r="B473" s="173"/>
    </row>
    <row r="474" spans="2:2" ht="14.4" x14ac:dyDescent="0.3">
      <c r="B474" s="173"/>
    </row>
    <row r="475" spans="2:2" ht="14.4" x14ac:dyDescent="0.3">
      <c r="B475" s="173"/>
    </row>
    <row r="476" spans="2:2" ht="14.4" x14ac:dyDescent="0.3">
      <c r="B476" s="173"/>
    </row>
    <row r="477" spans="2:2" ht="14.4" x14ac:dyDescent="0.3">
      <c r="B477" s="173"/>
    </row>
    <row r="478" spans="2:2" ht="14.4" x14ac:dyDescent="0.3">
      <c r="B478" s="173"/>
    </row>
    <row r="479" spans="2:2" ht="14.4" x14ac:dyDescent="0.3">
      <c r="B479" s="173"/>
    </row>
    <row r="480" spans="2:2" ht="14.4" x14ac:dyDescent="0.3">
      <c r="B480" s="173"/>
    </row>
    <row r="481" spans="2:2" ht="14.4" x14ac:dyDescent="0.3">
      <c r="B481" s="173"/>
    </row>
    <row r="482" spans="2:2" ht="14.4" x14ac:dyDescent="0.3">
      <c r="B482" s="173"/>
    </row>
    <row r="483" spans="2:2" ht="14.4" x14ac:dyDescent="0.3">
      <c r="B483" s="173"/>
    </row>
    <row r="484" spans="2:2" ht="14.4" x14ac:dyDescent="0.3">
      <c r="B484" s="173"/>
    </row>
    <row r="485" spans="2:2" ht="14.4" x14ac:dyDescent="0.3">
      <c r="B485" s="173"/>
    </row>
    <row r="486" spans="2:2" ht="14.4" x14ac:dyDescent="0.3">
      <c r="B486" s="173"/>
    </row>
    <row r="487" spans="2:2" ht="14.4" x14ac:dyDescent="0.3">
      <c r="B487" s="173"/>
    </row>
    <row r="488" spans="2:2" ht="14.4" x14ac:dyDescent="0.3">
      <c r="B488" s="173"/>
    </row>
    <row r="489" spans="2:2" ht="14.4" x14ac:dyDescent="0.3">
      <c r="B489" s="173"/>
    </row>
    <row r="490" spans="2:2" ht="14.4" x14ac:dyDescent="0.3">
      <c r="B490" s="173"/>
    </row>
    <row r="491" spans="2:2" ht="14.4" x14ac:dyDescent="0.3">
      <c r="B491" s="173"/>
    </row>
    <row r="492" spans="2:2" ht="14.4" x14ac:dyDescent="0.3">
      <c r="B492" s="173"/>
    </row>
    <row r="493" spans="2:2" ht="14.4" x14ac:dyDescent="0.3">
      <c r="B493" s="173"/>
    </row>
    <row r="494" spans="2:2" ht="14.4" x14ac:dyDescent="0.3">
      <c r="B494" s="173"/>
    </row>
    <row r="495" spans="2:2" ht="14.4" x14ac:dyDescent="0.3">
      <c r="B495" s="173"/>
    </row>
    <row r="496" spans="2:2" ht="14.4" x14ac:dyDescent="0.3">
      <c r="B496" s="173"/>
    </row>
    <row r="497" spans="2:2" ht="14.4" x14ac:dyDescent="0.3">
      <c r="B497" s="173"/>
    </row>
    <row r="498" spans="2:2" ht="14.4" x14ac:dyDescent="0.3">
      <c r="B498" s="173"/>
    </row>
    <row r="499" spans="2:2" ht="14.4" x14ac:dyDescent="0.3">
      <c r="B499" s="173"/>
    </row>
    <row r="500" spans="2:2" ht="14.4" x14ac:dyDescent="0.3">
      <c r="B500" s="173"/>
    </row>
    <row r="501" spans="2:2" ht="14.4" x14ac:dyDescent="0.3">
      <c r="B501" s="173"/>
    </row>
    <row r="502" spans="2:2" ht="14.4" x14ac:dyDescent="0.3">
      <c r="B502" s="173"/>
    </row>
    <row r="503" spans="2:2" ht="14.4" x14ac:dyDescent="0.3">
      <c r="B503" s="173"/>
    </row>
    <row r="504" spans="2:2" ht="14.4" x14ac:dyDescent="0.3">
      <c r="B504" s="173"/>
    </row>
    <row r="505" spans="2:2" ht="14.4" x14ac:dyDescent="0.3">
      <c r="B505" s="173"/>
    </row>
    <row r="506" spans="2:2" ht="14.4" x14ac:dyDescent="0.3">
      <c r="B506" s="173"/>
    </row>
    <row r="507" spans="2:2" ht="14.4" x14ac:dyDescent="0.3">
      <c r="B507" s="173"/>
    </row>
    <row r="508" spans="2:2" ht="14.4" x14ac:dyDescent="0.3">
      <c r="B508" s="173"/>
    </row>
    <row r="509" spans="2:2" ht="14.4" x14ac:dyDescent="0.3">
      <c r="B509" s="173"/>
    </row>
    <row r="510" spans="2:2" ht="14.4" x14ac:dyDescent="0.3">
      <c r="B510" s="173"/>
    </row>
    <row r="511" spans="2:2" ht="14.4" x14ac:dyDescent="0.3">
      <c r="B511" s="173"/>
    </row>
    <row r="512" spans="2:2" ht="14.4" x14ac:dyDescent="0.3">
      <c r="B512" s="173"/>
    </row>
    <row r="513" spans="2:2" ht="14.4" x14ac:dyDescent="0.3">
      <c r="B513" s="173"/>
    </row>
    <row r="514" spans="2:2" ht="14.4" x14ac:dyDescent="0.3">
      <c r="B514" s="173"/>
    </row>
    <row r="515" spans="2:2" ht="14.4" x14ac:dyDescent="0.3">
      <c r="B515" s="173"/>
    </row>
    <row r="516" spans="2:2" ht="14.4" x14ac:dyDescent="0.3">
      <c r="B516" s="173"/>
    </row>
    <row r="517" spans="2:2" ht="14.4" x14ac:dyDescent="0.3">
      <c r="B517" s="173"/>
    </row>
    <row r="518" spans="2:2" ht="14.4" x14ac:dyDescent="0.3">
      <c r="B518" s="173"/>
    </row>
    <row r="519" spans="2:2" ht="14.4" x14ac:dyDescent="0.3">
      <c r="B519" s="173"/>
    </row>
    <row r="520" spans="2:2" ht="14.4" x14ac:dyDescent="0.3">
      <c r="B520" s="173"/>
    </row>
    <row r="521" spans="2:2" ht="14.4" x14ac:dyDescent="0.3">
      <c r="B521" s="173"/>
    </row>
    <row r="522" spans="2:2" ht="14.4" x14ac:dyDescent="0.3">
      <c r="B522" s="173"/>
    </row>
    <row r="523" spans="2:2" ht="14.4" x14ac:dyDescent="0.3">
      <c r="B523" s="173"/>
    </row>
    <row r="524" spans="2:2" ht="14.4" x14ac:dyDescent="0.3">
      <c r="B524" s="173"/>
    </row>
    <row r="525" spans="2:2" ht="14.4" x14ac:dyDescent="0.3">
      <c r="B525" s="173"/>
    </row>
    <row r="526" spans="2:2" ht="14.4" x14ac:dyDescent="0.3">
      <c r="B526" s="173"/>
    </row>
    <row r="527" spans="2:2" ht="14.4" x14ac:dyDescent="0.3">
      <c r="B527" s="173"/>
    </row>
    <row r="528" spans="2:2" ht="14.4" x14ac:dyDescent="0.3">
      <c r="B528" s="173"/>
    </row>
    <row r="529" spans="2:2" ht="14.4" x14ac:dyDescent="0.3">
      <c r="B529" s="173"/>
    </row>
    <row r="530" spans="2:2" ht="14.4" x14ac:dyDescent="0.3">
      <c r="B530" s="173"/>
    </row>
    <row r="531" spans="2:2" ht="14.4" x14ac:dyDescent="0.3">
      <c r="B531" s="173"/>
    </row>
    <row r="532" spans="2:2" ht="14.4" x14ac:dyDescent="0.3">
      <c r="B532" s="173"/>
    </row>
    <row r="533" spans="2:2" ht="14.4" x14ac:dyDescent="0.3">
      <c r="B533" s="173"/>
    </row>
    <row r="534" spans="2:2" ht="14.4" x14ac:dyDescent="0.3">
      <c r="B534" s="173"/>
    </row>
    <row r="535" spans="2:2" ht="14.4" x14ac:dyDescent="0.3">
      <c r="B535" s="173"/>
    </row>
    <row r="536" spans="2:2" ht="14.4" x14ac:dyDescent="0.3">
      <c r="B536" s="173"/>
    </row>
    <row r="537" spans="2:2" ht="14.4" x14ac:dyDescent="0.3">
      <c r="B537" s="173"/>
    </row>
    <row r="538" spans="2:2" ht="14.4" x14ac:dyDescent="0.3">
      <c r="B538" s="173"/>
    </row>
    <row r="539" spans="2:2" ht="14.4" x14ac:dyDescent="0.3">
      <c r="B539" s="173"/>
    </row>
    <row r="540" spans="2:2" ht="14.4" x14ac:dyDescent="0.3">
      <c r="B540" s="173"/>
    </row>
    <row r="541" spans="2:2" ht="14.4" x14ac:dyDescent="0.3">
      <c r="B541" s="173"/>
    </row>
    <row r="542" spans="2:2" ht="14.4" x14ac:dyDescent="0.3">
      <c r="B542" s="173"/>
    </row>
    <row r="543" spans="2:2" ht="14.4" x14ac:dyDescent="0.3">
      <c r="B543" s="173"/>
    </row>
    <row r="544" spans="2:2" ht="14.4" x14ac:dyDescent="0.3">
      <c r="B544" s="173"/>
    </row>
    <row r="545" spans="2:2" ht="14.4" x14ac:dyDescent="0.3">
      <c r="B545" s="173"/>
    </row>
    <row r="546" spans="2:2" ht="14.4" x14ac:dyDescent="0.3">
      <c r="B546" s="173"/>
    </row>
    <row r="547" spans="2:2" ht="14.4" x14ac:dyDescent="0.3">
      <c r="B547" s="173"/>
    </row>
    <row r="548" spans="2:2" ht="14.4" x14ac:dyDescent="0.3">
      <c r="B548" s="173"/>
    </row>
    <row r="549" spans="2:2" ht="14.4" x14ac:dyDescent="0.3">
      <c r="B549" s="173"/>
    </row>
    <row r="550" spans="2:2" ht="14.4" x14ac:dyDescent="0.3">
      <c r="B550" s="173"/>
    </row>
    <row r="551" spans="2:2" ht="14.4" x14ac:dyDescent="0.3">
      <c r="B551" s="173"/>
    </row>
    <row r="552" spans="2:2" ht="14.4" x14ac:dyDescent="0.3">
      <c r="B552" s="173"/>
    </row>
    <row r="553" spans="2:2" ht="14.4" x14ac:dyDescent="0.3">
      <c r="B553" s="173"/>
    </row>
    <row r="554" spans="2:2" ht="14.4" x14ac:dyDescent="0.3">
      <c r="B554" s="173"/>
    </row>
    <row r="555" spans="2:2" ht="14.4" x14ac:dyDescent="0.3">
      <c r="B555" s="173"/>
    </row>
    <row r="556" spans="2:2" ht="14.4" x14ac:dyDescent="0.3">
      <c r="B556" s="173"/>
    </row>
    <row r="557" spans="2:2" ht="14.4" x14ac:dyDescent="0.3">
      <c r="B557" s="173"/>
    </row>
    <row r="558" spans="2:2" ht="14.4" x14ac:dyDescent="0.3">
      <c r="B558" s="173"/>
    </row>
    <row r="559" spans="2:2" ht="14.4" x14ac:dyDescent="0.3">
      <c r="B559" s="173"/>
    </row>
    <row r="560" spans="2:2" ht="14.4" x14ac:dyDescent="0.3">
      <c r="B560" s="173"/>
    </row>
    <row r="561" spans="2:2" ht="14.4" x14ac:dyDescent="0.3">
      <c r="B561" s="173"/>
    </row>
    <row r="562" spans="2:2" ht="14.4" x14ac:dyDescent="0.3">
      <c r="B562" s="173"/>
    </row>
    <row r="563" spans="2:2" ht="14.4" x14ac:dyDescent="0.3">
      <c r="B563" s="173"/>
    </row>
    <row r="564" spans="2:2" ht="14.4" x14ac:dyDescent="0.3">
      <c r="B564" s="173"/>
    </row>
    <row r="565" spans="2:2" ht="14.4" x14ac:dyDescent="0.3">
      <c r="B565" s="173"/>
    </row>
    <row r="566" spans="2:2" ht="14.4" x14ac:dyDescent="0.3">
      <c r="B566" s="173"/>
    </row>
    <row r="567" spans="2:2" ht="14.4" x14ac:dyDescent="0.3">
      <c r="B567" s="173"/>
    </row>
    <row r="568" spans="2:2" ht="14.4" x14ac:dyDescent="0.3">
      <c r="B568" s="173"/>
    </row>
    <row r="569" spans="2:2" ht="14.4" x14ac:dyDescent="0.3">
      <c r="B569" s="173"/>
    </row>
    <row r="570" spans="2:2" ht="14.4" x14ac:dyDescent="0.3">
      <c r="B570" s="173"/>
    </row>
    <row r="571" spans="2:2" ht="14.4" x14ac:dyDescent="0.3">
      <c r="B571" s="173"/>
    </row>
    <row r="572" spans="2:2" ht="14.4" x14ac:dyDescent="0.3">
      <c r="B572" s="173"/>
    </row>
    <row r="573" spans="2:2" ht="14.4" x14ac:dyDescent="0.3">
      <c r="B573" s="173"/>
    </row>
    <row r="574" spans="2:2" ht="14.4" x14ac:dyDescent="0.3">
      <c r="B574" s="173"/>
    </row>
    <row r="575" spans="2:2" ht="14.4" x14ac:dyDescent="0.3">
      <c r="B575" s="173"/>
    </row>
    <row r="576" spans="2:2" ht="14.4" x14ac:dyDescent="0.3">
      <c r="B576" s="173"/>
    </row>
    <row r="577" spans="2:2" ht="14.4" x14ac:dyDescent="0.3">
      <c r="B577" s="173"/>
    </row>
    <row r="578" spans="2:2" ht="14.4" x14ac:dyDescent="0.3">
      <c r="B578" s="173"/>
    </row>
    <row r="579" spans="2:2" ht="14.4" x14ac:dyDescent="0.3">
      <c r="B579" s="173"/>
    </row>
    <row r="580" spans="2:2" ht="14.4" x14ac:dyDescent="0.3">
      <c r="B580" s="173"/>
    </row>
    <row r="581" spans="2:2" ht="14.4" x14ac:dyDescent="0.3">
      <c r="B581" s="173"/>
    </row>
    <row r="582" spans="2:2" ht="14.4" x14ac:dyDescent="0.3">
      <c r="B582" s="173"/>
    </row>
    <row r="583" spans="2:2" ht="14.4" x14ac:dyDescent="0.3">
      <c r="B583" s="173"/>
    </row>
    <row r="584" spans="2:2" ht="14.4" x14ac:dyDescent="0.3">
      <c r="B584" s="173"/>
    </row>
    <row r="585" spans="2:2" ht="14.4" x14ac:dyDescent="0.3">
      <c r="B585" s="173"/>
    </row>
    <row r="586" spans="2:2" ht="14.4" x14ac:dyDescent="0.3">
      <c r="B586" s="173"/>
    </row>
    <row r="587" spans="2:2" ht="14.4" x14ac:dyDescent="0.3">
      <c r="B587" s="173"/>
    </row>
    <row r="588" spans="2:2" ht="14.4" x14ac:dyDescent="0.3">
      <c r="B588" s="173"/>
    </row>
    <row r="589" spans="2:2" ht="14.4" x14ac:dyDescent="0.3">
      <c r="B589" s="173"/>
    </row>
    <row r="590" spans="2:2" ht="14.4" x14ac:dyDescent="0.3">
      <c r="B590" s="173"/>
    </row>
    <row r="591" spans="2:2" ht="14.4" x14ac:dyDescent="0.3">
      <c r="B591" s="173"/>
    </row>
    <row r="592" spans="2:2" ht="14.4" x14ac:dyDescent="0.3">
      <c r="B592" s="173"/>
    </row>
    <row r="593" spans="2:2" ht="14.4" x14ac:dyDescent="0.3">
      <c r="B593" s="173"/>
    </row>
    <row r="594" spans="2:2" ht="14.4" x14ac:dyDescent="0.3">
      <c r="B594" s="173"/>
    </row>
    <row r="595" spans="2:2" ht="14.4" x14ac:dyDescent="0.3">
      <c r="B595" s="173"/>
    </row>
    <row r="596" spans="2:2" ht="14.4" x14ac:dyDescent="0.3">
      <c r="B596" s="173"/>
    </row>
    <row r="597" spans="2:2" ht="14.4" x14ac:dyDescent="0.3">
      <c r="B597" s="173"/>
    </row>
    <row r="598" spans="2:2" ht="14.4" x14ac:dyDescent="0.3">
      <c r="B598" s="173"/>
    </row>
    <row r="599" spans="2:2" ht="14.4" x14ac:dyDescent="0.3">
      <c r="B599" s="173"/>
    </row>
    <row r="600" spans="2:2" ht="14.4" x14ac:dyDescent="0.3">
      <c r="B600" s="173"/>
    </row>
    <row r="601" spans="2:2" ht="14.4" x14ac:dyDescent="0.3">
      <c r="B601" s="173"/>
    </row>
    <row r="602" spans="2:2" ht="14.4" x14ac:dyDescent="0.3">
      <c r="B602" s="173"/>
    </row>
    <row r="603" spans="2:2" ht="14.4" x14ac:dyDescent="0.3">
      <c r="B603" s="173"/>
    </row>
    <row r="604" spans="2:2" ht="14.4" x14ac:dyDescent="0.3">
      <c r="B604" s="173"/>
    </row>
    <row r="605" spans="2:2" ht="14.4" x14ac:dyDescent="0.3">
      <c r="B605" s="173"/>
    </row>
    <row r="606" spans="2:2" ht="14.4" x14ac:dyDescent="0.3">
      <c r="B606" s="173"/>
    </row>
    <row r="607" spans="2:2" ht="14.4" x14ac:dyDescent="0.3">
      <c r="B607" s="173"/>
    </row>
    <row r="608" spans="2:2" ht="14.4" x14ac:dyDescent="0.3">
      <c r="B608" s="173"/>
    </row>
    <row r="609" spans="2:2" ht="14.4" x14ac:dyDescent="0.3">
      <c r="B609" s="173"/>
    </row>
    <row r="610" spans="2:2" ht="14.4" x14ac:dyDescent="0.3">
      <c r="B610" s="173"/>
    </row>
    <row r="611" spans="2:2" ht="14.4" x14ac:dyDescent="0.3">
      <c r="B611" s="173"/>
    </row>
    <row r="612" spans="2:2" ht="14.4" x14ac:dyDescent="0.3">
      <c r="B612" s="173"/>
    </row>
    <row r="613" spans="2:2" ht="14.4" x14ac:dyDescent="0.3">
      <c r="B613" s="173"/>
    </row>
    <row r="614" spans="2:2" ht="14.4" x14ac:dyDescent="0.3">
      <c r="B614" s="173"/>
    </row>
    <row r="615" spans="2:2" ht="14.4" x14ac:dyDescent="0.3">
      <c r="B615" s="173"/>
    </row>
    <row r="616" spans="2:2" ht="14.4" x14ac:dyDescent="0.3">
      <c r="B616" s="173"/>
    </row>
    <row r="617" spans="2:2" ht="14.4" x14ac:dyDescent="0.3">
      <c r="B617" s="173"/>
    </row>
    <row r="618" spans="2:2" ht="14.4" x14ac:dyDescent="0.3">
      <c r="B618" s="173"/>
    </row>
    <row r="619" spans="2:2" ht="14.4" x14ac:dyDescent="0.3">
      <c r="B619" s="173"/>
    </row>
    <row r="620" spans="2:2" ht="14.4" x14ac:dyDescent="0.3">
      <c r="B620" s="173"/>
    </row>
    <row r="621" spans="2:2" ht="14.4" x14ac:dyDescent="0.3">
      <c r="B621" s="173"/>
    </row>
    <row r="622" spans="2:2" ht="14.4" x14ac:dyDescent="0.3">
      <c r="B622" s="173"/>
    </row>
    <row r="623" spans="2:2" ht="14.4" x14ac:dyDescent="0.3">
      <c r="B623" s="173"/>
    </row>
    <row r="624" spans="2:2" ht="14.4" x14ac:dyDescent="0.3">
      <c r="B624" s="173"/>
    </row>
    <row r="625" spans="2:2" ht="14.4" x14ac:dyDescent="0.3">
      <c r="B625" s="173"/>
    </row>
    <row r="626" spans="2:2" ht="14.4" x14ac:dyDescent="0.3">
      <c r="B626" s="173"/>
    </row>
    <row r="627" spans="2:2" ht="14.4" x14ac:dyDescent="0.3">
      <c r="B627" s="173"/>
    </row>
    <row r="628" spans="2:2" ht="14.4" x14ac:dyDescent="0.3">
      <c r="B628" s="173"/>
    </row>
    <row r="629" spans="2:2" ht="14.4" x14ac:dyDescent="0.3">
      <c r="B629" s="173"/>
    </row>
    <row r="630" spans="2:2" ht="14.4" x14ac:dyDescent="0.3">
      <c r="B630" s="173"/>
    </row>
    <row r="631" spans="2:2" ht="14.4" x14ac:dyDescent="0.3">
      <c r="B631" s="173"/>
    </row>
    <row r="632" spans="2:2" ht="14.4" x14ac:dyDescent="0.3">
      <c r="B632" s="173"/>
    </row>
    <row r="633" spans="2:2" ht="14.4" x14ac:dyDescent="0.3">
      <c r="B633" s="173"/>
    </row>
    <row r="634" spans="2:2" ht="14.4" x14ac:dyDescent="0.3">
      <c r="B634" s="173"/>
    </row>
    <row r="635" spans="2:2" ht="14.4" x14ac:dyDescent="0.3">
      <c r="B635" s="173"/>
    </row>
    <row r="636" spans="2:2" ht="14.4" x14ac:dyDescent="0.3">
      <c r="B636" s="173"/>
    </row>
    <row r="637" spans="2:2" ht="14.4" x14ac:dyDescent="0.3">
      <c r="B637" s="173"/>
    </row>
    <row r="638" spans="2:2" ht="14.4" x14ac:dyDescent="0.3">
      <c r="B638" s="173"/>
    </row>
    <row r="639" spans="2:2" ht="14.4" x14ac:dyDescent="0.3">
      <c r="B639" s="173"/>
    </row>
    <row r="640" spans="2:2" ht="14.4" x14ac:dyDescent="0.3">
      <c r="B640" s="173"/>
    </row>
    <row r="641" spans="2:2" ht="14.4" x14ac:dyDescent="0.3">
      <c r="B641" s="173"/>
    </row>
    <row r="642" spans="2:2" ht="14.4" x14ac:dyDescent="0.3">
      <c r="B642" s="173"/>
    </row>
    <row r="643" spans="2:2" ht="14.4" x14ac:dyDescent="0.3">
      <c r="B643" s="173"/>
    </row>
    <row r="644" spans="2:2" ht="14.4" x14ac:dyDescent="0.3">
      <c r="B644" s="173"/>
    </row>
    <row r="645" spans="2:2" ht="14.4" x14ac:dyDescent="0.3">
      <c r="B645" s="173"/>
    </row>
    <row r="646" spans="2:2" ht="14.4" x14ac:dyDescent="0.3">
      <c r="B646" s="173"/>
    </row>
    <row r="647" spans="2:2" ht="14.4" x14ac:dyDescent="0.3">
      <c r="B647" s="173"/>
    </row>
    <row r="648" spans="2:2" ht="14.4" x14ac:dyDescent="0.3">
      <c r="B648" s="173"/>
    </row>
    <row r="649" spans="2:2" ht="14.4" x14ac:dyDescent="0.3">
      <c r="B649" s="173"/>
    </row>
    <row r="650" spans="2:2" ht="14.4" x14ac:dyDescent="0.3">
      <c r="B650" s="173"/>
    </row>
    <row r="651" spans="2:2" ht="14.4" x14ac:dyDescent="0.3">
      <c r="B651" s="173"/>
    </row>
    <row r="652" spans="2:2" ht="14.4" x14ac:dyDescent="0.3">
      <c r="B652" s="173"/>
    </row>
    <row r="653" spans="2:2" ht="14.4" x14ac:dyDescent="0.3">
      <c r="B653" s="173"/>
    </row>
    <row r="654" spans="2:2" ht="14.4" x14ac:dyDescent="0.3">
      <c r="B654" s="173"/>
    </row>
    <row r="655" spans="2:2" ht="14.4" x14ac:dyDescent="0.3">
      <c r="B655" s="173"/>
    </row>
    <row r="656" spans="2:2" ht="14.4" x14ac:dyDescent="0.3">
      <c r="B656" s="173"/>
    </row>
  </sheetData>
  <mergeCells count="5">
    <mergeCell ref="D2:G2"/>
    <mergeCell ref="D3:G3"/>
    <mergeCell ref="B18:E18"/>
    <mergeCell ref="B19:E19"/>
    <mergeCell ref="B32:C32"/>
  </mergeCells>
  <pageMargins left="0.59055118110236227" right="0.59055118110236227" top="0.59055118110236227" bottom="0.59055118110236227" header="0" footer="0"/>
  <pageSetup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AAE32-C768-45E4-A76C-9A4D83B2D555}">
  <dimension ref="A1:W170"/>
  <sheetViews>
    <sheetView showGridLines="0" workbookViewId="0">
      <selection sqref="A1:B1"/>
    </sheetView>
  </sheetViews>
  <sheetFormatPr baseColWidth="10" defaultRowHeight="14.4" x14ac:dyDescent="0.3"/>
  <cols>
    <col min="2" max="2" width="28.44140625" customWidth="1"/>
    <col min="3" max="3" width="23.5546875" customWidth="1"/>
    <col min="4" max="4" width="33.77734375" customWidth="1"/>
  </cols>
  <sheetData>
    <row r="1" spans="1:23" x14ac:dyDescent="0.3">
      <c r="A1" s="934"/>
      <c r="B1" s="934"/>
      <c r="C1" s="659"/>
      <c r="D1" s="659"/>
      <c r="E1" s="660"/>
      <c r="F1" s="660"/>
      <c r="G1" s="420"/>
      <c r="H1" s="420"/>
      <c r="I1" s="420"/>
      <c r="J1" s="420"/>
      <c r="K1" s="420"/>
      <c r="L1" s="420"/>
      <c r="M1" s="420"/>
      <c r="N1" s="420"/>
      <c r="O1" s="420"/>
      <c r="P1" s="420"/>
      <c r="Q1" s="420"/>
      <c r="R1" s="420"/>
      <c r="S1" s="420"/>
      <c r="T1" s="420"/>
      <c r="U1" s="420"/>
      <c r="V1" s="420"/>
      <c r="W1" s="420"/>
    </row>
    <row r="2" spans="1:23" x14ac:dyDescent="0.3">
      <c r="A2" s="934"/>
      <c r="B2" s="934"/>
      <c r="C2" s="420"/>
      <c r="D2" s="936" t="s">
        <v>0</v>
      </c>
      <c r="E2" s="936"/>
      <c r="F2" s="936"/>
      <c r="G2" s="936"/>
      <c r="H2" s="936"/>
      <c r="I2" s="936"/>
      <c r="J2" s="936"/>
      <c r="K2" s="936"/>
      <c r="L2" s="936"/>
      <c r="M2" s="420"/>
      <c r="N2" s="420"/>
      <c r="O2" s="420"/>
      <c r="P2" s="420"/>
      <c r="Q2" s="420"/>
      <c r="R2" s="420"/>
      <c r="S2" s="420"/>
      <c r="T2" s="420"/>
      <c r="U2" s="420"/>
      <c r="V2" s="420"/>
      <c r="W2" s="420"/>
    </row>
    <row r="3" spans="1:23" x14ac:dyDescent="0.3">
      <c r="A3" s="934"/>
      <c r="B3" s="934"/>
      <c r="C3" s="420"/>
      <c r="D3" s="936" t="s">
        <v>336</v>
      </c>
      <c r="E3" s="936"/>
      <c r="F3" s="936"/>
      <c r="G3" s="936"/>
      <c r="H3" s="936"/>
      <c r="I3" s="936"/>
      <c r="J3" s="936"/>
      <c r="K3" s="936"/>
      <c r="L3" s="936"/>
      <c r="M3" s="420"/>
      <c r="N3" s="420"/>
      <c r="O3" s="420"/>
      <c r="P3" s="420"/>
      <c r="Q3" s="420"/>
      <c r="R3" s="420"/>
      <c r="S3" s="420"/>
      <c r="T3" s="420"/>
      <c r="U3" s="420"/>
      <c r="V3" s="420"/>
      <c r="W3" s="420"/>
    </row>
    <row r="4" spans="1:23" x14ac:dyDescent="0.3">
      <c r="A4" s="934"/>
      <c r="B4" s="934"/>
      <c r="C4" s="420"/>
      <c r="D4" s="935" t="s">
        <v>1356</v>
      </c>
      <c r="E4" s="935"/>
      <c r="F4" s="935"/>
      <c r="G4" s="935"/>
      <c r="H4" s="935"/>
      <c r="I4" s="935"/>
      <c r="J4" s="935"/>
      <c r="K4" s="935"/>
      <c r="L4" s="935"/>
      <c r="M4" s="420"/>
      <c r="N4" s="420"/>
      <c r="O4" s="420"/>
      <c r="P4" s="420"/>
      <c r="Q4" s="420"/>
      <c r="R4" s="420"/>
      <c r="S4" s="420"/>
      <c r="T4" s="420"/>
      <c r="U4" s="420"/>
      <c r="V4" s="420"/>
      <c r="W4" s="420"/>
    </row>
    <row r="5" spans="1:23" x14ac:dyDescent="0.3">
      <c r="A5" s="934"/>
      <c r="B5" s="934"/>
      <c r="C5" s="420"/>
      <c r="D5" s="661"/>
      <c r="E5" s="661"/>
      <c r="F5" s="661"/>
      <c r="G5" s="661"/>
      <c r="H5" s="661"/>
      <c r="I5" s="661"/>
      <c r="J5" s="661"/>
      <c r="K5" s="661"/>
      <c r="L5" s="661"/>
      <c r="M5" s="420"/>
      <c r="N5" s="420"/>
      <c r="O5" s="420"/>
      <c r="P5" s="420"/>
      <c r="Q5" s="420"/>
      <c r="R5" s="420"/>
      <c r="S5" s="420"/>
      <c r="T5" s="420"/>
      <c r="U5" s="420"/>
      <c r="V5" s="420"/>
      <c r="W5" s="420"/>
    </row>
    <row r="6" spans="1:23" x14ac:dyDescent="0.3">
      <c r="A6" s="937"/>
      <c r="B6" s="938"/>
      <c r="C6" s="662" t="s">
        <v>1357</v>
      </c>
      <c r="D6" s="663" t="s">
        <v>1358</v>
      </c>
      <c r="E6" s="664">
        <v>2025</v>
      </c>
      <c r="F6" s="664">
        <v>2026</v>
      </c>
      <c r="G6" s="663" t="s">
        <v>46</v>
      </c>
      <c r="H6" s="665"/>
      <c r="I6" s="661"/>
      <c r="J6" s="661"/>
      <c r="K6" s="661"/>
      <c r="L6" s="661"/>
      <c r="M6" s="420"/>
      <c r="N6" s="420"/>
      <c r="O6" s="420"/>
      <c r="P6" s="420"/>
      <c r="Q6" s="420"/>
      <c r="R6" s="420"/>
      <c r="S6" s="420"/>
      <c r="T6" s="420"/>
      <c r="U6" s="420"/>
      <c r="V6" s="420"/>
      <c r="W6" s="420"/>
    </row>
    <row r="7" spans="1:23" x14ac:dyDescent="0.3">
      <c r="A7" s="937"/>
      <c r="B7" s="938"/>
      <c r="C7" s="666" t="s">
        <v>1359</v>
      </c>
      <c r="D7" s="667" t="s">
        <v>1360</v>
      </c>
      <c r="E7" s="667">
        <v>12820</v>
      </c>
      <c r="F7" s="667">
        <v>5331</v>
      </c>
      <c r="G7" s="667">
        <v>18151</v>
      </c>
      <c r="H7" s="668"/>
      <c r="I7" s="661"/>
      <c r="J7" s="661"/>
      <c r="K7" s="661"/>
      <c r="L7" s="661"/>
      <c r="M7" s="420"/>
      <c r="N7" s="420"/>
      <c r="O7" s="420"/>
      <c r="P7" s="420"/>
      <c r="Q7" s="420"/>
      <c r="R7" s="420"/>
      <c r="S7" s="420"/>
      <c r="T7" s="420"/>
      <c r="U7" s="420"/>
      <c r="V7" s="420"/>
      <c r="W7" s="420"/>
    </row>
    <row r="8" spans="1:23" x14ac:dyDescent="0.3">
      <c r="A8" s="937"/>
      <c r="B8" s="938"/>
      <c r="C8" s="939" t="s">
        <v>1361</v>
      </c>
      <c r="D8" s="667" t="s">
        <v>1362</v>
      </c>
      <c r="E8" s="667">
        <v>119</v>
      </c>
      <c r="F8" s="667">
        <v>198</v>
      </c>
      <c r="G8" s="667">
        <v>317</v>
      </c>
      <c r="H8" s="668"/>
      <c r="I8" s="661"/>
      <c r="J8" s="661"/>
      <c r="K8" s="661"/>
      <c r="L8" s="661"/>
      <c r="M8" s="420"/>
      <c r="N8" s="420"/>
      <c r="O8" s="420"/>
      <c r="P8" s="420"/>
      <c r="Q8" s="420"/>
      <c r="R8" s="420"/>
      <c r="S8" s="420"/>
      <c r="T8" s="420"/>
      <c r="U8" s="420"/>
      <c r="V8" s="420"/>
      <c r="W8" s="420"/>
    </row>
    <row r="9" spans="1:23" x14ac:dyDescent="0.3">
      <c r="A9" s="937"/>
      <c r="B9" s="938"/>
      <c r="C9" s="940"/>
      <c r="D9" s="667" t="s">
        <v>1363</v>
      </c>
      <c r="E9" s="667">
        <v>1106</v>
      </c>
      <c r="F9" s="667"/>
      <c r="G9" s="667">
        <v>1106</v>
      </c>
      <c r="H9" s="668"/>
      <c r="I9" s="661"/>
      <c r="J9" s="661"/>
      <c r="K9" s="661"/>
      <c r="L9" s="661"/>
      <c r="M9" s="420"/>
      <c r="N9" s="420"/>
      <c r="O9" s="420"/>
      <c r="P9" s="420"/>
      <c r="Q9" s="420"/>
      <c r="R9" s="420"/>
      <c r="S9" s="420"/>
      <c r="T9" s="420"/>
      <c r="U9" s="420"/>
      <c r="V9" s="420"/>
      <c r="W9" s="420"/>
    </row>
    <row r="10" spans="1:23" x14ac:dyDescent="0.3">
      <c r="A10" s="937"/>
      <c r="B10" s="938"/>
      <c r="C10" s="940"/>
      <c r="D10" s="667" t="s">
        <v>1364</v>
      </c>
      <c r="E10" s="667"/>
      <c r="F10" s="667">
        <v>620</v>
      </c>
      <c r="G10" s="667">
        <v>620</v>
      </c>
      <c r="H10" s="668"/>
      <c r="I10" s="661"/>
      <c r="J10" s="661"/>
      <c r="K10" s="661"/>
      <c r="L10" s="661"/>
      <c r="M10" s="420"/>
      <c r="N10" s="420"/>
      <c r="O10" s="420"/>
      <c r="P10" s="420"/>
      <c r="Q10" s="420"/>
      <c r="R10" s="420"/>
      <c r="S10" s="420"/>
      <c r="T10" s="420"/>
      <c r="U10" s="420"/>
      <c r="V10" s="420"/>
      <c r="W10" s="420"/>
    </row>
    <row r="11" spans="1:23" x14ac:dyDescent="0.3">
      <c r="A11" s="937"/>
      <c r="B11" s="938"/>
      <c r="C11" s="940"/>
      <c r="D11" s="667" t="s">
        <v>1365</v>
      </c>
      <c r="E11" s="667">
        <v>351</v>
      </c>
      <c r="F11" s="667">
        <v>580</v>
      </c>
      <c r="G11" s="667">
        <v>931</v>
      </c>
      <c r="H11" s="668"/>
      <c r="I11" s="661"/>
      <c r="J11" s="661"/>
      <c r="K11" s="661"/>
      <c r="L11" s="661"/>
      <c r="M11" s="420"/>
      <c r="N11" s="420"/>
      <c r="O11" s="420"/>
      <c r="P11" s="420"/>
      <c r="Q11" s="420"/>
      <c r="R11" s="420"/>
      <c r="S11" s="420"/>
      <c r="T11" s="420"/>
      <c r="U11" s="420"/>
      <c r="V11" s="420"/>
      <c r="W11" s="420"/>
    </row>
    <row r="12" spans="1:23" x14ac:dyDescent="0.3">
      <c r="A12" s="937"/>
      <c r="B12" s="938"/>
      <c r="C12" s="940"/>
      <c r="D12" s="667" t="s">
        <v>1366</v>
      </c>
      <c r="E12" s="667">
        <v>1293</v>
      </c>
      <c r="F12" s="667">
        <v>1468</v>
      </c>
      <c r="G12" s="667">
        <v>2761</v>
      </c>
      <c r="H12" s="668"/>
      <c r="I12" s="661"/>
      <c r="J12" s="661"/>
      <c r="K12" s="661"/>
      <c r="L12" s="661"/>
      <c r="M12" s="420"/>
      <c r="N12" s="420"/>
      <c r="O12" s="420"/>
      <c r="P12" s="420"/>
      <c r="Q12" s="420"/>
      <c r="R12" s="420"/>
      <c r="S12" s="420"/>
      <c r="T12" s="420"/>
      <c r="U12" s="420"/>
      <c r="V12" s="420"/>
      <c r="W12" s="420"/>
    </row>
    <row r="13" spans="1:23" x14ac:dyDescent="0.3">
      <c r="A13" s="937"/>
      <c r="B13" s="938"/>
      <c r="C13" s="940"/>
      <c r="D13" s="667" t="s">
        <v>1367</v>
      </c>
      <c r="E13" s="667">
        <v>329</v>
      </c>
      <c r="F13" s="667"/>
      <c r="G13" s="667">
        <v>329</v>
      </c>
      <c r="H13" s="668"/>
      <c r="I13" s="661"/>
      <c r="J13" s="661"/>
      <c r="K13" s="661"/>
      <c r="L13" s="661"/>
      <c r="M13" s="420"/>
      <c r="N13" s="420"/>
      <c r="O13" s="420"/>
      <c r="P13" s="420"/>
      <c r="Q13" s="420"/>
      <c r="R13" s="420"/>
      <c r="S13" s="420"/>
      <c r="T13" s="420"/>
      <c r="U13" s="420"/>
      <c r="V13" s="420"/>
      <c r="W13" s="420"/>
    </row>
    <row r="14" spans="1:23" x14ac:dyDescent="0.3">
      <c r="A14" s="937"/>
      <c r="B14" s="938"/>
      <c r="C14" s="940"/>
      <c r="D14" s="667" t="s">
        <v>1368</v>
      </c>
      <c r="E14" s="667">
        <v>2194</v>
      </c>
      <c r="F14" s="667">
        <v>566</v>
      </c>
      <c r="G14" s="667">
        <v>2760</v>
      </c>
      <c r="H14" s="668"/>
      <c r="I14" s="661"/>
      <c r="J14" s="661"/>
      <c r="K14" s="661"/>
      <c r="L14" s="661"/>
      <c r="M14" s="420"/>
      <c r="N14" s="420"/>
      <c r="O14" s="420"/>
      <c r="P14" s="420"/>
      <c r="Q14" s="420"/>
      <c r="R14" s="420"/>
      <c r="S14" s="420"/>
      <c r="T14" s="420"/>
      <c r="U14" s="420"/>
      <c r="V14" s="420"/>
      <c r="W14" s="420"/>
    </row>
    <row r="15" spans="1:23" x14ac:dyDescent="0.3">
      <c r="A15" s="937"/>
      <c r="B15" s="937"/>
      <c r="C15" s="941" t="s">
        <v>1369</v>
      </c>
      <c r="D15" s="679" t="s">
        <v>1370</v>
      </c>
      <c r="E15" s="667"/>
      <c r="F15" s="667">
        <v>4</v>
      </c>
      <c r="G15" s="667">
        <v>4</v>
      </c>
      <c r="H15" s="661"/>
      <c r="I15" s="661"/>
      <c r="J15" s="661"/>
      <c r="K15" s="661"/>
      <c r="L15" s="661"/>
      <c r="M15" s="420"/>
      <c r="N15" s="420"/>
      <c r="O15" s="420"/>
      <c r="P15" s="420"/>
      <c r="Q15" s="420"/>
      <c r="R15" s="420"/>
      <c r="S15" s="420"/>
      <c r="T15" s="420"/>
      <c r="U15" s="420"/>
      <c r="V15" s="420"/>
      <c r="W15" s="420"/>
    </row>
    <row r="16" spans="1:23" x14ac:dyDescent="0.3">
      <c r="A16" s="937"/>
      <c r="B16" s="937"/>
      <c r="C16" s="941"/>
      <c r="D16" s="679" t="s">
        <v>1371</v>
      </c>
      <c r="E16" s="667">
        <v>568</v>
      </c>
      <c r="F16" s="667">
        <v>386</v>
      </c>
      <c r="G16" s="667">
        <v>954</v>
      </c>
      <c r="H16" s="661"/>
      <c r="I16" s="661"/>
      <c r="J16" s="661"/>
      <c r="K16" s="661"/>
      <c r="L16" s="661"/>
      <c r="M16" s="420"/>
      <c r="N16" s="420"/>
      <c r="O16" s="420"/>
      <c r="P16" s="420"/>
      <c r="Q16" s="420"/>
      <c r="R16" s="420"/>
      <c r="S16" s="420"/>
      <c r="T16" s="420"/>
      <c r="U16" s="420"/>
      <c r="V16" s="420"/>
      <c r="W16" s="420"/>
    </row>
    <row r="17" spans="1:23" x14ac:dyDescent="0.3">
      <c r="A17" s="934"/>
      <c r="B17" s="934"/>
      <c r="C17" s="420"/>
      <c r="D17" s="661"/>
      <c r="E17" s="661"/>
      <c r="F17" s="661"/>
      <c r="G17" s="661"/>
      <c r="H17" s="661"/>
      <c r="I17" s="661"/>
      <c r="J17" s="661"/>
      <c r="K17" s="661"/>
      <c r="L17" s="661"/>
      <c r="M17" s="420"/>
      <c r="N17" s="420"/>
      <c r="O17" s="420"/>
      <c r="P17" s="420"/>
      <c r="Q17" s="420"/>
      <c r="R17" s="420"/>
      <c r="S17" s="420"/>
      <c r="T17" s="420"/>
      <c r="U17" s="420"/>
      <c r="V17" s="420"/>
      <c r="W17" s="420"/>
    </row>
    <row r="18" spans="1:23" x14ac:dyDescent="0.3">
      <c r="A18" s="937"/>
      <c r="B18" s="937"/>
      <c r="C18" s="942"/>
      <c r="D18" s="942"/>
      <c r="E18" s="660"/>
      <c r="F18" s="660"/>
      <c r="G18" s="420"/>
      <c r="H18" s="420"/>
      <c r="I18" s="420"/>
      <c r="J18" s="420"/>
      <c r="K18" s="420"/>
      <c r="L18" s="420"/>
      <c r="M18" s="420"/>
      <c r="N18" s="420"/>
      <c r="O18" s="420"/>
      <c r="P18" s="420"/>
      <c r="Q18" s="420"/>
      <c r="R18" s="420"/>
      <c r="S18" s="420"/>
      <c r="T18" s="420"/>
      <c r="U18" s="420"/>
      <c r="V18" s="420"/>
      <c r="W18" s="420"/>
    </row>
    <row r="19" spans="1:23" x14ac:dyDescent="0.3">
      <c r="A19" s="660"/>
      <c r="B19" s="669" t="s">
        <v>1372</v>
      </c>
      <c r="C19" s="669" t="s">
        <v>1373</v>
      </c>
      <c r="D19" s="669" t="s">
        <v>1374</v>
      </c>
      <c r="E19" s="669">
        <v>2025</v>
      </c>
      <c r="F19" s="669">
        <v>2026</v>
      </c>
      <c r="G19" s="670" t="s">
        <v>46</v>
      </c>
      <c r="H19" s="671"/>
      <c r="I19" s="671"/>
      <c r="J19" s="671"/>
      <c r="K19" s="671"/>
      <c r="L19" s="672"/>
      <c r="M19" s="660"/>
      <c r="N19" s="660"/>
      <c r="O19" s="660"/>
      <c r="P19" s="660"/>
      <c r="Q19" s="660"/>
      <c r="R19" s="660"/>
      <c r="S19" s="660"/>
      <c r="T19" s="660"/>
      <c r="U19" s="660"/>
      <c r="V19" s="660"/>
      <c r="W19" s="660"/>
    </row>
    <row r="20" spans="1:23" ht="12.6" customHeight="1" x14ac:dyDescent="0.3">
      <c r="A20" s="660"/>
      <c r="B20" s="667" t="s">
        <v>1369</v>
      </c>
      <c r="C20" s="667" t="s">
        <v>1370</v>
      </c>
      <c r="D20" s="673" t="s">
        <v>1375</v>
      </c>
      <c r="E20" s="667"/>
      <c r="F20" s="667">
        <v>1</v>
      </c>
      <c r="G20" s="674">
        <v>1</v>
      </c>
      <c r="H20" s="671"/>
      <c r="I20" s="671"/>
      <c r="J20" s="671"/>
      <c r="K20" s="671"/>
      <c r="L20" s="672"/>
      <c r="M20" s="660"/>
      <c r="N20" s="660"/>
      <c r="O20" s="660"/>
      <c r="P20" s="660"/>
      <c r="Q20" s="660"/>
      <c r="R20" s="660"/>
      <c r="S20" s="660"/>
      <c r="T20" s="660"/>
      <c r="U20" s="660"/>
      <c r="V20" s="660"/>
      <c r="W20" s="660"/>
    </row>
    <row r="21" spans="1:23" ht="12.6" customHeight="1" x14ac:dyDescent="0.3">
      <c r="A21" s="660"/>
      <c r="B21" s="667" t="s">
        <v>1369</v>
      </c>
      <c r="C21" s="667" t="s">
        <v>1370</v>
      </c>
      <c r="D21" s="673" t="s">
        <v>1376</v>
      </c>
      <c r="E21" s="667"/>
      <c r="F21" s="667">
        <v>1</v>
      </c>
      <c r="G21" s="674">
        <v>1</v>
      </c>
      <c r="H21" s="671"/>
      <c r="I21" s="671"/>
      <c r="J21" s="671"/>
      <c r="K21" s="671"/>
      <c r="L21" s="672"/>
      <c r="M21" s="660"/>
      <c r="N21" s="660"/>
      <c r="O21" s="660"/>
      <c r="P21" s="660"/>
      <c r="Q21" s="660"/>
      <c r="R21" s="660"/>
      <c r="S21" s="660"/>
      <c r="T21" s="660"/>
      <c r="U21" s="660"/>
      <c r="V21" s="660"/>
      <c r="W21" s="660"/>
    </row>
    <row r="22" spans="1:23" ht="12.6" customHeight="1" x14ac:dyDescent="0.3">
      <c r="A22" s="660"/>
      <c r="B22" s="667" t="s">
        <v>1369</v>
      </c>
      <c r="C22" s="667" t="s">
        <v>1370</v>
      </c>
      <c r="D22" s="673" t="s">
        <v>1377</v>
      </c>
      <c r="E22" s="667"/>
      <c r="F22" s="667">
        <v>1</v>
      </c>
      <c r="G22" s="674">
        <v>1</v>
      </c>
      <c r="H22" s="671"/>
      <c r="I22" s="671"/>
      <c r="J22" s="671"/>
      <c r="K22" s="671"/>
      <c r="L22" s="672"/>
      <c r="M22" s="660"/>
      <c r="N22" s="660"/>
      <c r="O22" s="660"/>
      <c r="P22" s="660"/>
      <c r="Q22" s="660"/>
      <c r="R22" s="660"/>
      <c r="S22" s="660"/>
      <c r="T22" s="660"/>
      <c r="U22" s="660"/>
      <c r="V22" s="660"/>
      <c r="W22" s="660"/>
    </row>
    <row r="23" spans="1:23" ht="12.6" customHeight="1" x14ac:dyDescent="0.3">
      <c r="A23" s="660"/>
      <c r="B23" s="667" t="s">
        <v>1369</v>
      </c>
      <c r="C23" s="667" t="s">
        <v>1370</v>
      </c>
      <c r="D23" s="673" t="s">
        <v>1378</v>
      </c>
      <c r="E23" s="667"/>
      <c r="F23" s="667">
        <v>1</v>
      </c>
      <c r="G23" s="674">
        <v>1</v>
      </c>
      <c r="H23" s="671"/>
      <c r="I23" s="671"/>
      <c r="J23" s="671"/>
      <c r="K23" s="671"/>
      <c r="L23" s="672"/>
      <c r="M23" s="660"/>
      <c r="N23" s="660"/>
      <c r="O23" s="660"/>
      <c r="P23" s="660"/>
      <c r="Q23" s="660"/>
      <c r="R23" s="660"/>
      <c r="S23" s="660"/>
      <c r="T23" s="660"/>
      <c r="U23" s="660"/>
      <c r="V23" s="660"/>
      <c r="W23" s="660"/>
    </row>
    <row r="24" spans="1:23" ht="12.6" customHeight="1" x14ac:dyDescent="0.3">
      <c r="A24" s="660"/>
      <c r="B24" s="667" t="s">
        <v>1369</v>
      </c>
      <c r="C24" s="667" t="s">
        <v>1371</v>
      </c>
      <c r="D24" s="667" t="s">
        <v>1379</v>
      </c>
      <c r="E24" s="667">
        <v>45</v>
      </c>
      <c r="F24" s="667">
        <v>21</v>
      </c>
      <c r="G24" s="674">
        <v>66</v>
      </c>
      <c r="H24" s="671"/>
      <c r="I24" s="671"/>
      <c r="J24" s="671"/>
      <c r="K24" s="671"/>
      <c r="L24" s="672"/>
      <c r="M24" s="660"/>
      <c r="N24" s="660"/>
      <c r="O24" s="660"/>
      <c r="P24" s="660"/>
      <c r="Q24" s="660"/>
      <c r="R24" s="660"/>
      <c r="S24" s="660"/>
      <c r="T24" s="660"/>
      <c r="U24" s="660"/>
      <c r="V24" s="660"/>
      <c r="W24" s="660"/>
    </row>
    <row r="25" spans="1:23" ht="12.6" customHeight="1" x14ac:dyDescent="0.3">
      <c r="A25" s="660"/>
      <c r="B25" s="667" t="s">
        <v>1369</v>
      </c>
      <c r="C25" s="667" t="s">
        <v>1371</v>
      </c>
      <c r="D25" s="667" t="s">
        <v>1380</v>
      </c>
      <c r="E25" s="667">
        <v>19</v>
      </c>
      <c r="F25" s="667">
        <v>39</v>
      </c>
      <c r="G25" s="674">
        <v>58</v>
      </c>
      <c r="H25" s="671"/>
      <c r="I25" s="671"/>
      <c r="J25" s="671"/>
      <c r="K25" s="671"/>
      <c r="L25" s="672"/>
      <c r="M25" s="660"/>
      <c r="N25" s="660"/>
      <c r="O25" s="660"/>
      <c r="P25" s="660"/>
      <c r="Q25" s="660"/>
      <c r="R25" s="660"/>
      <c r="S25" s="660"/>
      <c r="T25" s="660"/>
      <c r="U25" s="660"/>
      <c r="V25" s="660"/>
      <c r="W25" s="660"/>
    </row>
    <row r="26" spans="1:23" ht="12.6" customHeight="1" x14ac:dyDescent="0.3">
      <c r="A26" s="660"/>
      <c r="B26" s="667" t="s">
        <v>1369</v>
      </c>
      <c r="C26" s="667" t="s">
        <v>1371</v>
      </c>
      <c r="D26" s="667" t="s">
        <v>1381</v>
      </c>
      <c r="E26" s="667"/>
      <c r="F26" s="667">
        <v>75</v>
      </c>
      <c r="G26" s="674">
        <v>75</v>
      </c>
      <c r="H26" s="671"/>
      <c r="I26" s="671"/>
      <c r="J26" s="671"/>
      <c r="K26" s="671"/>
      <c r="L26" s="672"/>
      <c r="M26" s="660"/>
      <c r="N26" s="660"/>
      <c r="O26" s="660"/>
      <c r="P26" s="660"/>
      <c r="Q26" s="660"/>
      <c r="R26" s="660"/>
      <c r="S26" s="660"/>
      <c r="T26" s="660"/>
      <c r="U26" s="660"/>
      <c r="V26" s="660"/>
      <c r="W26" s="660"/>
    </row>
    <row r="27" spans="1:23" ht="12.6" customHeight="1" x14ac:dyDescent="0.3">
      <c r="A27" s="660"/>
      <c r="B27" s="667" t="s">
        <v>1369</v>
      </c>
      <c r="C27" s="667" t="s">
        <v>1371</v>
      </c>
      <c r="D27" s="667" t="s">
        <v>1382</v>
      </c>
      <c r="E27" s="667">
        <v>15</v>
      </c>
      <c r="F27" s="667"/>
      <c r="G27" s="674">
        <v>15</v>
      </c>
      <c r="H27" s="671"/>
      <c r="I27" s="671"/>
      <c r="J27" s="671"/>
      <c r="K27" s="671"/>
      <c r="L27" s="672"/>
      <c r="M27" s="660"/>
      <c r="N27" s="660"/>
      <c r="O27" s="660"/>
      <c r="P27" s="660"/>
      <c r="Q27" s="660"/>
      <c r="R27" s="660"/>
      <c r="S27" s="660"/>
      <c r="T27" s="660"/>
      <c r="U27" s="660"/>
      <c r="V27" s="660"/>
      <c r="W27" s="660"/>
    </row>
    <row r="28" spans="1:23" ht="12.6" customHeight="1" x14ac:dyDescent="0.3">
      <c r="A28" s="660"/>
      <c r="B28" s="667" t="s">
        <v>1369</v>
      </c>
      <c r="C28" s="667" t="s">
        <v>1371</v>
      </c>
      <c r="D28" s="667" t="s">
        <v>1383</v>
      </c>
      <c r="E28" s="667">
        <v>84</v>
      </c>
      <c r="F28" s="667">
        <v>24</v>
      </c>
      <c r="G28" s="674">
        <v>108</v>
      </c>
      <c r="H28" s="671"/>
      <c r="I28" s="671"/>
      <c r="J28" s="671"/>
      <c r="K28" s="671"/>
      <c r="L28" s="672"/>
      <c r="M28" s="660"/>
      <c r="N28" s="660"/>
      <c r="O28" s="660"/>
      <c r="P28" s="660"/>
      <c r="Q28" s="660"/>
      <c r="R28" s="660"/>
      <c r="S28" s="660"/>
      <c r="T28" s="660"/>
      <c r="U28" s="660"/>
      <c r="V28" s="660"/>
      <c r="W28" s="660"/>
    </row>
    <row r="29" spans="1:23" ht="12.6" customHeight="1" x14ac:dyDescent="0.3">
      <c r="A29" s="660"/>
      <c r="B29" s="667" t="s">
        <v>1369</v>
      </c>
      <c r="C29" s="667" t="s">
        <v>1371</v>
      </c>
      <c r="D29" s="667" t="s">
        <v>1384</v>
      </c>
      <c r="E29" s="667">
        <v>14</v>
      </c>
      <c r="F29" s="667"/>
      <c r="G29" s="674">
        <v>14</v>
      </c>
      <c r="H29" s="671"/>
      <c r="I29" s="671"/>
      <c r="J29" s="671"/>
      <c r="K29" s="671"/>
      <c r="L29" s="672"/>
      <c r="M29" s="660"/>
      <c r="N29" s="660"/>
      <c r="O29" s="660"/>
      <c r="P29" s="660"/>
      <c r="Q29" s="660"/>
      <c r="R29" s="660"/>
      <c r="S29" s="660"/>
      <c r="T29" s="660"/>
      <c r="U29" s="660"/>
      <c r="V29" s="660"/>
      <c r="W29" s="660"/>
    </row>
    <row r="30" spans="1:23" ht="12.6" customHeight="1" x14ac:dyDescent="0.3">
      <c r="A30" s="660"/>
      <c r="B30" s="667" t="s">
        <v>1369</v>
      </c>
      <c r="C30" s="667" t="s">
        <v>1371</v>
      </c>
      <c r="D30" s="667" t="s">
        <v>1385</v>
      </c>
      <c r="E30" s="667"/>
      <c r="F30" s="667">
        <v>60</v>
      </c>
      <c r="G30" s="674">
        <v>60</v>
      </c>
      <c r="H30" s="671"/>
      <c r="I30" s="671"/>
      <c r="J30" s="671"/>
      <c r="K30" s="671"/>
      <c r="L30" s="672"/>
      <c r="M30" s="660"/>
      <c r="N30" s="660"/>
      <c r="O30" s="660"/>
      <c r="P30" s="660"/>
      <c r="Q30" s="660"/>
      <c r="R30" s="660"/>
      <c r="S30" s="660"/>
      <c r="T30" s="660"/>
      <c r="U30" s="660"/>
      <c r="V30" s="660"/>
      <c r="W30" s="660"/>
    </row>
    <row r="31" spans="1:23" ht="12.6" customHeight="1" x14ac:dyDescent="0.3">
      <c r="A31" s="660"/>
      <c r="B31" s="667" t="s">
        <v>1369</v>
      </c>
      <c r="C31" s="667" t="s">
        <v>1371</v>
      </c>
      <c r="D31" s="667" t="s">
        <v>1386</v>
      </c>
      <c r="E31" s="667">
        <v>35</v>
      </c>
      <c r="F31" s="667"/>
      <c r="G31" s="674">
        <v>35</v>
      </c>
      <c r="H31" s="671"/>
      <c r="I31" s="671"/>
      <c r="J31" s="671"/>
      <c r="K31" s="671"/>
      <c r="L31" s="672"/>
      <c r="M31" s="660"/>
      <c r="N31" s="660"/>
      <c r="O31" s="660"/>
      <c r="P31" s="660"/>
      <c r="Q31" s="660"/>
      <c r="R31" s="660"/>
      <c r="S31" s="660"/>
      <c r="T31" s="660"/>
      <c r="U31" s="660"/>
      <c r="V31" s="660"/>
      <c r="W31" s="660"/>
    </row>
    <row r="32" spans="1:23" ht="12.6" customHeight="1" x14ac:dyDescent="0.3">
      <c r="A32" s="660"/>
      <c r="B32" s="667" t="s">
        <v>1369</v>
      </c>
      <c r="C32" s="667" t="s">
        <v>1371</v>
      </c>
      <c r="D32" s="667" t="s">
        <v>1387</v>
      </c>
      <c r="E32" s="667">
        <v>38</v>
      </c>
      <c r="F32" s="667"/>
      <c r="G32" s="674">
        <v>38</v>
      </c>
      <c r="H32" s="675"/>
      <c r="I32" s="675"/>
      <c r="J32" s="675"/>
      <c r="K32" s="675"/>
      <c r="L32" s="675"/>
      <c r="M32" s="676"/>
      <c r="N32" s="660"/>
      <c r="O32" s="660"/>
      <c r="P32" s="660"/>
      <c r="Q32" s="660"/>
      <c r="R32" s="660"/>
      <c r="S32" s="660"/>
      <c r="T32" s="660"/>
      <c r="U32" s="660"/>
      <c r="V32" s="660"/>
      <c r="W32" s="660"/>
    </row>
    <row r="33" spans="1:23" ht="12.6" customHeight="1" x14ac:dyDescent="0.3">
      <c r="A33" s="660"/>
      <c r="B33" s="667" t="s">
        <v>1369</v>
      </c>
      <c r="C33" s="667" t="s">
        <v>1371</v>
      </c>
      <c r="D33" s="667" t="s">
        <v>1388</v>
      </c>
      <c r="E33" s="667">
        <v>60</v>
      </c>
      <c r="F33" s="667"/>
      <c r="G33" s="674">
        <v>60</v>
      </c>
      <c r="H33" s="676"/>
      <c r="I33" s="676"/>
      <c r="J33" s="676"/>
      <c r="K33" s="676"/>
      <c r="L33" s="676"/>
      <c r="M33" s="676"/>
      <c r="N33" s="660"/>
      <c r="O33" s="660"/>
      <c r="P33" s="660"/>
      <c r="Q33" s="660"/>
      <c r="R33" s="660"/>
      <c r="S33" s="660"/>
      <c r="T33" s="660"/>
      <c r="U33" s="660"/>
      <c r="V33" s="660"/>
      <c r="W33" s="660"/>
    </row>
    <row r="34" spans="1:23" ht="12.6" customHeight="1" x14ac:dyDescent="0.3">
      <c r="A34" s="660"/>
      <c r="B34" s="667" t="s">
        <v>1369</v>
      </c>
      <c r="C34" s="667" t="s">
        <v>1371</v>
      </c>
      <c r="D34" s="667" t="s">
        <v>1389</v>
      </c>
      <c r="E34" s="667"/>
      <c r="F34" s="667">
        <v>50</v>
      </c>
      <c r="G34" s="674">
        <v>50</v>
      </c>
      <c r="H34" s="677"/>
      <c r="I34" s="677"/>
      <c r="J34" s="677"/>
      <c r="K34" s="677"/>
      <c r="L34" s="660"/>
      <c r="M34" s="660"/>
      <c r="N34" s="660"/>
      <c r="O34" s="660"/>
      <c r="P34" s="660"/>
      <c r="Q34" s="660"/>
      <c r="R34" s="660"/>
      <c r="S34" s="660"/>
      <c r="T34" s="660"/>
      <c r="U34" s="660"/>
      <c r="V34" s="660"/>
      <c r="W34" s="660"/>
    </row>
    <row r="35" spans="1:23" ht="12.6" customHeight="1" x14ac:dyDescent="0.3">
      <c r="A35" s="660"/>
      <c r="B35" s="667" t="s">
        <v>1369</v>
      </c>
      <c r="C35" s="667" t="s">
        <v>1371</v>
      </c>
      <c r="D35" s="667" t="s">
        <v>1390</v>
      </c>
      <c r="E35" s="667"/>
      <c r="F35" s="667">
        <v>16</v>
      </c>
      <c r="G35" s="674">
        <v>16</v>
      </c>
      <c r="H35" s="660"/>
      <c r="I35" s="660"/>
      <c r="J35" s="660"/>
      <c r="K35" s="660"/>
      <c r="L35" s="660"/>
      <c r="M35" s="660"/>
      <c r="N35" s="660"/>
      <c r="O35" s="660"/>
      <c r="P35" s="660"/>
      <c r="Q35" s="660"/>
      <c r="R35" s="660"/>
      <c r="S35" s="660"/>
      <c r="T35" s="660"/>
      <c r="U35" s="660"/>
      <c r="V35" s="660"/>
      <c r="W35" s="660"/>
    </row>
    <row r="36" spans="1:23" ht="12.6" customHeight="1" x14ac:dyDescent="0.3">
      <c r="A36" s="660"/>
      <c r="B36" s="667" t="s">
        <v>1369</v>
      </c>
      <c r="C36" s="667" t="s">
        <v>1371</v>
      </c>
      <c r="D36" s="667" t="s">
        <v>1391</v>
      </c>
      <c r="E36" s="667"/>
      <c r="F36" s="667">
        <v>32</v>
      </c>
      <c r="G36" s="674">
        <v>32</v>
      </c>
      <c r="H36" s="660"/>
      <c r="I36" s="660"/>
      <c r="J36" s="660"/>
      <c r="K36" s="660"/>
      <c r="L36" s="660"/>
      <c r="M36" s="660"/>
      <c r="N36" s="660"/>
      <c r="O36" s="660"/>
      <c r="P36" s="660"/>
      <c r="Q36" s="660"/>
      <c r="R36" s="660"/>
      <c r="S36" s="660"/>
      <c r="T36" s="660"/>
      <c r="U36" s="660"/>
      <c r="V36" s="660"/>
      <c r="W36" s="660"/>
    </row>
    <row r="37" spans="1:23" ht="12.6" customHeight="1" x14ac:dyDescent="0.3">
      <c r="A37" s="660"/>
      <c r="B37" s="667" t="s">
        <v>1369</v>
      </c>
      <c r="C37" s="667" t="s">
        <v>1371</v>
      </c>
      <c r="D37" s="667" t="s">
        <v>1392</v>
      </c>
      <c r="E37" s="667">
        <v>14</v>
      </c>
      <c r="F37" s="667"/>
      <c r="G37" s="674">
        <v>14</v>
      </c>
      <c r="H37" s="675"/>
      <c r="I37" s="675"/>
      <c r="J37" s="675"/>
      <c r="K37" s="675"/>
      <c r="L37" s="675"/>
      <c r="M37" s="672"/>
      <c r="N37" s="660"/>
      <c r="O37" s="660"/>
      <c r="P37" s="660"/>
      <c r="Q37" s="660"/>
      <c r="R37" s="660"/>
      <c r="S37" s="660"/>
      <c r="T37" s="660"/>
      <c r="U37" s="660"/>
      <c r="V37" s="660"/>
      <c r="W37" s="660"/>
    </row>
    <row r="38" spans="1:23" ht="12.6" customHeight="1" x14ac:dyDescent="0.3">
      <c r="A38" s="660"/>
      <c r="B38" s="667" t="s">
        <v>1369</v>
      </c>
      <c r="C38" s="667" t="s">
        <v>1371</v>
      </c>
      <c r="D38" s="667" t="s">
        <v>1393</v>
      </c>
      <c r="E38" s="667">
        <v>90</v>
      </c>
      <c r="F38" s="667"/>
      <c r="G38" s="674">
        <v>90</v>
      </c>
      <c r="H38" s="660"/>
      <c r="I38" s="660"/>
      <c r="J38" s="660"/>
      <c r="K38" s="660"/>
      <c r="L38" s="660"/>
      <c r="M38" s="660"/>
      <c r="N38" s="660"/>
      <c r="O38" s="660"/>
      <c r="P38" s="660"/>
      <c r="Q38" s="660"/>
      <c r="R38" s="660"/>
      <c r="S38" s="660"/>
      <c r="T38" s="660"/>
      <c r="U38" s="660"/>
      <c r="V38" s="660"/>
      <c r="W38" s="660"/>
    </row>
    <row r="39" spans="1:23" ht="12.6" customHeight="1" x14ac:dyDescent="0.3">
      <c r="A39" s="660"/>
      <c r="B39" s="667" t="s">
        <v>1369</v>
      </c>
      <c r="C39" s="667" t="s">
        <v>1371</v>
      </c>
      <c r="D39" s="667" t="s">
        <v>1394</v>
      </c>
      <c r="E39" s="667">
        <v>74</v>
      </c>
      <c r="F39" s="667"/>
      <c r="G39" s="674">
        <v>74</v>
      </c>
      <c r="H39" s="660"/>
      <c r="I39" s="660"/>
      <c r="J39" s="660"/>
      <c r="K39" s="660"/>
      <c r="L39" s="660"/>
      <c r="M39" s="660"/>
      <c r="N39" s="660"/>
      <c r="O39" s="660"/>
      <c r="P39" s="660"/>
      <c r="Q39" s="660"/>
      <c r="R39" s="660"/>
      <c r="S39" s="660"/>
      <c r="T39" s="660"/>
      <c r="U39" s="660"/>
      <c r="V39" s="660"/>
      <c r="W39" s="660"/>
    </row>
    <row r="40" spans="1:23" ht="12.6" customHeight="1" x14ac:dyDescent="0.3">
      <c r="A40" s="660"/>
      <c r="B40" s="667" t="s">
        <v>1369</v>
      </c>
      <c r="C40" s="667" t="s">
        <v>1371</v>
      </c>
      <c r="D40" s="667" t="s">
        <v>1395</v>
      </c>
      <c r="E40" s="667">
        <v>20</v>
      </c>
      <c r="F40" s="667"/>
      <c r="G40" s="674">
        <v>20</v>
      </c>
      <c r="H40" s="660"/>
      <c r="I40" s="660"/>
      <c r="J40" s="660"/>
      <c r="K40" s="660"/>
      <c r="L40" s="660"/>
      <c r="M40" s="660"/>
      <c r="N40" s="660"/>
      <c r="O40" s="660"/>
      <c r="P40" s="660"/>
      <c r="Q40" s="660"/>
      <c r="R40" s="660"/>
      <c r="S40" s="660"/>
      <c r="T40" s="660"/>
      <c r="U40" s="660"/>
      <c r="V40" s="660"/>
      <c r="W40" s="660"/>
    </row>
    <row r="41" spans="1:23" ht="12.6" customHeight="1" x14ac:dyDescent="0.3">
      <c r="A41" s="660"/>
      <c r="B41" s="667" t="s">
        <v>1369</v>
      </c>
      <c r="C41" s="667" t="s">
        <v>1371</v>
      </c>
      <c r="D41" s="667" t="s">
        <v>1396</v>
      </c>
      <c r="E41" s="667">
        <v>30</v>
      </c>
      <c r="F41" s="667"/>
      <c r="G41" s="674">
        <v>30</v>
      </c>
      <c r="H41" s="660"/>
      <c r="I41" s="660"/>
      <c r="J41" s="660"/>
      <c r="K41" s="660"/>
      <c r="L41" s="660"/>
      <c r="M41" s="660"/>
      <c r="N41" s="660"/>
      <c r="O41" s="660"/>
      <c r="P41" s="660"/>
      <c r="Q41" s="660"/>
      <c r="R41" s="660"/>
      <c r="S41" s="660"/>
      <c r="T41" s="660"/>
      <c r="U41" s="660"/>
      <c r="V41" s="660"/>
      <c r="W41" s="660"/>
    </row>
    <row r="42" spans="1:23" ht="12.6" customHeight="1" x14ac:dyDescent="0.3">
      <c r="A42" s="660"/>
      <c r="B42" s="667" t="s">
        <v>1369</v>
      </c>
      <c r="C42" s="667" t="s">
        <v>1371</v>
      </c>
      <c r="D42" s="667" t="s">
        <v>1397</v>
      </c>
      <c r="E42" s="667">
        <v>30</v>
      </c>
      <c r="F42" s="667"/>
      <c r="G42" s="674">
        <v>30</v>
      </c>
      <c r="H42" s="660"/>
      <c r="I42" s="660"/>
      <c r="J42" s="660"/>
      <c r="K42" s="660"/>
      <c r="L42" s="660"/>
      <c r="M42" s="660"/>
      <c r="N42" s="660"/>
      <c r="O42" s="660"/>
      <c r="P42" s="660"/>
      <c r="Q42" s="660"/>
      <c r="R42" s="660"/>
      <c r="S42" s="660"/>
      <c r="T42" s="660"/>
      <c r="U42" s="660"/>
      <c r="V42" s="660"/>
      <c r="W42" s="660"/>
    </row>
    <row r="43" spans="1:23" ht="12.6" customHeight="1" x14ac:dyDescent="0.3">
      <c r="A43" s="660"/>
      <c r="B43" s="667" t="s">
        <v>1369</v>
      </c>
      <c r="C43" s="667" t="s">
        <v>1371</v>
      </c>
      <c r="D43" s="667" t="s">
        <v>1398</v>
      </c>
      <c r="E43" s="667"/>
      <c r="F43" s="667">
        <v>23</v>
      </c>
      <c r="G43" s="674">
        <v>23</v>
      </c>
      <c r="H43" s="660"/>
      <c r="I43" s="660"/>
      <c r="J43" s="660"/>
      <c r="K43" s="660"/>
      <c r="L43" s="660"/>
      <c r="M43" s="660"/>
      <c r="N43" s="660"/>
      <c r="O43" s="660"/>
      <c r="P43" s="660"/>
      <c r="Q43" s="660"/>
      <c r="R43" s="660"/>
      <c r="S43" s="660"/>
      <c r="T43" s="660"/>
      <c r="U43" s="660"/>
      <c r="V43" s="660"/>
      <c r="W43" s="660"/>
    </row>
    <row r="44" spans="1:23" ht="12.6" customHeight="1" x14ac:dyDescent="0.3">
      <c r="A44" s="660"/>
      <c r="B44" s="667" t="s">
        <v>1369</v>
      </c>
      <c r="C44" s="667" t="s">
        <v>1371</v>
      </c>
      <c r="D44" s="667" t="s">
        <v>1399</v>
      </c>
      <c r="E44" s="667"/>
      <c r="F44" s="667">
        <v>46</v>
      </c>
      <c r="G44" s="674">
        <v>46</v>
      </c>
      <c r="H44" s="660"/>
      <c r="I44" s="660"/>
      <c r="J44" s="660"/>
      <c r="K44" s="660"/>
      <c r="L44" s="660"/>
      <c r="M44" s="660"/>
      <c r="N44" s="660"/>
      <c r="O44" s="660"/>
      <c r="P44" s="660"/>
      <c r="Q44" s="660"/>
      <c r="R44" s="660"/>
      <c r="S44" s="660"/>
      <c r="T44" s="660"/>
      <c r="U44" s="660"/>
      <c r="V44" s="660"/>
      <c r="W44" s="660"/>
    </row>
    <row r="45" spans="1:23" ht="12.6" customHeight="1" x14ac:dyDescent="0.3">
      <c r="A45" s="660"/>
      <c r="B45" s="667" t="s">
        <v>1359</v>
      </c>
      <c r="C45" s="667" t="s">
        <v>1360</v>
      </c>
      <c r="D45" s="667" t="s">
        <v>1400</v>
      </c>
      <c r="E45" s="667"/>
      <c r="F45" s="667">
        <v>400</v>
      </c>
      <c r="G45" s="674">
        <v>400</v>
      </c>
      <c r="H45" s="660"/>
      <c r="I45" s="660"/>
      <c r="J45" s="660"/>
      <c r="K45" s="660"/>
      <c r="L45" s="660"/>
      <c r="M45" s="660"/>
      <c r="N45" s="660"/>
      <c r="O45" s="660"/>
      <c r="P45" s="660"/>
      <c r="Q45" s="660"/>
      <c r="R45" s="660"/>
      <c r="S45" s="660"/>
      <c r="T45" s="660"/>
      <c r="U45" s="660"/>
      <c r="V45" s="660"/>
      <c r="W45" s="660"/>
    </row>
    <row r="46" spans="1:23" ht="12.6" customHeight="1" x14ac:dyDescent="0.3">
      <c r="A46" s="660"/>
      <c r="B46" s="667" t="s">
        <v>1359</v>
      </c>
      <c r="C46" s="667" t="s">
        <v>1360</v>
      </c>
      <c r="D46" s="667" t="s">
        <v>1401</v>
      </c>
      <c r="E46" s="667"/>
      <c r="F46" s="667">
        <v>650</v>
      </c>
      <c r="G46" s="674">
        <v>650</v>
      </c>
      <c r="H46" s="660"/>
      <c r="I46" s="660"/>
      <c r="J46" s="660"/>
      <c r="K46" s="660"/>
      <c r="L46" s="660"/>
      <c r="M46" s="660"/>
      <c r="N46" s="660"/>
      <c r="O46" s="660"/>
      <c r="P46" s="660"/>
      <c r="Q46" s="660"/>
      <c r="R46" s="660"/>
      <c r="S46" s="660"/>
      <c r="T46" s="660"/>
      <c r="U46" s="660"/>
      <c r="V46" s="660"/>
      <c r="W46" s="660"/>
    </row>
    <row r="47" spans="1:23" ht="12.6" customHeight="1" x14ac:dyDescent="0.3">
      <c r="A47" s="660"/>
      <c r="B47" s="667" t="s">
        <v>1359</v>
      </c>
      <c r="C47" s="667" t="s">
        <v>1360</v>
      </c>
      <c r="D47" s="667" t="s">
        <v>1402</v>
      </c>
      <c r="E47" s="667">
        <v>1370</v>
      </c>
      <c r="F47" s="667"/>
      <c r="G47" s="678">
        <v>1370</v>
      </c>
      <c r="H47" s="660"/>
      <c r="I47" s="660"/>
      <c r="J47" s="660"/>
      <c r="K47" s="660"/>
      <c r="L47" s="660"/>
      <c r="M47" s="660"/>
      <c r="N47" s="660"/>
      <c r="O47" s="660"/>
      <c r="P47" s="660"/>
      <c r="Q47" s="660"/>
      <c r="R47" s="660"/>
      <c r="S47" s="660"/>
      <c r="T47" s="660"/>
      <c r="U47" s="660"/>
      <c r="V47" s="660"/>
      <c r="W47" s="660"/>
    </row>
    <row r="48" spans="1:23" ht="12.6" customHeight="1" x14ac:dyDescent="0.3">
      <c r="A48" s="660"/>
      <c r="B48" s="667" t="s">
        <v>1359</v>
      </c>
      <c r="C48" s="667" t="s">
        <v>1360</v>
      </c>
      <c r="D48" s="667" t="s">
        <v>1403</v>
      </c>
      <c r="E48" s="667">
        <v>1730</v>
      </c>
      <c r="F48" s="667"/>
      <c r="G48" s="678">
        <v>1730</v>
      </c>
      <c r="H48" s="660"/>
      <c r="I48" s="660"/>
      <c r="J48" s="660"/>
      <c r="K48" s="660"/>
      <c r="L48" s="660"/>
      <c r="M48" s="660"/>
      <c r="N48" s="660"/>
      <c r="O48" s="660"/>
      <c r="P48" s="660"/>
      <c r="Q48" s="660"/>
      <c r="R48" s="660"/>
      <c r="S48" s="660"/>
      <c r="T48" s="660"/>
      <c r="U48" s="660"/>
      <c r="V48" s="660"/>
      <c r="W48" s="660"/>
    </row>
    <row r="49" spans="1:23" ht="12.6" customHeight="1" x14ac:dyDescent="0.3">
      <c r="A49" s="660"/>
      <c r="B49" s="667" t="s">
        <v>1359</v>
      </c>
      <c r="C49" s="667" t="s">
        <v>1360</v>
      </c>
      <c r="D49" s="667" t="s">
        <v>1404</v>
      </c>
      <c r="E49" s="667">
        <v>600</v>
      </c>
      <c r="F49" s="667"/>
      <c r="G49" s="674">
        <v>600</v>
      </c>
      <c r="H49" s="660"/>
      <c r="I49" s="660"/>
      <c r="J49" s="660"/>
      <c r="K49" s="660"/>
      <c r="L49" s="660"/>
      <c r="M49" s="660"/>
      <c r="N49" s="660"/>
      <c r="O49" s="660"/>
      <c r="P49" s="660"/>
      <c r="Q49" s="660"/>
      <c r="R49" s="660"/>
      <c r="S49" s="660"/>
      <c r="T49" s="660"/>
      <c r="U49" s="660"/>
      <c r="V49" s="660"/>
      <c r="W49" s="660"/>
    </row>
    <row r="50" spans="1:23" ht="12.6" customHeight="1" x14ac:dyDescent="0.3">
      <c r="A50" s="660"/>
      <c r="B50" s="667" t="s">
        <v>1359</v>
      </c>
      <c r="C50" s="667" t="s">
        <v>1360</v>
      </c>
      <c r="D50" s="667" t="s">
        <v>1405</v>
      </c>
      <c r="E50" s="667">
        <v>530</v>
      </c>
      <c r="F50" s="667"/>
      <c r="G50" s="674">
        <v>530</v>
      </c>
      <c r="H50" s="660"/>
      <c r="I50" s="660"/>
      <c r="J50" s="660"/>
      <c r="K50" s="660"/>
      <c r="L50" s="660"/>
      <c r="M50" s="660"/>
      <c r="N50" s="660"/>
      <c r="O50" s="660"/>
      <c r="P50" s="660"/>
      <c r="Q50" s="660"/>
      <c r="R50" s="660"/>
      <c r="S50" s="660"/>
      <c r="T50" s="660"/>
      <c r="U50" s="660"/>
      <c r="V50" s="660"/>
      <c r="W50" s="660"/>
    </row>
    <row r="51" spans="1:23" ht="12.6" customHeight="1" x14ac:dyDescent="0.3">
      <c r="A51" s="660"/>
      <c r="B51" s="667" t="s">
        <v>1359</v>
      </c>
      <c r="C51" s="667" t="s">
        <v>1360</v>
      </c>
      <c r="D51" s="667" t="s">
        <v>1406</v>
      </c>
      <c r="E51" s="667">
        <v>1200</v>
      </c>
      <c r="F51" s="667"/>
      <c r="G51" s="678">
        <v>1200</v>
      </c>
      <c r="H51" s="660"/>
      <c r="I51" s="660"/>
      <c r="J51" s="660"/>
      <c r="K51" s="660"/>
      <c r="L51" s="660"/>
      <c r="M51" s="660"/>
      <c r="N51" s="660"/>
      <c r="O51" s="660"/>
      <c r="P51" s="660"/>
      <c r="Q51" s="660"/>
      <c r="R51" s="660"/>
      <c r="S51" s="660"/>
      <c r="T51" s="660"/>
      <c r="U51" s="660"/>
      <c r="V51" s="660"/>
      <c r="W51" s="660"/>
    </row>
    <row r="52" spans="1:23" ht="12.6" customHeight="1" x14ac:dyDescent="0.3">
      <c r="A52" s="660"/>
      <c r="B52" s="667" t="s">
        <v>1359</v>
      </c>
      <c r="C52" s="667" t="s">
        <v>1360</v>
      </c>
      <c r="D52" s="667" t="s">
        <v>1407</v>
      </c>
      <c r="E52" s="667">
        <v>750</v>
      </c>
      <c r="F52" s="667"/>
      <c r="G52" s="674">
        <v>750</v>
      </c>
      <c r="H52" s="660"/>
      <c r="I52" s="660"/>
      <c r="J52" s="660"/>
      <c r="K52" s="660"/>
      <c r="L52" s="660"/>
      <c r="M52" s="660"/>
      <c r="N52" s="660"/>
      <c r="O52" s="660"/>
      <c r="P52" s="660"/>
      <c r="Q52" s="660"/>
      <c r="R52" s="660"/>
      <c r="S52" s="660"/>
      <c r="T52" s="660"/>
      <c r="U52" s="660"/>
      <c r="V52" s="660"/>
      <c r="W52" s="660"/>
    </row>
    <row r="53" spans="1:23" ht="12.6" customHeight="1" x14ac:dyDescent="0.3">
      <c r="A53" s="660"/>
      <c r="B53" s="667" t="s">
        <v>1359</v>
      </c>
      <c r="C53" s="667" t="s">
        <v>1360</v>
      </c>
      <c r="D53" s="667" t="s">
        <v>1408</v>
      </c>
      <c r="E53" s="667">
        <v>1600</v>
      </c>
      <c r="F53" s="667"/>
      <c r="G53" s="678">
        <v>1600</v>
      </c>
      <c r="H53" s="660"/>
      <c r="I53" s="660"/>
      <c r="J53" s="660"/>
      <c r="K53" s="660"/>
      <c r="L53" s="660"/>
      <c r="M53" s="660"/>
      <c r="N53" s="660"/>
      <c r="O53" s="660"/>
      <c r="P53" s="660"/>
      <c r="Q53" s="660"/>
      <c r="R53" s="660"/>
      <c r="S53" s="660"/>
      <c r="T53" s="660"/>
      <c r="U53" s="660"/>
      <c r="V53" s="660"/>
      <c r="W53" s="660"/>
    </row>
    <row r="54" spans="1:23" ht="12.6" customHeight="1" x14ac:dyDescent="0.3">
      <c r="A54" s="660"/>
      <c r="B54" s="667" t="s">
        <v>1359</v>
      </c>
      <c r="C54" s="667" t="s">
        <v>1360</v>
      </c>
      <c r="D54" s="667" t="s">
        <v>1409</v>
      </c>
      <c r="E54" s="667">
        <v>800</v>
      </c>
      <c r="F54" s="667"/>
      <c r="G54" s="674">
        <v>800</v>
      </c>
      <c r="H54" s="660"/>
      <c r="I54" s="660"/>
      <c r="J54" s="660"/>
      <c r="K54" s="660"/>
      <c r="L54" s="660"/>
      <c r="M54" s="660"/>
      <c r="N54" s="660"/>
      <c r="O54" s="660"/>
      <c r="P54" s="660"/>
      <c r="Q54" s="660"/>
      <c r="R54" s="660"/>
      <c r="S54" s="660"/>
      <c r="T54" s="660"/>
      <c r="U54" s="660"/>
      <c r="V54" s="660"/>
      <c r="W54" s="660"/>
    </row>
    <row r="55" spans="1:23" ht="12.6" customHeight="1" x14ac:dyDescent="0.3">
      <c r="A55" s="660"/>
      <c r="B55" s="667" t="s">
        <v>1359</v>
      </c>
      <c r="C55" s="667" t="s">
        <v>1360</v>
      </c>
      <c r="D55" s="667" t="s">
        <v>1410</v>
      </c>
      <c r="E55" s="667">
        <v>380</v>
      </c>
      <c r="F55" s="667">
        <v>881</v>
      </c>
      <c r="G55" s="678">
        <v>1261</v>
      </c>
      <c r="H55" s="660"/>
      <c r="I55" s="660"/>
      <c r="J55" s="660"/>
      <c r="K55" s="660"/>
      <c r="L55" s="660"/>
      <c r="M55" s="660"/>
      <c r="N55" s="660"/>
      <c r="O55" s="660"/>
      <c r="P55" s="660"/>
      <c r="Q55" s="660"/>
      <c r="R55" s="660"/>
      <c r="S55" s="660"/>
      <c r="T55" s="660"/>
      <c r="U55" s="660"/>
      <c r="V55" s="660"/>
      <c r="W55" s="660"/>
    </row>
    <row r="56" spans="1:23" ht="12.6" customHeight="1" x14ac:dyDescent="0.3">
      <c r="A56" s="660"/>
      <c r="B56" s="667" t="s">
        <v>1359</v>
      </c>
      <c r="C56" s="667" t="s">
        <v>1360</v>
      </c>
      <c r="D56" s="667" t="s">
        <v>1411</v>
      </c>
      <c r="E56" s="667">
        <v>600</v>
      </c>
      <c r="F56" s="667"/>
      <c r="G56" s="674">
        <v>600</v>
      </c>
      <c r="H56" s="660"/>
      <c r="I56" s="660"/>
      <c r="J56" s="660"/>
      <c r="K56" s="660"/>
      <c r="L56" s="660"/>
      <c r="M56" s="660"/>
      <c r="N56" s="660"/>
      <c r="O56" s="660"/>
      <c r="P56" s="660"/>
      <c r="Q56" s="660"/>
      <c r="R56" s="660"/>
      <c r="S56" s="660"/>
      <c r="T56" s="660"/>
      <c r="U56" s="660"/>
      <c r="V56" s="660"/>
      <c r="W56" s="660"/>
    </row>
    <row r="57" spans="1:23" ht="12.6" customHeight="1" x14ac:dyDescent="0.3">
      <c r="A57" s="660"/>
      <c r="B57" s="667" t="s">
        <v>1359</v>
      </c>
      <c r="C57" s="667" t="s">
        <v>1360</v>
      </c>
      <c r="D57" s="667" t="s">
        <v>1412</v>
      </c>
      <c r="E57" s="667">
        <v>560</v>
      </c>
      <c r="F57" s="667"/>
      <c r="G57" s="674">
        <v>560</v>
      </c>
      <c r="H57" s="660"/>
      <c r="I57" s="660"/>
      <c r="J57" s="660"/>
      <c r="K57" s="660"/>
      <c r="L57" s="660"/>
      <c r="M57" s="660"/>
      <c r="N57" s="660"/>
      <c r="O57" s="660"/>
      <c r="P57" s="660"/>
      <c r="Q57" s="660"/>
      <c r="R57" s="660"/>
      <c r="S57" s="660"/>
      <c r="T57" s="660"/>
      <c r="U57" s="660"/>
      <c r="V57" s="660"/>
      <c r="W57" s="660"/>
    </row>
    <row r="58" spans="1:23" ht="12.6" customHeight="1" x14ac:dyDescent="0.3">
      <c r="A58" s="660"/>
      <c r="B58" s="667" t="s">
        <v>1359</v>
      </c>
      <c r="C58" s="667" t="s">
        <v>1360</v>
      </c>
      <c r="D58" s="667" t="s">
        <v>1413</v>
      </c>
      <c r="E58" s="667">
        <v>120</v>
      </c>
      <c r="F58" s="667"/>
      <c r="G58" s="674">
        <v>120</v>
      </c>
      <c r="H58" s="660"/>
      <c r="I58" s="660"/>
      <c r="J58" s="660"/>
      <c r="K58" s="660"/>
      <c r="L58" s="660"/>
      <c r="M58" s="660"/>
      <c r="N58" s="660"/>
      <c r="O58" s="660"/>
      <c r="P58" s="660"/>
      <c r="Q58" s="660"/>
      <c r="R58" s="660"/>
      <c r="S58" s="660"/>
      <c r="T58" s="660"/>
      <c r="U58" s="660"/>
      <c r="V58" s="660"/>
      <c r="W58" s="660"/>
    </row>
    <row r="59" spans="1:23" ht="12.6" customHeight="1" x14ac:dyDescent="0.3">
      <c r="A59" s="660"/>
      <c r="B59" s="667" t="s">
        <v>1359</v>
      </c>
      <c r="C59" s="667" t="s">
        <v>1360</v>
      </c>
      <c r="D59" s="667" t="s">
        <v>1414</v>
      </c>
      <c r="E59" s="667">
        <v>200</v>
      </c>
      <c r="F59" s="667"/>
      <c r="G59" s="674">
        <v>200</v>
      </c>
      <c r="H59" s="660"/>
      <c r="I59" s="660"/>
      <c r="J59" s="660"/>
      <c r="K59" s="660"/>
      <c r="L59" s="660"/>
      <c r="M59" s="660"/>
      <c r="N59" s="660"/>
      <c r="O59" s="660"/>
      <c r="P59" s="660"/>
      <c r="Q59" s="660"/>
      <c r="R59" s="660"/>
      <c r="S59" s="660"/>
      <c r="T59" s="660"/>
      <c r="U59" s="660"/>
      <c r="V59" s="660"/>
      <c r="W59" s="660"/>
    </row>
    <row r="60" spans="1:23" ht="12.6" customHeight="1" x14ac:dyDescent="0.3">
      <c r="A60" s="660"/>
      <c r="B60" s="667" t="s">
        <v>1359</v>
      </c>
      <c r="C60" s="667" t="s">
        <v>1360</v>
      </c>
      <c r="D60" s="667" t="s">
        <v>1415</v>
      </c>
      <c r="E60" s="667">
        <v>700</v>
      </c>
      <c r="F60" s="667"/>
      <c r="G60" s="674">
        <v>700</v>
      </c>
      <c r="H60" s="660"/>
      <c r="I60" s="660"/>
      <c r="J60" s="660"/>
      <c r="K60" s="660"/>
      <c r="L60" s="660"/>
      <c r="M60" s="660"/>
      <c r="N60" s="660"/>
      <c r="O60" s="660"/>
      <c r="P60" s="660"/>
      <c r="Q60" s="660"/>
      <c r="R60" s="660"/>
      <c r="S60" s="660"/>
      <c r="T60" s="660"/>
      <c r="U60" s="660"/>
      <c r="V60" s="660"/>
      <c r="W60" s="660"/>
    </row>
    <row r="61" spans="1:23" ht="12.6" customHeight="1" x14ac:dyDescent="0.3">
      <c r="A61" s="660"/>
      <c r="B61" s="667" t="s">
        <v>1359</v>
      </c>
      <c r="C61" s="667" t="s">
        <v>1360</v>
      </c>
      <c r="D61" s="667" t="s">
        <v>1416</v>
      </c>
      <c r="E61" s="667">
        <v>950</v>
      </c>
      <c r="F61" s="667"/>
      <c r="G61" s="674">
        <v>950</v>
      </c>
      <c r="H61" s="660"/>
      <c r="I61" s="660"/>
      <c r="J61" s="660"/>
      <c r="K61" s="660"/>
      <c r="L61" s="660"/>
      <c r="M61" s="660"/>
      <c r="N61" s="660"/>
      <c r="O61" s="660"/>
      <c r="P61" s="660"/>
      <c r="Q61" s="660"/>
      <c r="R61" s="660"/>
      <c r="S61" s="660"/>
      <c r="T61" s="660"/>
      <c r="U61" s="660"/>
      <c r="V61" s="660"/>
      <c r="W61" s="660"/>
    </row>
    <row r="62" spans="1:23" ht="12.6" customHeight="1" x14ac:dyDescent="0.3">
      <c r="A62" s="660"/>
      <c r="B62" s="667" t="s">
        <v>1359</v>
      </c>
      <c r="C62" s="667" t="s">
        <v>1360</v>
      </c>
      <c r="D62" s="667" t="s">
        <v>1417</v>
      </c>
      <c r="E62" s="667">
        <v>80</v>
      </c>
      <c r="F62" s="667"/>
      <c r="G62" s="674">
        <v>80</v>
      </c>
      <c r="H62" s="660"/>
      <c r="I62" s="660"/>
      <c r="J62" s="660"/>
      <c r="K62" s="660"/>
      <c r="L62" s="660"/>
      <c r="M62" s="660"/>
      <c r="N62" s="660"/>
      <c r="O62" s="660"/>
      <c r="P62" s="660"/>
      <c r="Q62" s="660"/>
      <c r="R62" s="660"/>
      <c r="S62" s="660"/>
      <c r="T62" s="660"/>
      <c r="U62" s="660"/>
      <c r="V62" s="660"/>
      <c r="W62" s="660"/>
    </row>
    <row r="63" spans="1:23" ht="12.6" customHeight="1" x14ac:dyDescent="0.3">
      <c r="A63" s="660"/>
      <c r="B63" s="667" t="s">
        <v>1359</v>
      </c>
      <c r="C63" s="667" t="s">
        <v>1360</v>
      </c>
      <c r="D63" s="667" t="s">
        <v>1418</v>
      </c>
      <c r="E63" s="667">
        <v>650</v>
      </c>
      <c r="F63" s="667"/>
      <c r="G63" s="674">
        <v>650</v>
      </c>
      <c r="H63" s="660"/>
      <c r="I63" s="660"/>
      <c r="J63" s="660"/>
      <c r="K63" s="660"/>
      <c r="L63" s="660"/>
      <c r="M63" s="660"/>
      <c r="N63" s="660"/>
      <c r="O63" s="660"/>
      <c r="P63" s="660"/>
      <c r="Q63" s="660"/>
      <c r="R63" s="660"/>
      <c r="S63" s="660"/>
      <c r="T63" s="660"/>
      <c r="U63" s="660"/>
      <c r="V63" s="660"/>
      <c r="W63" s="660"/>
    </row>
    <row r="64" spans="1:23" ht="12.6" customHeight="1" x14ac:dyDescent="0.3">
      <c r="A64" s="660"/>
      <c r="B64" s="667" t="s">
        <v>1359</v>
      </c>
      <c r="C64" s="667" t="s">
        <v>1360</v>
      </c>
      <c r="D64" s="667" t="s">
        <v>1419</v>
      </c>
      <c r="E64" s="667"/>
      <c r="F64" s="667">
        <v>700</v>
      </c>
      <c r="G64" s="674">
        <v>700</v>
      </c>
      <c r="H64" s="660"/>
      <c r="I64" s="660"/>
      <c r="J64" s="660"/>
      <c r="K64" s="660"/>
      <c r="L64" s="660"/>
      <c r="M64" s="660"/>
      <c r="N64" s="660"/>
      <c r="O64" s="660"/>
      <c r="P64" s="660"/>
      <c r="Q64" s="660"/>
      <c r="R64" s="660"/>
      <c r="S64" s="660"/>
      <c r="T64" s="660"/>
      <c r="U64" s="660"/>
      <c r="V64" s="660"/>
      <c r="W64" s="660"/>
    </row>
    <row r="65" spans="1:23" ht="12.6" customHeight="1" x14ac:dyDescent="0.3">
      <c r="A65" s="660"/>
      <c r="B65" s="667" t="s">
        <v>1359</v>
      </c>
      <c r="C65" s="667" t="s">
        <v>1360</v>
      </c>
      <c r="D65" s="667" t="s">
        <v>1420</v>
      </c>
      <c r="E65" s="667"/>
      <c r="F65" s="667">
        <v>850</v>
      </c>
      <c r="G65" s="674">
        <v>850</v>
      </c>
      <c r="H65" s="660"/>
      <c r="I65" s="660"/>
      <c r="J65" s="660"/>
      <c r="K65" s="660"/>
      <c r="L65" s="660"/>
      <c r="M65" s="660"/>
      <c r="N65" s="660"/>
      <c r="O65" s="660"/>
      <c r="P65" s="660"/>
      <c r="Q65" s="660"/>
      <c r="R65" s="660"/>
      <c r="S65" s="660"/>
      <c r="T65" s="660"/>
      <c r="U65" s="660"/>
      <c r="V65" s="660"/>
      <c r="W65" s="660"/>
    </row>
    <row r="66" spans="1:23" ht="12.6" customHeight="1" x14ac:dyDescent="0.3">
      <c r="A66" s="660"/>
      <c r="B66" s="667" t="s">
        <v>1359</v>
      </c>
      <c r="C66" s="667" t="s">
        <v>1360</v>
      </c>
      <c r="D66" s="667" t="s">
        <v>1421</v>
      </c>
      <c r="E66" s="667"/>
      <c r="F66" s="667">
        <v>600</v>
      </c>
      <c r="G66" s="674">
        <v>600</v>
      </c>
      <c r="H66" s="660"/>
      <c r="I66" s="660"/>
      <c r="J66" s="660"/>
      <c r="K66" s="660"/>
      <c r="L66" s="660"/>
      <c r="M66" s="660"/>
      <c r="N66" s="660"/>
      <c r="O66" s="660"/>
      <c r="P66" s="660"/>
      <c r="Q66" s="660"/>
      <c r="R66" s="660"/>
      <c r="S66" s="660"/>
      <c r="T66" s="660"/>
      <c r="U66" s="660"/>
      <c r="V66" s="660"/>
      <c r="W66" s="660"/>
    </row>
    <row r="67" spans="1:23" ht="12.6" customHeight="1" x14ac:dyDescent="0.3">
      <c r="A67" s="660"/>
      <c r="B67" s="667" t="s">
        <v>1359</v>
      </c>
      <c r="C67" s="667" t="s">
        <v>1360</v>
      </c>
      <c r="D67" s="667" t="s">
        <v>1422</v>
      </c>
      <c r="E67" s="667"/>
      <c r="F67" s="667">
        <v>200</v>
      </c>
      <c r="G67" s="674">
        <v>200</v>
      </c>
      <c r="H67" s="660"/>
      <c r="I67" s="660"/>
      <c r="J67" s="660"/>
      <c r="K67" s="660"/>
      <c r="L67" s="660"/>
      <c r="M67" s="660"/>
      <c r="N67" s="660"/>
      <c r="O67" s="660"/>
      <c r="P67" s="660"/>
      <c r="Q67" s="660"/>
      <c r="R67" s="660"/>
      <c r="S67" s="660"/>
      <c r="T67" s="660"/>
      <c r="U67" s="660"/>
      <c r="V67" s="660"/>
      <c r="W67" s="660"/>
    </row>
    <row r="68" spans="1:23" ht="12.6" customHeight="1" x14ac:dyDescent="0.3">
      <c r="A68" s="660"/>
      <c r="B68" s="667" t="s">
        <v>1359</v>
      </c>
      <c r="C68" s="667" t="s">
        <v>1360</v>
      </c>
      <c r="D68" s="667" t="s">
        <v>1423</v>
      </c>
      <c r="E68" s="667"/>
      <c r="F68" s="667">
        <v>1050</v>
      </c>
      <c r="G68" s="678">
        <v>1050</v>
      </c>
      <c r="H68" s="660"/>
      <c r="I68" s="660"/>
      <c r="J68" s="660"/>
      <c r="K68" s="660"/>
      <c r="L68" s="660"/>
      <c r="M68" s="660"/>
      <c r="N68" s="660"/>
      <c r="O68" s="660"/>
      <c r="P68" s="660"/>
      <c r="Q68" s="660"/>
      <c r="R68" s="660"/>
      <c r="S68" s="660"/>
      <c r="T68" s="660"/>
      <c r="U68" s="660"/>
      <c r="V68" s="660"/>
      <c r="W68" s="660"/>
    </row>
    <row r="69" spans="1:23" ht="12.6" customHeight="1" x14ac:dyDescent="0.3">
      <c r="A69" s="660"/>
      <c r="B69" s="667" t="s">
        <v>1424</v>
      </c>
      <c r="C69" s="667" t="s">
        <v>1362</v>
      </c>
      <c r="D69" s="667" t="s">
        <v>1425</v>
      </c>
      <c r="E69" s="667">
        <v>50</v>
      </c>
      <c r="F69" s="667"/>
      <c r="G69" s="674">
        <v>50</v>
      </c>
      <c r="H69" s="660"/>
      <c r="I69" s="660"/>
      <c r="J69" s="660"/>
      <c r="K69" s="660"/>
      <c r="L69" s="660"/>
      <c r="M69" s="660"/>
      <c r="N69" s="660"/>
      <c r="O69" s="660"/>
      <c r="P69" s="660"/>
      <c r="Q69" s="660"/>
      <c r="R69" s="660"/>
      <c r="S69" s="660"/>
      <c r="T69" s="660"/>
      <c r="U69" s="660"/>
      <c r="V69" s="660"/>
      <c r="W69" s="660"/>
    </row>
    <row r="70" spans="1:23" ht="12.6" customHeight="1" x14ac:dyDescent="0.3">
      <c r="A70" s="660"/>
      <c r="B70" s="667" t="s">
        <v>1424</v>
      </c>
      <c r="C70" s="667" t="s">
        <v>1362</v>
      </c>
      <c r="D70" s="667" t="s">
        <v>1426</v>
      </c>
      <c r="E70" s="667"/>
      <c r="F70" s="667">
        <v>80</v>
      </c>
      <c r="G70" s="674">
        <v>80</v>
      </c>
      <c r="H70" s="660"/>
      <c r="I70" s="660"/>
      <c r="J70" s="660"/>
      <c r="K70" s="660"/>
      <c r="L70" s="660"/>
      <c r="M70" s="660"/>
      <c r="N70" s="660"/>
      <c r="O70" s="660"/>
      <c r="P70" s="660"/>
      <c r="Q70" s="660"/>
      <c r="R70" s="660"/>
      <c r="S70" s="660"/>
      <c r="T70" s="660"/>
      <c r="U70" s="660"/>
      <c r="V70" s="660"/>
      <c r="W70" s="660"/>
    </row>
    <row r="71" spans="1:23" ht="12.6" customHeight="1" x14ac:dyDescent="0.3">
      <c r="A71" s="660"/>
      <c r="B71" s="667" t="s">
        <v>1424</v>
      </c>
      <c r="C71" s="667" t="s">
        <v>1362</v>
      </c>
      <c r="D71" s="667" t="s">
        <v>1427</v>
      </c>
      <c r="E71" s="667"/>
      <c r="F71" s="667">
        <v>18</v>
      </c>
      <c r="G71" s="674">
        <v>18</v>
      </c>
      <c r="H71" s="660"/>
      <c r="I71" s="660"/>
      <c r="J71" s="660"/>
      <c r="K71" s="660"/>
      <c r="L71" s="660"/>
      <c r="M71" s="660"/>
      <c r="N71" s="660"/>
      <c r="O71" s="660"/>
      <c r="P71" s="660"/>
      <c r="Q71" s="660"/>
      <c r="R71" s="660"/>
      <c r="S71" s="660"/>
      <c r="T71" s="660"/>
      <c r="U71" s="660"/>
      <c r="V71" s="660"/>
      <c r="W71" s="660"/>
    </row>
    <row r="72" spans="1:23" ht="12.6" customHeight="1" x14ac:dyDescent="0.3">
      <c r="A72" s="660"/>
      <c r="B72" s="667" t="s">
        <v>1424</v>
      </c>
      <c r="C72" s="667" t="s">
        <v>1362</v>
      </c>
      <c r="D72" s="667" t="s">
        <v>1428</v>
      </c>
      <c r="E72" s="667"/>
      <c r="F72" s="667">
        <v>60</v>
      </c>
      <c r="G72" s="674">
        <v>60</v>
      </c>
      <c r="H72" s="660"/>
      <c r="I72" s="660"/>
      <c r="J72" s="660"/>
      <c r="K72" s="660"/>
      <c r="L72" s="660"/>
      <c r="M72" s="660"/>
      <c r="N72" s="660"/>
      <c r="O72" s="660"/>
      <c r="P72" s="660"/>
      <c r="Q72" s="660"/>
      <c r="R72" s="660"/>
      <c r="S72" s="660"/>
      <c r="T72" s="660"/>
      <c r="U72" s="660"/>
      <c r="V72" s="660"/>
      <c r="W72" s="660"/>
    </row>
    <row r="73" spans="1:23" ht="12.6" customHeight="1" x14ac:dyDescent="0.3">
      <c r="A73" s="660"/>
      <c r="B73" s="667" t="s">
        <v>1424</v>
      </c>
      <c r="C73" s="667" t="s">
        <v>1362</v>
      </c>
      <c r="D73" s="667" t="s">
        <v>1429</v>
      </c>
      <c r="E73" s="667">
        <v>49</v>
      </c>
      <c r="F73" s="667"/>
      <c r="G73" s="674">
        <v>49</v>
      </c>
      <c r="H73" s="660"/>
      <c r="I73" s="660"/>
      <c r="J73" s="660"/>
      <c r="K73" s="660"/>
      <c r="L73" s="660"/>
      <c r="M73" s="660"/>
      <c r="N73" s="660"/>
      <c r="O73" s="660"/>
      <c r="P73" s="660"/>
      <c r="Q73" s="660"/>
      <c r="R73" s="660"/>
      <c r="S73" s="660"/>
      <c r="T73" s="660"/>
      <c r="U73" s="660"/>
      <c r="V73" s="660"/>
      <c r="W73" s="660"/>
    </row>
    <row r="74" spans="1:23" ht="12.6" customHeight="1" x14ac:dyDescent="0.3">
      <c r="A74" s="660"/>
      <c r="B74" s="667" t="s">
        <v>1424</v>
      </c>
      <c r="C74" s="667" t="s">
        <v>1362</v>
      </c>
      <c r="D74" s="667" t="s">
        <v>1430</v>
      </c>
      <c r="E74" s="667">
        <v>20</v>
      </c>
      <c r="F74" s="667"/>
      <c r="G74" s="674">
        <v>20</v>
      </c>
      <c r="H74" s="660"/>
      <c r="I74" s="660"/>
      <c r="J74" s="660"/>
      <c r="K74" s="660"/>
      <c r="L74" s="660"/>
      <c r="M74" s="660"/>
      <c r="N74" s="660"/>
      <c r="O74" s="660"/>
      <c r="P74" s="660"/>
      <c r="Q74" s="660"/>
      <c r="R74" s="660"/>
      <c r="S74" s="660"/>
      <c r="T74" s="660"/>
      <c r="U74" s="660"/>
      <c r="V74" s="660"/>
      <c r="W74" s="660"/>
    </row>
    <row r="75" spans="1:23" ht="12.6" customHeight="1" x14ac:dyDescent="0.3">
      <c r="A75" s="660"/>
      <c r="B75" s="667" t="s">
        <v>1424</v>
      </c>
      <c r="C75" s="667" t="s">
        <v>1362</v>
      </c>
      <c r="D75" s="667" t="s">
        <v>1431</v>
      </c>
      <c r="E75" s="667"/>
      <c r="F75" s="667">
        <v>40</v>
      </c>
      <c r="G75" s="674">
        <v>40</v>
      </c>
      <c r="H75" s="660"/>
      <c r="I75" s="660"/>
      <c r="J75" s="660"/>
      <c r="K75" s="660"/>
      <c r="L75" s="660"/>
      <c r="M75" s="660"/>
      <c r="N75" s="660"/>
      <c r="O75" s="660"/>
      <c r="P75" s="660"/>
      <c r="Q75" s="660"/>
      <c r="R75" s="660"/>
      <c r="S75" s="660"/>
      <c r="T75" s="660"/>
      <c r="U75" s="660"/>
      <c r="V75" s="660"/>
      <c r="W75" s="660"/>
    </row>
    <row r="76" spans="1:23" ht="12.6" customHeight="1" x14ac:dyDescent="0.3">
      <c r="A76" s="660"/>
      <c r="B76" s="667" t="s">
        <v>1424</v>
      </c>
      <c r="C76" s="667" t="s">
        <v>1363</v>
      </c>
      <c r="D76" s="667" t="s">
        <v>1432</v>
      </c>
      <c r="E76" s="667">
        <v>15</v>
      </c>
      <c r="F76" s="667"/>
      <c r="G76" s="674">
        <v>15</v>
      </c>
      <c r="H76" s="660"/>
      <c r="I76" s="660"/>
      <c r="J76" s="660"/>
      <c r="K76" s="660"/>
      <c r="L76" s="660"/>
      <c r="M76" s="660"/>
      <c r="N76" s="660"/>
      <c r="O76" s="660"/>
      <c r="P76" s="660"/>
      <c r="Q76" s="660"/>
      <c r="R76" s="660"/>
      <c r="S76" s="660"/>
      <c r="T76" s="660"/>
      <c r="U76" s="660"/>
      <c r="V76" s="660"/>
      <c r="W76" s="660"/>
    </row>
    <row r="77" spans="1:23" ht="12.6" customHeight="1" x14ac:dyDescent="0.3">
      <c r="A77" s="660"/>
      <c r="B77" s="667" t="s">
        <v>1424</v>
      </c>
      <c r="C77" s="667" t="s">
        <v>1363</v>
      </c>
      <c r="D77" s="667" t="s">
        <v>1433</v>
      </c>
      <c r="E77" s="667">
        <v>25</v>
      </c>
      <c r="F77" s="667"/>
      <c r="G77" s="674">
        <v>25</v>
      </c>
      <c r="H77" s="660"/>
      <c r="I77" s="660"/>
      <c r="J77" s="660"/>
      <c r="K77" s="660"/>
      <c r="L77" s="660"/>
      <c r="M77" s="660"/>
      <c r="N77" s="660"/>
      <c r="O77" s="660"/>
      <c r="P77" s="660"/>
      <c r="Q77" s="660"/>
      <c r="R77" s="660"/>
      <c r="S77" s="660"/>
      <c r="T77" s="660"/>
      <c r="U77" s="660"/>
      <c r="V77" s="660"/>
      <c r="W77" s="660"/>
    </row>
    <row r="78" spans="1:23" ht="12.6" customHeight="1" x14ac:dyDescent="0.3">
      <c r="A78" s="660"/>
      <c r="B78" s="667" t="s">
        <v>1424</v>
      </c>
      <c r="C78" s="667" t="s">
        <v>1363</v>
      </c>
      <c r="D78" s="667" t="s">
        <v>1434</v>
      </c>
      <c r="E78" s="667">
        <v>55</v>
      </c>
      <c r="F78" s="667"/>
      <c r="G78" s="674">
        <v>55</v>
      </c>
      <c r="H78" s="660"/>
      <c r="I78" s="660"/>
      <c r="J78" s="660"/>
      <c r="K78" s="660"/>
      <c r="L78" s="660"/>
      <c r="M78" s="660"/>
      <c r="N78" s="660"/>
      <c r="O78" s="660"/>
      <c r="P78" s="660"/>
      <c r="Q78" s="660"/>
      <c r="R78" s="660"/>
      <c r="S78" s="660"/>
      <c r="T78" s="660"/>
      <c r="U78" s="660"/>
      <c r="V78" s="660"/>
      <c r="W78" s="660"/>
    </row>
    <row r="79" spans="1:23" ht="12.6" customHeight="1" x14ac:dyDescent="0.3">
      <c r="A79" s="660"/>
      <c r="B79" s="667" t="s">
        <v>1424</v>
      </c>
      <c r="C79" s="667" t="s">
        <v>1363</v>
      </c>
      <c r="D79" s="667" t="s">
        <v>1435</v>
      </c>
      <c r="E79" s="667">
        <v>100</v>
      </c>
      <c r="F79" s="667"/>
      <c r="G79" s="674">
        <v>100</v>
      </c>
      <c r="H79" s="660"/>
      <c r="I79" s="660"/>
      <c r="J79" s="660"/>
      <c r="K79" s="660"/>
      <c r="L79" s="660"/>
      <c r="M79" s="660"/>
      <c r="N79" s="660"/>
      <c r="O79" s="660"/>
      <c r="P79" s="660"/>
      <c r="Q79" s="660"/>
      <c r="R79" s="660"/>
      <c r="S79" s="660"/>
      <c r="T79" s="660"/>
      <c r="U79" s="660"/>
      <c r="V79" s="660"/>
      <c r="W79" s="660"/>
    </row>
    <row r="80" spans="1:23" ht="12.6" customHeight="1" x14ac:dyDescent="0.3">
      <c r="A80" s="660"/>
      <c r="B80" s="667" t="s">
        <v>1424</v>
      </c>
      <c r="C80" s="667" t="s">
        <v>1363</v>
      </c>
      <c r="D80" s="667" t="s">
        <v>1436</v>
      </c>
      <c r="E80" s="667">
        <v>1</v>
      </c>
      <c r="F80" s="667"/>
      <c r="G80" s="674">
        <v>1</v>
      </c>
      <c r="H80" s="660"/>
      <c r="I80" s="660"/>
      <c r="J80" s="660"/>
      <c r="K80" s="660"/>
      <c r="L80" s="660"/>
      <c r="M80" s="660"/>
      <c r="N80" s="660"/>
      <c r="O80" s="660"/>
      <c r="P80" s="660"/>
      <c r="Q80" s="660"/>
      <c r="R80" s="660"/>
      <c r="S80" s="660"/>
      <c r="T80" s="660"/>
      <c r="U80" s="660"/>
      <c r="V80" s="660"/>
      <c r="W80" s="660"/>
    </row>
    <row r="81" spans="1:23" ht="12.6" customHeight="1" x14ac:dyDescent="0.3">
      <c r="A81" s="660"/>
      <c r="B81" s="667" t="s">
        <v>1424</v>
      </c>
      <c r="C81" s="667" t="s">
        <v>1363</v>
      </c>
      <c r="D81" s="667" t="s">
        <v>1437</v>
      </c>
      <c r="E81" s="667">
        <v>800</v>
      </c>
      <c r="F81" s="667"/>
      <c r="G81" s="674">
        <v>800</v>
      </c>
      <c r="H81" s="660"/>
      <c r="I81" s="660"/>
      <c r="J81" s="660"/>
      <c r="K81" s="660"/>
      <c r="L81" s="660"/>
      <c r="M81" s="660"/>
      <c r="N81" s="660"/>
      <c r="O81" s="660"/>
      <c r="P81" s="660"/>
      <c r="Q81" s="660"/>
      <c r="R81" s="660"/>
      <c r="S81" s="660"/>
      <c r="T81" s="660"/>
      <c r="U81" s="660"/>
      <c r="V81" s="660"/>
      <c r="W81" s="660"/>
    </row>
    <row r="82" spans="1:23" ht="12.6" customHeight="1" x14ac:dyDescent="0.3">
      <c r="A82" s="660"/>
      <c r="B82" s="667" t="s">
        <v>1424</v>
      </c>
      <c r="C82" s="667" t="s">
        <v>1363</v>
      </c>
      <c r="D82" s="667" t="s">
        <v>1438</v>
      </c>
      <c r="E82" s="667">
        <v>50</v>
      </c>
      <c r="F82" s="667"/>
      <c r="G82" s="674">
        <v>50</v>
      </c>
      <c r="H82" s="660"/>
      <c r="I82" s="660"/>
      <c r="J82" s="660"/>
      <c r="K82" s="660"/>
      <c r="L82" s="660"/>
      <c r="M82" s="660"/>
      <c r="N82" s="660"/>
      <c r="O82" s="660"/>
      <c r="P82" s="660"/>
      <c r="Q82" s="660"/>
      <c r="R82" s="660"/>
      <c r="S82" s="660"/>
      <c r="T82" s="660"/>
      <c r="U82" s="660"/>
      <c r="V82" s="660"/>
      <c r="W82" s="660"/>
    </row>
    <row r="83" spans="1:23" ht="12.6" customHeight="1" x14ac:dyDescent="0.3">
      <c r="A83" s="660"/>
      <c r="B83" s="667" t="s">
        <v>1424</v>
      </c>
      <c r="C83" s="667" t="s">
        <v>1363</v>
      </c>
      <c r="D83" s="667" t="s">
        <v>1439</v>
      </c>
      <c r="E83" s="667">
        <v>60</v>
      </c>
      <c r="F83" s="667"/>
      <c r="G83" s="674">
        <v>60</v>
      </c>
      <c r="H83" s="660"/>
      <c r="I83" s="660"/>
      <c r="J83" s="660"/>
      <c r="K83" s="660"/>
      <c r="L83" s="660"/>
      <c r="M83" s="660"/>
      <c r="N83" s="660"/>
      <c r="O83" s="660"/>
      <c r="P83" s="660"/>
      <c r="Q83" s="660"/>
      <c r="R83" s="660"/>
      <c r="S83" s="660"/>
      <c r="T83" s="660"/>
      <c r="U83" s="660"/>
      <c r="V83" s="660"/>
      <c r="W83" s="660"/>
    </row>
    <row r="84" spans="1:23" ht="12.6" customHeight="1" x14ac:dyDescent="0.3">
      <c r="A84" s="660"/>
      <c r="B84" s="667" t="s">
        <v>1424</v>
      </c>
      <c r="C84" s="667" t="s">
        <v>1365</v>
      </c>
      <c r="D84" s="667" t="s">
        <v>1440</v>
      </c>
      <c r="E84" s="667"/>
      <c r="F84" s="667">
        <v>70</v>
      </c>
      <c r="G84" s="674">
        <v>70</v>
      </c>
      <c r="H84" s="660"/>
      <c r="I84" s="660"/>
      <c r="J84" s="660"/>
      <c r="K84" s="660"/>
      <c r="L84" s="660"/>
      <c r="M84" s="660"/>
      <c r="N84" s="660"/>
      <c r="O84" s="660"/>
      <c r="P84" s="660"/>
      <c r="Q84" s="660"/>
      <c r="R84" s="660"/>
      <c r="S84" s="660"/>
      <c r="T84" s="660"/>
      <c r="U84" s="660"/>
      <c r="V84" s="660"/>
      <c r="W84" s="660"/>
    </row>
    <row r="85" spans="1:23" ht="12.6" customHeight="1" x14ac:dyDescent="0.3">
      <c r="A85" s="660"/>
      <c r="B85" s="667" t="s">
        <v>1424</v>
      </c>
      <c r="C85" s="667" t="s">
        <v>1365</v>
      </c>
      <c r="D85" s="667" t="s">
        <v>1441</v>
      </c>
      <c r="E85" s="667">
        <v>20</v>
      </c>
      <c r="F85" s="667"/>
      <c r="G85" s="674">
        <v>20</v>
      </c>
      <c r="H85" s="660"/>
      <c r="I85" s="660"/>
      <c r="J85" s="660"/>
      <c r="K85" s="660"/>
      <c r="L85" s="660"/>
      <c r="M85" s="660"/>
      <c r="N85" s="660"/>
      <c r="O85" s="660"/>
      <c r="P85" s="660"/>
      <c r="Q85" s="660"/>
      <c r="R85" s="660"/>
      <c r="S85" s="660"/>
      <c r="T85" s="660"/>
      <c r="U85" s="660"/>
      <c r="V85" s="660"/>
      <c r="W85" s="660"/>
    </row>
    <row r="86" spans="1:23" ht="12.6" customHeight="1" x14ac:dyDescent="0.3">
      <c r="A86" s="660"/>
      <c r="B86" s="667" t="s">
        <v>1424</v>
      </c>
      <c r="C86" s="667" t="s">
        <v>1365</v>
      </c>
      <c r="D86" s="667" t="s">
        <v>1442</v>
      </c>
      <c r="E86" s="667">
        <v>20</v>
      </c>
      <c r="F86" s="667"/>
      <c r="G86" s="674">
        <v>20</v>
      </c>
      <c r="H86" s="660"/>
      <c r="I86" s="660"/>
      <c r="J86" s="660"/>
      <c r="K86" s="660"/>
      <c r="L86" s="660"/>
      <c r="M86" s="660"/>
      <c r="N86" s="660"/>
      <c r="O86" s="660"/>
      <c r="P86" s="660"/>
      <c r="Q86" s="660"/>
      <c r="R86" s="660"/>
      <c r="S86" s="660"/>
      <c r="T86" s="660"/>
      <c r="U86" s="660"/>
      <c r="V86" s="660"/>
      <c r="W86" s="660"/>
    </row>
    <row r="87" spans="1:23" ht="12.6" customHeight="1" x14ac:dyDescent="0.3">
      <c r="A87" s="660"/>
      <c r="B87" s="667" t="s">
        <v>1424</v>
      </c>
      <c r="C87" s="667" t="s">
        <v>1365</v>
      </c>
      <c r="D87" s="667" t="s">
        <v>1443</v>
      </c>
      <c r="E87" s="667"/>
      <c r="F87" s="667">
        <v>37</v>
      </c>
      <c r="G87" s="674">
        <v>37</v>
      </c>
      <c r="H87" s="676"/>
      <c r="I87" s="676"/>
      <c r="J87" s="676"/>
      <c r="K87" s="676"/>
      <c r="L87" s="676"/>
      <c r="M87" s="676"/>
      <c r="N87" s="660"/>
      <c r="O87" s="660"/>
      <c r="P87" s="660"/>
      <c r="Q87" s="660"/>
      <c r="R87" s="660"/>
      <c r="S87" s="660"/>
      <c r="T87" s="660"/>
      <c r="U87" s="660"/>
      <c r="V87" s="660"/>
      <c r="W87" s="660"/>
    </row>
    <row r="88" spans="1:23" ht="12.6" customHeight="1" x14ac:dyDescent="0.3">
      <c r="A88" s="660"/>
      <c r="B88" s="667" t="s">
        <v>1424</v>
      </c>
      <c r="C88" s="667" t="s">
        <v>1365</v>
      </c>
      <c r="D88" s="667" t="s">
        <v>1444</v>
      </c>
      <c r="E88" s="667">
        <v>13</v>
      </c>
      <c r="F88" s="667"/>
      <c r="G88" s="674">
        <v>13</v>
      </c>
      <c r="H88" s="676"/>
      <c r="I88" s="676"/>
      <c r="J88" s="676"/>
      <c r="K88" s="676"/>
      <c r="L88" s="676"/>
      <c r="M88" s="676"/>
      <c r="N88" s="660"/>
      <c r="O88" s="660"/>
      <c r="P88" s="660"/>
      <c r="Q88" s="660"/>
      <c r="R88" s="660"/>
      <c r="S88" s="660"/>
      <c r="T88" s="660"/>
      <c r="U88" s="660"/>
      <c r="V88" s="660"/>
      <c r="W88" s="660"/>
    </row>
    <row r="89" spans="1:23" ht="12.6" customHeight="1" x14ac:dyDescent="0.3">
      <c r="A89" s="660"/>
      <c r="B89" s="667" t="s">
        <v>1424</v>
      </c>
      <c r="C89" s="667" t="s">
        <v>1365</v>
      </c>
      <c r="D89" s="667" t="s">
        <v>1445</v>
      </c>
      <c r="E89" s="667"/>
      <c r="F89" s="667">
        <v>10</v>
      </c>
      <c r="G89" s="674">
        <v>10</v>
      </c>
      <c r="H89" s="660"/>
      <c r="I89" s="660"/>
      <c r="J89" s="660"/>
      <c r="K89" s="660"/>
      <c r="L89" s="660"/>
      <c r="M89" s="660"/>
      <c r="N89" s="660"/>
      <c r="O89" s="660"/>
      <c r="P89" s="660"/>
      <c r="Q89" s="660"/>
      <c r="R89" s="660"/>
      <c r="S89" s="660"/>
      <c r="T89" s="660"/>
      <c r="U89" s="660"/>
      <c r="V89" s="660"/>
      <c r="W89" s="660"/>
    </row>
    <row r="90" spans="1:23" ht="12.6" customHeight="1" x14ac:dyDescent="0.3">
      <c r="A90" s="660"/>
      <c r="B90" s="667" t="s">
        <v>1424</v>
      </c>
      <c r="C90" s="667" t="s">
        <v>1365</v>
      </c>
      <c r="D90" s="667" t="s">
        <v>1446</v>
      </c>
      <c r="E90" s="667"/>
      <c r="F90" s="667"/>
      <c r="G90" s="674">
        <v>0</v>
      </c>
      <c r="H90" s="660"/>
      <c r="I90" s="660"/>
      <c r="J90" s="660"/>
      <c r="K90" s="660"/>
      <c r="L90" s="660"/>
      <c r="M90" s="660"/>
      <c r="N90" s="660"/>
      <c r="O90" s="660"/>
      <c r="P90" s="660"/>
      <c r="Q90" s="660"/>
      <c r="R90" s="660"/>
      <c r="S90" s="660"/>
      <c r="T90" s="660"/>
      <c r="U90" s="660"/>
      <c r="V90" s="660"/>
      <c r="W90" s="660"/>
    </row>
    <row r="91" spans="1:23" ht="12.6" customHeight="1" x14ac:dyDescent="0.3">
      <c r="A91" s="660"/>
      <c r="B91" s="667" t="s">
        <v>1424</v>
      </c>
      <c r="C91" s="667" t="s">
        <v>1365</v>
      </c>
      <c r="D91" s="667" t="s">
        <v>1447</v>
      </c>
      <c r="E91" s="667"/>
      <c r="F91" s="667">
        <v>30</v>
      </c>
      <c r="G91" s="674">
        <v>30</v>
      </c>
      <c r="H91" s="660"/>
      <c r="I91" s="660"/>
      <c r="J91" s="660"/>
      <c r="K91" s="660"/>
      <c r="L91" s="660"/>
      <c r="M91" s="660"/>
      <c r="N91" s="660"/>
      <c r="O91" s="660"/>
      <c r="P91" s="660"/>
      <c r="Q91" s="660"/>
      <c r="R91" s="660"/>
      <c r="S91" s="660"/>
      <c r="T91" s="660"/>
      <c r="U91" s="660"/>
      <c r="V91" s="660"/>
      <c r="W91" s="660"/>
    </row>
    <row r="92" spans="1:23" ht="12.6" customHeight="1" x14ac:dyDescent="0.3">
      <c r="A92" s="660"/>
      <c r="B92" s="667" t="s">
        <v>1424</v>
      </c>
      <c r="C92" s="667" t="s">
        <v>1365</v>
      </c>
      <c r="D92" s="667" t="s">
        <v>1448</v>
      </c>
      <c r="E92" s="667"/>
      <c r="F92" s="667">
        <v>19</v>
      </c>
      <c r="G92" s="674">
        <v>19</v>
      </c>
      <c r="H92" s="660"/>
      <c r="I92" s="660"/>
      <c r="J92" s="660"/>
      <c r="K92" s="660"/>
      <c r="L92" s="660"/>
      <c r="M92" s="660"/>
      <c r="N92" s="660"/>
      <c r="O92" s="660"/>
      <c r="P92" s="660"/>
      <c r="Q92" s="660"/>
      <c r="R92" s="660"/>
      <c r="S92" s="660"/>
      <c r="T92" s="660"/>
      <c r="U92" s="660"/>
      <c r="V92" s="660"/>
      <c r="W92" s="660"/>
    </row>
    <row r="93" spans="1:23" ht="12.6" customHeight="1" x14ac:dyDescent="0.3">
      <c r="A93" s="660"/>
      <c r="B93" s="667" t="s">
        <v>1424</v>
      </c>
      <c r="C93" s="667" t="s">
        <v>1365</v>
      </c>
      <c r="D93" s="667" t="s">
        <v>1449</v>
      </c>
      <c r="E93" s="667"/>
      <c r="F93" s="667">
        <v>200</v>
      </c>
      <c r="G93" s="674">
        <v>200</v>
      </c>
      <c r="H93" s="660"/>
      <c r="I93" s="660"/>
      <c r="J93" s="660"/>
      <c r="K93" s="660"/>
      <c r="L93" s="660"/>
      <c r="M93" s="660"/>
      <c r="N93" s="660"/>
      <c r="O93" s="660"/>
      <c r="P93" s="660"/>
      <c r="Q93" s="660"/>
      <c r="R93" s="660"/>
      <c r="S93" s="660"/>
      <c r="T93" s="660"/>
      <c r="U93" s="660"/>
      <c r="V93" s="660"/>
      <c r="W93" s="660"/>
    </row>
    <row r="94" spans="1:23" ht="12.6" customHeight="1" x14ac:dyDescent="0.3">
      <c r="A94" s="660"/>
      <c r="B94" s="667" t="s">
        <v>1424</v>
      </c>
      <c r="C94" s="667" t="s">
        <v>1365</v>
      </c>
      <c r="D94" s="667" t="s">
        <v>1450</v>
      </c>
      <c r="E94" s="667">
        <v>18</v>
      </c>
      <c r="F94" s="667"/>
      <c r="G94" s="674">
        <v>18</v>
      </c>
      <c r="H94" s="660"/>
      <c r="I94" s="660"/>
      <c r="J94" s="660"/>
      <c r="K94" s="660"/>
      <c r="L94" s="660"/>
      <c r="M94" s="660"/>
      <c r="N94" s="660"/>
      <c r="O94" s="660"/>
      <c r="P94" s="660"/>
      <c r="Q94" s="660"/>
      <c r="R94" s="660"/>
      <c r="S94" s="660"/>
      <c r="T94" s="660"/>
      <c r="U94" s="660"/>
      <c r="V94" s="660"/>
      <c r="W94" s="660"/>
    </row>
    <row r="95" spans="1:23" ht="12.6" customHeight="1" x14ac:dyDescent="0.3">
      <c r="A95" s="660"/>
      <c r="B95" s="667" t="s">
        <v>1424</v>
      </c>
      <c r="C95" s="667" t="s">
        <v>1365</v>
      </c>
      <c r="D95" s="667" t="s">
        <v>1451</v>
      </c>
      <c r="E95" s="667">
        <v>25</v>
      </c>
      <c r="F95" s="667"/>
      <c r="G95" s="674">
        <v>25</v>
      </c>
      <c r="H95" s="660"/>
      <c r="I95" s="660"/>
      <c r="J95" s="660"/>
      <c r="K95" s="660"/>
      <c r="L95" s="660"/>
      <c r="M95" s="660"/>
      <c r="N95" s="660"/>
      <c r="O95" s="660"/>
      <c r="P95" s="660"/>
      <c r="Q95" s="660"/>
      <c r="R95" s="660"/>
      <c r="S95" s="660"/>
      <c r="T95" s="660"/>
      <c r="U95" s="660"/>
      <c r="V95" s="660"/>
      <c r="W95" s="660"/>
    </row>
    <row r="96" spans="1:23" ht="12.6" customHeight="1" x14ac:dyDescent="0.3">
      <c r="A96" s="660"/>
      <c r="B96" s="667" t="s">
        <v>1424</v>
      </c>
      <c r="C96" s="667" t="s">
        <v>1365</v>
      </c>
      <c r="D96" s="667" t="s">
        <v>1452</v>
      </c>
      <c r="E96" s="667"/>
      <c r="F96" s="667">
        <v>20</v>
      </c>
      <c r="G96" s="674">
        <v>20</v>
      </c>
      <c r="H96" s="660"/>
      <c r="I96" s="660"/>
      <c r="J96" s="660"/>
      <c r="K96" s="660"/>
      <c r="L96" s="660"/>
      <c r="M96" s="660"/>
      <c r="N96" s="660"/>
      <c r="O96" s="660"/>
      <c r="P96" s="660"/>
      <c r="Q96" s="660"/>
      <c r="R96" s="660"/>
      <c r="S96" s="660"/>
      <c r="T96" s="660"/>
      <c r="U96" s="660"/>
      <c r="V96" s="660"/>
      <c r="W96" s="660"/>
    </row>
    <row r="97" spans="1:23" ht="12.6" customHeight="1" x14ac:dyDescent="0.3">
      <c r="A97" s="660"/>
      <c r="B97" s="667" t="s">
        <v>1424</v>
      </c>
      <c r="C97" s="667" t="s">
        <v>1365</v>
      </c>
      <c r="D97" s="667" t="s">
        <v>1453</v>
      </c>
      <c r="E97" s="667"/>
      <c r="F97" s="667">
        <v>40</v>
      </c>
      <c r="G97" s="674">
        <v>40</v>
      </c>
      <c r="H97" s="660"/>
      <c r="I97" s="660"/>
      <c r="J97" s="660"/>
      <c r="K97" s="660"/>
      <c r="L97" s="660"/>
      <c r="M97" s="660"/>
      <c r="N97" s="660"/>
      <c r="O97" s="660"/>
      <c r="P97" s="660"/>
      <c r="Q97" s="660"/>
      <c r="R97" s="660"/>
      <c r="S97" s="660"/>
      <c r="T97" s="660"/>
      <c r="U97" s="660"/>
      <c r="V97" s="660"/>
      <c r="W97" s="660"/>
    </row>
    <row r="98" spans="1:23" ht="12.6" customHeight="1" x14ac:dyDescent="0.3">
      <c r="A98" s="420"/>
      <c r="B98" s="667" t="s">
        <v>1424</v>
      </c>
      <c r="C98" s="667" t="s">
        <v>1365</v>
      </c>
      <c r="D98" s="667" t="s">
        <v>1454</v>
      </c>
      <c r="E98" s="667"/>
      <c r="F98" s="667">
        <v>31</v>
      </c>
      <c r="G98" s="674">
        <v>31</v>
      </c>
      <c r="H98" s="420"/>
      <c r="I98" s="420"/>
      <c r="J98" s="420"/>
      <c r="K98" s="420"/>
      <c r="L98" s="420"/>
      <c r="M98" s="420"/>
      <c r="N98" s="420"/>
      <c r="O98" s="420"/>
      <c r="P98" s="420"/>
      <c r="Q98" s="420"/>
      <c r="R98" s="420"/>
      <c r="S98" s="420"/>
      <c r="T98" s="420"/>
      <c r="U98" s="420"/>
      <c r="V98" s="420"/>
      <c r="W98" s="420"/>
    </row>
    <row r="99" spans="1:23" ht="12.6" customHeight="1" x14ac:dyDescent="0.3">
      <c r="A99" s="420"/>
      <c r="B99" s="667" t="s">
        <v>1424</v>
      </c>
      <c r="C99" s="667" t="s">
        <v>1365</v>
      </c>
      <c r="D99" s="667" t="s">
        <v>1455</v>
      </c>
      <c r="E99" s="667"/>
      <c r="F99" s="667">
        <v>17</v>
      </c>
      <c r="G99" s="674">
        <v>17</v>
      </c>
      <c r="H99" s="420"/>
      <c r="I99" s="420"/>
      <c r="J99" s="420"/>
      <c r="K99" s="420"/>
      <c r="L99" s="420"/>
      <c r="M99" s="420"/>
      <c r="N99" s="420"/>
      <c r="O99" s="420"/>
      <c r="P99" s="420"/>
      <c r="Q99" s="420"/>
      <c r="R99" s="420"/>
      <c r="S99" s="420"/>
      <c r="T99" s="420"/>
      <c r="U99" s="420"/>
      <c r="V99" s="420"/>
      <c r="W99" s="420"/>
    </row>
    <row r="100" spans="1:23" ht="12.6" customHeight="1" x14ac:dyDescent="0.3">
      <c r="A100" s="420"/>
      <c r="B100" s="667" t="s">
        <v>1424</v>
      </c>
      <c r="C100" s="667" t="s">
        <v>1365</v>
      </c>
      <c r="D100" s="667" t="s">
        <v>1456</v>
      </c>
      <c r="E100" s="667"/>
      <c r="F100" s="667">
        <v>38</v>
      </c>
      <c r="G100" s="674">
        <v>38</v>
      </c>
      <c r="H100" s="420"/>
      <c r="I100" s="420"/>
      <c r="J100" s="420"/>
      <c r="K100" s="420"/>
      <c r="L100" s="420"/>
      <c r="M100" s="420"/>
      <c r="N100" s="420"/>
      <c r="O100" s="420"/>
      <c r="P100" s="420"/>
      <c r="Q100" s="420"/>
      <c r="R100" s="420"/>
      <c r="S100" s="420"/>
      <c r="T100" s="420"/>
      <c r="U100" s="420"/>
      <c r="V100" s="420"/>
      <c r="W100" s="420"/>
    </row>
    <row r="101" spans="1:23" ht="12.6" customHeight="1" x14ac:dyDescent="0.3">
      <c r="A101" s="420"/>
      <c r="B101" s="667" t="s">
        <v>1424</v>
      </c>
      <c r="C101" s="667" t="s">
        <v>1365</v>
      </c>
      <c r="D101" s="667" t="s">
        <v>1457</v>
      </c>
      <c r="E101" s="667">
        <v>60</v>
      </c>
      <c r="F101" s="667"/>
      <c r="G101" s="674">
        <v>60</v>
      </c>
      <c r="H101" s="420"/>
      <c r="I101" s="420"/>
      <c r="J101" s="420"/>
      <c r="K101" s="420"/>
      <c r="L101" s="420"/>
      <c r="M101" s="420"/>
      <c r="N101" s="420"/>
      <c r="O101" s="420"/>
      <c r="P101" s="420"/>
      <c r="Q101" s="420"/>
      <c r="R101" s="420"/>
      <c r="S101" s="420"/>
      <c r="T101" s="420"/>
      <c r="U101" s="420"/>
      <c r="V101" s="420"/>
      <c r="W101" s="420"/>
    </row>
    <row r="102" spans="1:23" ht="12.6" customHeight="1" x14ac:dyDescent="0.3">
      <c r="A102" s="420"/>
      <c r="B102" s="667" t="s">
        <v>1424</v>
      </c>
      <c r="C102" s="667" t="s">
        <v>1365</v>
      </c>
      <c r="D102" s="667" t="s">
        <v>1458</v>
      </c>
      <c r="E102" s="667">
        <v>10</v>
      </c>
      <c r="F102" s="667"/>
      <c r="G102" s="674">
        <v>10</v>
      </c>
      <c r="H102" s="420"/>
      <c r="I102" s="420"/>
      <c r="J102" s="420"/>
      <c r="K102" s="420"/>
      <c r="L102" s="420"/>
      <c r="M102" s="420"/>
      <c r="N102" s="420"/>
      <c r="O102" s="420"/>
      <c r="P102" s="420"/>
      <c r="Q102" s="420"/>
      <c r="R102" s="420"/>
      <c r="S102" s="420"/>
      <c r="T102" s="420"/>
      <c r="U102" s="420"/>
      <c r="V102" s="420"/>
      <c r="W102" s="420"/>
    </row>
    <row r="103" spans="1:23" ht="12.6" customHeight="1" x14ac:dyDescent="0.3">
      <c r="A103" s="420"/>
      <c r="B103" s="667" t="s">
        <v>1424</v>
      </c>
      <c r="C103" s="667" t="s">
        <v>1365</v>
      </c>
      <c r="D103" s="667" t="s">
        <v>1459</v>
      </c>
      <c r="E103" s="667">
        <v>20</v>
      </c>
      <c r="F103" s="667"/>
      <c r="G103" s="674">
        <v>20</v>
      </c>
      <c r="H103" s="420"/>
      <c r="I103" s="420"/>
      <c r="J103" s="420"/>
      <c r="K103" s="420"/>
      <c r="L103" s="420"/>
      <c r="M103" s="420"/>
      <c r="N103" s="420"/>
      <c r="O103" s="420"/>
      <c r="P103" s="420"/>
      <c r="Q103" s="420"/>
      <c r="R103" s="420"/>
      <c r="S103" s="420"/>
      <c r="T103" s="420"/>
      <c r="U103" s="420"/>
      <c r="V103" s="420"/>
      <c r="W103" s="420"/>
    </row>
    <row r="104" spans="1:23" ht="12.6" customHeight="1" x14ac:dyDescent="0.3">
      <c r="A104" s="420"/>
      <c r="B104" s="667" t="s">
        <v>1424</v>
      </c>
      <c r="C104" s="667" t="s">
        <v>1365</v>
      </c>
      <c r="D104" s="667" t="s">
        <v>1460</v>
      </c>
      <c r="E104" s="667">
        <v>15</v>
      </c>
      <c r="F104" s="667"/>
      <c r="G104" s="674">
        <v>15</v>
      </c>
      <c r="H104" s="420"/>
      <c r="I104" s="420"/>
      <c r="J104" s="420"/>
      <c r="K104" s="420"/>
      <c r="L104" s="420"/>
      <c r="M104" s="420"/>
      <c r="N104" s="420"/>
      <c r="O104" s="420"/>
      <c r="P104" s="420"/>
      <c r="Q104" s="420"/>
      <c r="R104" s="420"/>
      <c r="S104" s="420"/>
      <c r="T104" s="420"/>
      <c r="U104" s="420"/>
      <c r="V104" s="420"/>
      <c r="W104" s="420"/>
    </row>
    <row r="105" spans="1:23" ht="12.6" customHeight="1" x14ac:dyDescent="0.3">
      <c r="A105" s="420"/>
      <c r="B105" s="667" t="s">
        <v>1424</v>
      </c>
      <c r="C105" s="667" t="s">
        <v>1365</v>
      </c>
      <c r="D105" s="667" t="s">
        <v>1461</v>
      </c>
      <c r="E105" s="667">
        <v>100</v>
      </c>
      <c r="F105" s="667"/>
      <c r="G105" s="674">
        <v>100</v>
      </c>
      <c r="H105" s="420"/>
      <c r="I105" s="420"/>
      <c r="J105" s="420"/>
      <c r="K105" s="420"/>
      <c r="L105" s="420"/>
      <c r="M105" s="420"/>
      <c r="N105" s="420"/>
      <c r="O105" s="420"/>
      <c r="P105" s="420"/>
      <c r="Q105" s="420"/>
      <c r="R105" s="420"/>
      <c r="S105" s="420"/>
      <c r="T105" s="420"/>
      <c r="U105" s="420"/>
      <c r="V105" s="420"/>
      <c r="W105" s="420"/>
    </row>
    <row r="106" spans="1:23" ht="12.6" customHeight="1" x14ac:dyDescent="0.3">
      <c r="A106" s="420"/>
      <c r="B106" s="667" t="s">
        <v>1424</v>
      </c>
      <c r="C106" s="667" t="s">
        <v>1365</v>
      </c>
      <c r="D106" s="667" t="s">
        <v>1462</v>
      </c>
      <c r="E106" s="667">
        <v>20</v>
      </c>
      <c r="F106" s="667"/>
      <c r="G106" s="674">
        <v>20</v>
      </c>
      <c r="H106" s="420"/>
      <c r="I106" s="420"/>
      <c r="J106" s="420"/>
      <c r="K106" s="420"/>
      <c r="L106" s="420"/>
      <c r="M106" s="420"/>
      <c r="N106" s="420"/>
      <c r="O106" s="420"/>
      <c r="P106" s="420"/>
      <c r="Q106" s="420"/>
      <c r="R106" s="420"/>
      <c r="S106" s="420"/>
      <c r="T106" s="420"/>
      <c r="U106" s="420"/>
      <c r="V106" s="420"/>
      <c r="W106" s="420"/>
    </row>
    <row r="107" spans="1:23" ht="12.6" customHeight="1" x14ac:dyDescent="0.3">
      <c r="A107" s="420"/>
      <c r="B107" s="667" t="s">
        <v>1424</v>
      </c>
      <c r="C107" s="667" t="s">
        <v>1365</v>
      </c>
      <c r="D107" s="667" t="s">
        <v>1463</v>
      </c>
      <c r="E107" s="667">
        <v>30</v>
      </c>
      <c r="F107" s="667"/>
      <c r="G107" s="674">
        <v>30</v>
      </c>
      <c r="H107" s="420"/>
      <c r="I107" s="420"/>
      <c r="J107" s="420"/>
      <c r="K107" s="420"/>
      <c r="L107" s="420"/>
      <c r="M107" s="420"/>
      <c r="N107" s="420"/>
      <c r="O107" s="420"/>
      <c r="P107" s="420"/>
      <c r="Q107" s="420"/>
      <c r="R107" s="420"/>
      <c r="S107" s="420"/>
      <c r="T107" s="420"/>
      <c r="U107" s="420"/>
      <c r="V107" s="420"/>
      <c r="W107" s="420"/>
    </row>
    <row r="108" spans="1:23" ht="12.6" customHeight="1" x14ac:dyDescent="0.3">
      <c r="A108" s="420"/>
      <c r="B108" s="667" t="s">
        <v>1424</v>
      </c>
      <c r="C108" s="667" t="s">
        <v>1365</v>
      </c>
      <c r="D108" s="667" t="s">
        <v>1464</v>
      </c>
      <c r="E108" s="667"/>
      <c r="F108" s="667"/>
      <c r="G108" s="674">
        <v>0</v>
      </c>
      <c r="H108" s="420"/>
      <c r="I108" s="420"/>
      <c r="J108" s="420"/>
      <c r="K108" s="420"/>
      <c r="L108" s="420"/>
      <c r="M108" s="420"/>
      <c r="N108" s="420"/>
      <c r="O108" s="420"/>
      <c r="P108" s="420"/>
      <c r="Q108" s="420"/>
      <c r="R108" s="420"/>
      <c r="S108" s="420"/>
      <c r="T108" s="420"/>
      <c r="U108" s="420"/>
      <c r="V108" s="420"/>
      <c r="W108" s="420"/>
    </row>
    <row r="109" spans="1:23" ht="12.6" customHeight="1" x14ac:dyDescent="0.3">
      <c r="A109" s="420"/>
      <c r="B109" s="667" t="s">
        <v>1424</v>
      </c>
      <c r="C109" s="667" t="s">
        <v>1365</v>
      </c>
      <c r="D109" s="667" t="s">
        <v>1465</v>
      </c>
      <c r="E109" s="667"/>
      <c r="F109" s="667">
        <v>68</v>
      </c>
      <c r="G109" s="674">
        <v>68</v>
      </c>
      <c r="H109" s="420"/>
      <c r="I109" s="420"/>
      <c r="J109" s="420"/>
      <c r="K109" s="420"/>
      <c r="L109" s="420"/>
      <c r="M109" s="420"/>
      <c r="N109" s="420"/>
      <c r="O109" s="420"/>
      <c r="P109" s="420"/>
      <c r="Q109" s="420"/>
      <c r="R109" s="420"/>
      <c r="S109" s="420"/>
      <c r="T109" s="420"/>
      <c r="U109" s="420"/>
      <c r="V109" s="420"/>
      <c r="W109" s="420"/>
    </row>
    <row r="110" spans="1:23" ht="12.6" customHeight="1" x14ac:dyDescent="0.3">
      <c r="A110" s="420"/>
      <c r="B110" s="667" t="s">
        <v>1424</v>
      </c>
      <c r="C110" s="667" t="s">
        <v>1366</v>
      </c>
      <c r="D110" s="667" t="s">
        <v>1466</v>
      </c>
      <c r="E110" s="667"/>
      <c r="F110" s="667">
        <v>48</v>
      </c>
      <c r="G110" s="674">
        <v>48</v>
      </c>
      <c r="H110" s="420"/>
      <c r="I110" s="420"/>
      <c r="J110" s="420"/>
      <c r="K110" s="420"/>
      <c r="L110" s="420"/>
      <c r="M110" s="420"/>
      <c r="N110" s="420"/>
      <c r="O110" s="420"/>
      <c r="P110" s="420"/>
      <c r="Q110" s="420"/>
      <c r="R110" s="420"/>
      <c r="S110" s="420"/>
      <c r="T110" s="420"/>
      <c r="U110" s="420"/>
      <c r="V110" s="420"/>
      <c r="W110" s="420"/>
    </row>
    <row r="111" spans="1:23" ht="12.6" customHeight="1" x14ac:dyDescent="0.3">
      <c r="A111" s="420"/>
      <c r="B111" s="667" t="s">
        <v>1424</v>
      </c>
      <c r="C111" s="667" t="s">
        <v>1366</v>
      </c>
      <c r="D111" s="667" t="s">
        <v>1467</v>
      </c>
      <c r="E111" s="667">
        <v>50</v>
      </c>
      <c r="F111" s="667"/>
      <c r="G111" s="674">
        <v>50</v>
      </c>
      <c r="H111" s="420"/>
      <c r="I111" s="420"/>
      <c r="J111" s="420"/>
      <c r="K111" s="420"/>
      <c r="L111" s="420"/>
      <c r="M111" s="420"/>
      <c r="N111" s="420"/>
      <c r="O111" s="420"/>
      <c r="P111" s="420"/>
      <c r="Q111" s="420"/>
      <c r="R111" s="420"/>
      <c r="S111" s="420"/>
      <c r="T111" s="420"/>
      <c r="U111" s="420"/>
      <c r="V111" s="420"/>
      <c r="W111" s="420"/>
    </row>
    <row r="112" spans="1:23" ht="12.6" customHeight="1" x14ac:dyDescent="0.3">
      <c r="A112" s="420"/>
      <c r="B112" s="667" t="s">
        <v>1424</v>
      </c>
      <c r="C112" s="667" t="s">
        <v>1366</v>
      </c>
      <c r="D112" s="667" t="s">
        <v>1468</v>
      </c>
      <c r="E112" s="667">
        <v>30</v>
      </c>
      <c r="F112" s="667"/>
      <c r="G112" s="674">
        <v>30</v>
      </c>
      <c r="H112" s="420"/>
      <c r="I112" s="420"/>
      <c r="J112" s="420"/>
      <c r="K112" s="420"/>
      <c r="L112" s="420"/>
      <c r="M112" s="420"/>
      <c r="N112" s="420"/>
      <c r="O112" s="420"/>
      <c r="P112" s="420"/>
      <c r="Q112" s="420"/>
      <c r="R112" s="420"/>
      <c r="S112" s="420"/>
      <c r="T112" s="420"/>
      <c r="U112" s="420"/>
      <c r="V112" s="420"/>
      <c r="W112" s="420"/>
    </row>
    <row r="113" spans="1:23" ht="12.6" customHeight="1" x14ac:dyDescent="0.3">
      <c r="A113" s="420"/>
      <c r="B113" s="667" t="s">
        <v>1424</v>
      </c>
      <c r="C113" s="667" t="s">
        <v>1366</v>
      </c>
      <c r="D113" s="667" t="s">
        <v>1469</v>
      </c>
      <c r="E113" s="667">
        <v>15</v>
      </c>
      <c r="F113" s="667"/>
      <c r="G113" s="674">
        <v>15</v>
      </c>
      <c r="H113" s="420"/>
      <c r="I113" s="420"/>
      <c r="J113" s="420"/>
      <c r="K113" s="420"/>
      <c r="L113" s="420"/>
      <c r="M113" s="420"/>
      <c r="N113" s="420"/>
      <c r="O113" s="420"/>
      <c r="P113" s="420"/>
      <c r="Q113" s="420"/>
      <c r="R113" s="420"/>
      <c r="S113" s="420"/>
      <c r="T113" s="420"/>
      <c r="U113" s="420"/>
      <c r="V113" s="420"/>
      <c r="W113" s="420"/>
    </row>
    <row r="114" spans="1:23" ht="12.6" customHeight="1" x14ac:dyDescent="0.3">
      <c r="A114" s="420"/>
      <c r="B114" s="667" t="s">
        <v>1424</v>
      </c>
      <c r="C114" s="667" t="s">
        <v>1366</v>
      </c>
      <c r="D114" s="667" t="s">
        <v>1470</v>
      </c>
      <c r="E114" s="667"/>
      <c r="F114" s="667">
        <v>10</v>
      </c>
      <c r="G114" s="674">
        <v>10</v>
      </c>
      <c r="H114" s="420"/>
      <c r="I114" s="420"/>
      <c r="J114" s="420"/>
      <c r="K114" s="420"/>
      <c r="L114" s="420"/>
      <c r="M114" s="420"/>
      <c r="N114" s="420"/>
      <c r="O114" s="420"/>
      <c r="P114" s="420"/>
      <c r="Q114" s="420"/>
      <c r="R114" s="420"/>
      <c r="S114" s="420"/>
      <c r="T114" s="420"/>
      <c r="U114" s="420"/>
      <c r="V114" s="420"/>
      <c r="W114" s="420"/>
    </row>
    <row r="115" spans="1:23" ht="12.6" customHeight="1" x14ac:dyDescent="0.3">
      <c r="A115" s="420"/>
      <c r="B115" s="667" t="s">
        <v>1424</v>
      </c>
      <c r="C115" s="667" t="s">
        <v>1366</v>
      </c>
      <c r="D115" s="667" t="s">
        <v>1471</v>
      </c>
      <c r="E115" s="667"/>
      <c r="F115" s="667">
        <v>12</v>
      </c>
      <c r="G115" s="674">
        <v>12</v>
      </c>
      <c r="H115" s="420"/>
      <c r="I115" s="420"/>
      <c r="J115" s="420"/>
      <c r="K115" s="420"/>
      <c r="L115" s="420"/>
      <c r="M115" s="420"/>
      <c r="N115" s="420"/>
      <c r="O115" s="420"/>
      <c r="P115" s="420"/>
      <c r="Q115" s="420"/>
      <c r="R115" s="420"/>
      <c r="S115" s="420"/>
      <c r="T115" s="420"/>
      <c r="U115" s="420"/>
      <c r="V115" s="420"/>
      <c r="W115" s="420"/>
    </row>
    <row r="116" spans="1:23" ht="12.6" customHeight="1" x14ac:dyDescent="0.3">
      <c r="A116" s="420"/>
      <c r="B116" s="667" t="s">
        <v>1424</v>
      </c>
      <c r="C116" s="667" t="s">
        <v>1366</v>
      </c>
      <c r="D116" s="667" t="s">
        <v>1472</v>
      </c>
      <c r="E116" s="667"/>
      <c r="F116" s="667">
        <v>9</v>
      </c>
      <c r="G116" s="674">
        <v>9</v>
      </c>
      <c r="H116" s="420"/>
      <c r="I116" s="420"/>
      <c r="J116" s="420"/>
      <c r="K116" s="420"/>
      <c r="L116" s="420"/>
      <c r="M116" s="420"/>
      <c r="N116" s="420"/>
      <c r="O116" s="420"/>
      <c r="P116" s="420"/>
      <c r="Q116" s="420"/>
      <c r="R116" s="420"/>
      <c r="S116" s="420"/>
      <c r="T116" s="420"/>
      <c r="U116" s="420"/>
      <c r="V116" s="420"/>
      <c r="W116" s="420"/>
    </row>
    <row r="117" spans="1:23" ht="12.6" customHeight="1" x14ac:dyDescent="0.3">
      <c r="A117" s="420"/>
      <c r="B117" s="667" t="s">
        <v>1424</v>
      </c>
      <c r="C117" s="667" t="s">
        <v>1366</v>
      </c>
      <c r="D117" s="667" t="s">
        <v>1473</v>
      </c>
      <c r="E117" s="667"/>
      <c r="F117" s="667">
        <v>103</v>
      </c>
      <c r="G117" s="674">
        <v>103</v>
      </c>
      <c r="H117" s="420"/>
      <c r="I117" s="420"/>
      <c r="J117" s="420"/>
      <c r="K117" s="420"/>
      <c r="L117" s="420"/>
      <c r="M117" s="420"/>
      <c r="N117" s="420"/>
      <c r="O117" s="420"/>
      <c r="P117" s="420"/>
      <c r="Q117" s="420"/>
      <c r="R117" s="420"/>
      <c r="S117" s="420"/>
      <c r="T117" s="420"/>
      <c r="U117" s="420"/>
      <c r="V117" s="420"/>
      <c r="W117" s="420"/>
    </row>
    <row r="118" spans="1:23" ht="12.6" customHeight="1" x14ac:dyDescent="0.3">
      <c r="A118" s="420"/>
      <c r="B118" s="667" t="s">
        <v>1424</v>
      </c>
      <c r="C118" s="667" t="s">
        <v>1366</v>
      </c>
      <c r="D118" s="667" t="s">
        <v>1474</v>
      </c>
      <c r="E118" s="667"/>
      <c r="F118" s="667">
        <v>60</v>
      </c>
      <c r="G118" s="674">
        <v>60</v>
      </c>
      <c r="H118" s="420"/>
      <c r="I118" s="420"/>
      <c r="J118" s="420"/>
      <c r="K118" s="420"/>
      <c r="L118" s="420"/>
      <c r="M118" s="420"/>
      <c r="N118" s="420"/>
      <c r="O118" s="420"/>
      <c r="P118" s="420"/>
      <c r="Q118" s="420"/>
      <c r="R118" s="420"/>
      <c r="S118" s="420"/>
      <c r="T118" s="420"/>
      <c r="U118" s="420"/>
      <c r="V118" s="420"/>
      <c r="W118" s="420"/>
    </row>
    <row r="119" spans="1:23" ht="12.6" customHeight="1" x14ac:dyDescent="0.3">
      <c r="A119" s="420"/>
      <c r="B119" s="667" t="s">
        <v>1424</v>
      </c>
      <c r="C119" s="667" t="s">
        <v>1366</v>
      </c>
      <c r="D119" s="667" t="s">
        <v>1475</v>
      </c>
      <c r="E119" s="667"/>
      <c r="F119" s="667">
        <v>108</v>
      </c>
      <c r="G119" s="674">
        <v>108</v>
      </c>
      <c r="H119" s="420"/>
      <c r="I119" s="420"/>
      <c r="J119" s="420"/>
      <c r="K119" s="420"/>
      <c r="L119" s="420"/>
      <c r="M119" s="420"/>
      <c r="N119" s="420"/>
      <c r="O119" s="420"/>
      <c r="P119" s="420"/>
      <c r="Q119" s="420"/>
      <c r="R119" s="420"/>
      <c r="S119" s="420"/>
      <c r="T119" s="420"/>
      <c r="U119" s="420"/>
      <c r="V119" s="420"/>
      <c r="W119" s="420"/>
    </row>
    <row r="120" spans="1:23" ht="12.6" customHeight="1" x14ac:dyDescent="0.3">
      <c r="A120" s="420"/>
      <c r="B120" s="667" t="s">
        <v>1424</v>
      </c>
      <c r="C120" s="667" t="s">
        <v>1366</v>
      </c>
      <c r="D120" s="667" t="s">
        <v>1476</v>
      </c>
      <c r="E120" s="667"/>
      <c r="F120" s="667">
        <v>22</v>
      </c>
      <c r="G120" s="674">
        <v>22</v>
      </c>
      <c r="H120" s="420"/>
      <c r="I120" s="420"/>
      <c r="J120" s="420"/>
      <c r="K120" s="420"/>
      <c r="L120" s="420"/>
      <c r="M120" s="420"/>
      <c r="N120" s="420"/>
      <c r="O120" s="420"/>
      <c r="P120" s="420"/>
      <c r="Q120" s="420"/>
      <c r="R120" s="420"/>
      <c r="S120" s="420"/>
      <c r="T120" s="420"/>
      <c r="U120" s="420"/>
      <c r="V120" s="420"/>
      <c r="W120" s="420"/>
    </row>
    <row r="121" spans="1:23" ht="12.6" customHeight="1" x14ac:dyDescent="0.3">
      <c r="A121" s="420"/>
      <c r="B121" s="667" t="s">
        <v>1424</v>
      </c>
      <c r="C121" s="667" t="s">
        <v>1366</v>
      </c>
      <c r="D121" s="667" t="s">
        <v>1477</v>
      </c>
      <c r="E121" s="667"/>
      <c r="F121" s="667">
        <v>9</v>
      </c>
      <c r="G121" s="674">
        <v>9</v>
      </c>
      <c r="H121" s="420"/>
      <c r="I121" s="420"/>
      <c r="J121" s="420"/>
      <c r="K121" s="420"/>
      <c r="L121" s="420"/>
      <c r="M121" s="420"/>
      <c r="N121" s="420"/>
      <c r="O121" s="420"/>
      <c r="P121" s="420"/>
      <c r="Q121" s="420"/>
      <c r="R121" s="420"/>
      <c r="S121" s="420"/>
      <c r="T121" s="420"/>
      <c r="U121" s="420"/>
      <c r="V121" s="420"/>
      <c r="W121" s="420"/>
    </row>
    <row r="122" spans="1:23" ht="12.6" customHeight="1" x14ac:dyDescent="0.3">
      <c r="A122" s="420"/>
      <c r="B122" s="667" t="s">
        <v>1424</v>
      </c>
      <c r="C122" s="667" t="s">
        <v>1366</v>
      </c>
      <c r="D122" s="667" t="s">
        <v>1478</v>
      </c>
      <c r="E122" s="667"/>
      <c r="F122" s="667">
        <v>37</v>
      </c>
      <c r="G122" s="674">
        <v>37</v>
      </c>
      <c r="H122" s="420"/>
      <c r="I122" s="420"/>
      <c r="J122" s="420"/>
      <c r="K122" s="420"/>
      <c r="L122" s="420"/>
      <c r="M122" s="420"/>
      <c r="N122" s="420"/>
      <c r="O122" s="420"/>
      <c r="P122" s="420"/>
      <c r="Q122" s="420"/>
      <c r="R122" s="420"/>
      <c r="S122" s="420"/>
      <c r="T122" s="420"/>
      <c r="U122" s="420"/>
      <c r="V122" s="420"/>
      <c r="W122" s="420"/>
    </row>
    <row r="123" spans="1:23" ht="12.6" customHeight="1" x14ac:dyDescent="0.3">
      <c r="A123" s="420"/>
      <c r="B123" s="667" t="s">
        <v>1424</v>
      </c>
      <c r="C123" s="667" t="s">
        <v>1366</v>
      </c>
      <c r="D123" s="667" t="s">
        <v>1479</v>
      </c>
      <c r="E123" s="667"/>
      <c r="F123" s="667">
        <v>251</v>
      </c>
      <c r="G123" s="674">
        <v>251</v>
      </c>
      <c r="H123" s="420"/>
      <c r="I123" s="420"/>
      <c r="J123" s="420"/>
      <c r="K123" s="420"/>
      <c r="L123" s="420"/>
      <c r="M123" s="420"/>
      <c r="N123" s="420"/>
      <c r="O123" s="420"/>
      <c r="P123" s="420"/>
      <c r="Q123" s="420"/>
      <c r="R123" s="420"/>
      <c r="S123" s="420"/>
      <c r="T123" s="420"/>
      <c r="U123" s="420"/>
      <c r="V123" s="420"/>
      <c r="W123" s="420"/>
    </row>
    <row r="124" spans="1:23" ht="12.6" customHeight="1" x14ac:dyDescent="0.3">
      <c r="A124" s="420"/>
      <c r="B124" s="667" t="s">
        <v>1424</v>
      </c>
      <c r="C124" s="667" t="s">
        <v>1366</v>
      </c>
      <c r="D124" s="667" t="s">
        <v>1480</v>
      </c>
      <c r="E124" s="667">
        <v>468</v>
      </c>
      <c r="F124" s="667"/>
      <c r="G124" s="674">
        <v>468</v>
      </c>
      <c r="H124" s="420"/>
      <c r="I124" s="420"/>
      <c r="J124" s="420"/>
      <c r="K124" s="420"/>
      <c r="L124" s="420"/>
      <c r="M124" s="420"/>
      <c r="N124" s="420"/>
      <c r="O124" s="420"/>
      <c r="P124" s="420"/>
      <c r="Q124" s="420"/>
      <c r="R124" s="420"/>
      <c r="S124" s="420"/>
      <c r="T124" s="420"/>
      <c r="U124" s="420"/>
      <c r="V124" s="420"/>
      <c r="W124" s="420"/>
    </row>
    <row r="125" spans="1:23" ht="12.6" customHeight="1" x14ac:dyDescent="0.3">
      <c r="A125" s="420"/>
      <c r="B125" s="667" t="s">
        <v>1424</v>
      </c>
      <c r="C125" s="667" t="s">
        <v>1366</v>
      </c>
      <c r="D125" s="667" t="s">
        <v>1481</v>
      </c>
      <c r="E125" s="667">
        <v>259</v>
      </c>
      <c r="F125" s="667"/>
      <c r="G125" s="674">
        <v>259</v>
      </c>
      <c r="H125" s="420"/>
      <c r="I125" s="420"/>
      <c r="J125" s="420"/>
      <c r="K125" s="420"/>
      <c r="L125" s="420"/>
      <c r="M125" s="420"/>
      <c r="N125" s="420"/>
      <c r="O125" s="420"/>
      <c r="P125" s="420"/>
      <c r="Q125" s="420"/>
      <c r="R125" s="420"/>
      <c r="S125" s="420"/>
      <c r="T125" s="420"/>
      <c r="U125" s="420"/>
      <c r="V125" s="420"/>
      <c r="W125" s="420"/>
    </row>
    <row r="126" spans="1:23" ht="12.6" customHeight="1" x14ac:dyDescent="0.3">
      <c r="A126" s="420"/>
      <c r="B126" s="667" t="s">
        <v>1424</v>
      </c>
      <c r="C126" s="667" t="s">
        <v>1366</v>
      </c>
      <c r="D126" s="667" t="s">
        <v>1482</v>
      </c>
      <c r="E126" s="667">
        <v>70</v>
      </c>
      <c r="F126" s="667"/>
      <c r="G126" s="674">
        <v>70</v>
      </c>
      <c r="H126" s="420"/>
      <c r="I126" s="420"/>
      <c r="J126" s="420"/>
      <c r="K126" s="420"/>
      <c r="L126" s="420"/>
      <c r="M126" s="420"/>
      <c r="N126" s="420"/>
      <c r="O126" s="420"/>
      <c r="P126" s="420"/>
      <c r="Q126" s="420"/>
      <c r="R126" s="420"/>
      <c r="S126" s="420"/>
      <c r="T126" s="420"/>
      <c r="U126" s="420"/>
      <c r="V126" s="420"/>
      <c r="W126" s="420"/>
    </row>
    <row r="127" spans="1:23" ht="12.6" customHeight="1" x14ac:dyDescent="0.3">
      <c r="A127" s="420"/>
      <c r="B127" s="667" t="s">
        <v>1424</v>
      </c>
      <c r="C127" s="667" t="s">
        <v>1366</v>
      </c>
      <c r="D127" s="667" t="s">
        <v>1483</v>
      </c>
      <c r="E127" s="667">
        <v>301</v>
      </c>
      <c r="F127" s="667"/>
      <c r="G127" s="674">
        <v>301</v>
      </c>
      <c r="H127" s="420"/>
      <c r="I127" s="420"/>
      <c r="J127" s="420"/>
      <c r="K127" s="420"/>
      <c r="L127" s="420"/>
      <c r="M127" s="420"/>
      <c r="N127" s="420"/>
      <c r="O127" s="420"/>
      <c r="P127" s="420"/>
      <c r="Q127" s="420"/>
      <c r="R127" s="420"/>
      <c r="S127" s="420"/>
      <c r="T127" s="420"/>
      <c r="U127" s="420"/>
      <c r="V127" s="420"/>
      <c r="W127" s="420"/>
    </row>
    <row r="128" spans="1:23" ht="12.6" customHeight="1" x14ac:dyDescent="0.3">
      <c r="A128" s="420"/>
      <c r="B128" s="667" t="s">
        <v>1424</v>
      </c>
      <c r="C128" s="667" t="s">
        <v>1366</v>
      </c>
      <c r="D128" s="667" t="s">
        <v>1484</v>
      </c>
      <c r="E128" s="667">
        <v>47</v>
      </c>
      <c r="F128" s="667"/>
      <c r="G128" s="674">
        <v>47</v>
      </c>
      <c r="H128" s="420"/>
      <c r="I128" s="420"/>
      <c r="J128" s="420"/>
      <c r="K128" s="420"/>
      <c r="L128" s="420"/>
      <c r="M128" s="420"/>
      <c r="N128" s="420"/>
      <c r="O128" s="420"/>
      <c r="P128" s="420"/>
      <c r="Q128" s="420"/>
      <c r="R128" s="420"/>
      <c r="S128" s="420"/>
      <c r="T128" s="420"/>
      <c r="U128" s="420"/>
      <c r="V128" s="420"/>
      <c r="W128" s="420"/>
    </row>
    <row r="129" spans="1:23" ht="12.6" customHeight="1" x14ac:dyDescent="0.3">
      <c r="A129" s="420"/>
      <c r="B129" s="667" t="s">
        <v>1424</v>
      </c>
      <c r="C129" s="667" t="s">
        <v>1366</v>
      </c>
      <c r="D129" s="667" t="s">
        <v>1485</v>
      </c>
      <c r="E129" s="667">
        <v>18</v>
      </c>
      <c r="F129" s="667"/>
      <c r="G129" s="674">
        <v>18</v>
      </c>
      <c r="H129" s="420"/>
      <c r="I129" s="420"/>
      <c r="J129" s="420"/>
      <c r="K129" s="420"/>
      <c r="L129" s="420"/>
      <c r="M129" s="420"/>
      <c r="N129" s="420"/>
      <c r="O129" s="420"/>
      <c r="P129" s="420"/>
      <c r="Q129" s="420"/>
      <c r="R129" s="420"/>
      <c r="S129" s="420"/>
      <c r="T129" s="420"/>
      <c r="U129" s="420"/>
      <c r="V129" s="420"/>
      <c r="W129" s="420"/>
    </row>
    <row r="130" spans="1:23" ht="12.6" customHeight="1" x14ac:dyDescent="0.3">
      <c r="A130" s="420"/>
      <c r="B130" s="667" t="s">
        <v>1424</v>
      </c>
      <c r="C130" s="667" t="s">
        <v>1366</v>
      </c>
      <c r="D130" s="667" t="s">
        <v>1486</v>
      </c>
      <c r="E130" s="667">
        <v>35</v>
      </c>
      <c r="F130" s="667"/>
      <c r="G130" s="674">
        <v>35</v>
      </c>
      <c r="H130" s="420"/>
      <c r="I130" s="420"/>
      <c r="J130" s="420"/>
      <c r="K130" s="420"/>
      <c r="L130" s="420"/>
      <c r="M130" s="420"/>
      <c r="N130" s="420"/>
      <c r="O130" s="420"/>
      <c r="P130" s="420"/>
      <c r="Q130" s="420"/>
      <c r="R130" s="420"/>
      <c r="S130" s="420"/>
      <c r="T130" s="420"/>
      <c r="U130" s="420"/>
      <c r="V130" s="420"/>
      <c r="W130" s="420"/>
    </row>
    <row r="131" spans="1:23" ht="12.6" customHeight="1" x14ac:dyDescent="0.3">
      <c r="A131" s="420"/>
      <c r="B131" s="667" t="s">
        <v>1424</v>
      </c>
      <c r="C131" s="667" t="s">
        <v>1366</v>
      </c>
      <c r="D131" s="667" t="s">
        <v>1487</v>
      </c>
      <c r="E131" s="667"/>
      <c r="F131" s="667">
        <v>100</v>
      </c>
      <c r="G131" s="674">
        <v>100</v>
      </c>
      <c r="H131" s="420"/>
      <c r="I131" s="420"/>
      <c r="J131" s="420"/>
      <c r="K131" s="420"/>
      <c r="L131" s="420"/>
      <c r="M131" s="420"/>
      <c r="N131" s="420"/>
      <c r="O131" s="420"/>
      <c r="P131" s="420"/>
      <c r="Q131" s="420"/>
      <c r="R131" s="420"/>
      <c r="S131" s="420"/>
      <c r="T131" s="420"/>
      <c r="U131" s="420"/>
      <c r="V131" s="420"/>
      <c r="W131" s="420"/>
    </row>
    <row r="132" spans="1:23" ht="12.6" customHeight="1" x14ac:dyDescent="0.3">
      <c r="A132" s="420"/>
      <c r="B132" s="667" t="s">
        <v>1424</v>
      </c>
      <c r="C132" s="667" t="s">
        <v>1366</v>
      </c>
      <c r="D132" s="667" t="s">
        <v>1488</v>
      </c>
      <c r="E132" s="667"/>
      <c r="F132" s="667">
        <v>552</v>
      </c>
      <c r="G132" s="674">
        <v>552</v>
      </c>
      <c r="H132" s="420"/>
      <c r="I132" s="420"/>
      <c r="J132" s="420"/>
      <c r="K132" s="420"/>
      <c r="L132" s="420"/>
      <c r="M132" s="420"/>
      <c r="N132" s="420"/>
      <c r="O132" s="420"/>
      <c r="P132" s="420"/>
      <c r="Q132" s="420"/>
      <c r="R132" s="420"/>
      <c r="S132" s="420"/>
      <c r="T132" s="420"/>
      <c r="U132" s="420"/>
      <c r="V132" s="420"/>
      <c r="W132" s="420"/>
    </row>
    <row r="133" spans="1:23" ht="12.6" customHeight="1" x14ac:dyDescent="0.3">
      <c r="A133" s="420"/>
      <c r="B133" s="667" t="s">
        <v>1424</v>
      </c>
      <c r="C133" s="667" t="s">
        <v>1366</v>
      </c>
      <c r="D133" s="667" t="s">
        <v>1489</v>
      </c>
      <c r="E133" s="667"/>
      <c r="F133" s="667">
        <v>21</v>
      </c>
      <c r="G133" s="674">
        <v>21</v>
      </c>
      <c r="H133" s="420"/>
      <c r="I133" s="420"/>
      <c r="J133" s="420"/>
      <c r="K133" s="420"/>
      <c r="L133" s="420"/>
      <c r="M133" s="420"/>
      <c r="N133" s="420"/>
      <c r="O133" s="420"/>
      <c r="P133" s="420"/>
      <c r="Q133" s="420"/>
      <c r="R133" s="420"/>
      <c r="S133" s="420"/>
      <c r="T133" s="420"/>
      <c r="U133" s="420"/>
      <c r="V133" s="420"/>
      <c r="W133" s="420"/>
    </row>
    <row r="134" spans="1:23" ht="12.6" customHeight="1" x14ac:dyDescent="0.3">
      <c r="A134" s="420"/>
      <c r="B134" s="667" t="s">
        <v>1424</v>
      </c>
      <c r="C134" s="667" t="s">
        <v>1366</v>
      </c>
      <c r="D134" s="667" t="s">
        <v>1490</v>
      </c>
      <c r="E134" s="667"/>
      <c r="F134" s="667">
        <v>90</v>
      </c>
      <c r="G134" s="674">
        <v>90</v>
      </c>
      <c r="H134" s="420"/>
      <c r="I134" s="420"/>
      <c r="J134" s="420"/>
      <c r="K134" s="420"/>
      <c r="L134" s="420"/>
      <c r="M134" s="420"/>
      <c r="N134" s="420"/>
      <c r="O134" s="420"/>
      <c r="P134" s="420"/>
      <c r="Q134" s="420"/>
      <c r="R134" s="420"/>
      <c r="S134" s="420"/>
      <c r="T134" s="420"/>
      <c r="U134" s="420"/>
      <c r="V134" s="420"/>
      <c r="W134" s="420"/>
    </row>
    <row r="135" spans="1:23" ht="12.6" customHeight="1" x14ac:dyDescent="0.3">
      <c r="A135" s="420"/>
      <c r="B135" s="667" t="s">
        <v>1424</v>
      </c>
      <c r="C135" s="667" t="s">
        <v>1366</v>
      </c>
      <c r="D135" s="667" t="s">
        <v>1491</v>
      </c>
      <c r="E135" s="667"/>
      <c r="F135" s="667">
        <v>13</v>
      </c>
      <c r="G135" s="674">
        <v>13</v>
      </c>
      <c r="H135" s="420"/>
      <c r="I135" s="420"/>
      <c r="J135" s="420"/>
      <c r="K135" s="420"/>
      <c r="L135" s="420"/>
      <c r="M135" s="420"/>
      <c r="N135" s="420"/>
      <c r="O135" s="420"/>
      <c r="P135" s="420"/>
      <c r="Q135" s="420"/>
      <c r="R135" s="420"/>
      <c r="S135" s="420"/>
      <c r="T135" s="420"/>
      <c r="U135" s="420"/>
      <c r="V135" s="420"/>
      <c r="W135" s="420"/>
    </row>
    <row r="136" spans="1:23" ht="12.6" customHeight="1" x14ac:dyDescent="0.3">
      <c r="A136" s="420"/>
      <c r="B136" s="667" t="s">
        <v>1424</v>
      </c>
      <c r="C136" s="667" t="s">
        <v>1366</v>
      </c>
      <c r="D136" s="667" t="s">
        <v>1492</v>
      </c>
      <c r="E136" s="667"/>
      <c r="F136" s="667">
        <v>23</v>
      </c>
      <c r="G136" s="674">
        <v>23</v>
      </c>
      <c r="H136" s="420"/>
      <c r="I136" s="420"/>
      <c r="J136" s="420"/>
      <c r="K136" s="420"/>
      <c r="L136" s="420"/>
      <c r="M136" s="420"/>
      <c r="N136" s="420"/>
      <c r="O136" s="420"/>
      <c r="P136" s="420"/>
      <c r="Q136" s="420"/>
      <c r="R136" s="420"/>
      <c r="S136" s="420"/>
      <c r="T136" s="420"/>
      <c r="U136" s="420"/>
      <c r="V136" s="420"/>
      <c r="W136" s="420"/>
    </row>
    <row r="137" spans="1:23" ht="12.6" customHeight="1" x14ac:dyDescent="0.3">
      <c r="A137" s="420"/>
      <c r="B137" s="667" t="s">
        <v>1424</v>
      </c>
      <c r="C137" s="667" t="s">
        <v>1367</v>
      </c>
      <c r="D137" s="667" t="s">
        <v>1493</v>
      </c>
      <c r="E137" s="667">
        <v>30</v>
      </c>
      <c r="F137" s="667"/>
      <c r="G137" s="674">
        <v>30</v>
      </c>
      <c r="H137" s="420"/>
      <c r="I137" s="420"/>
      <c r="J137" s="420"/>
      <c r="K137" s="420"/>
      <c r="L137" s="420"/>
      <c r="M137" s="420"/>
      <c r="N137" s="420"/>
      <c r="O137" s="420"/>
      <c r="P137" s="420"/>
      <c r="Q137" s="420"/>
      <c r="R137" s="420"/>
      <c r="S137" s="420"/>
      <c r="T137" s="420"/>
      <c r="U137" s="420"/>
      <c r="V137" s="420"/>
      <c r="W137" s="420"/>
    </row>
    <row r="138" spans="1:23" ht="12.6" customHeight="1" x14ac:dyDescent="0.3">
      <c r="A138" s="420"/>
      <c r="B138" s="667" t="s">
        <v>1424</v>
      </c>
      <c r="C138" s="667" t="s">
        <v>1367</v>
      </c>
      <c r="D138" s="667" t="s">
        <v>1494</v>
      </c>
      <c r="E138" s="667">
        <v>40</v>
      </c>
      <c r="F138" s="667"/>
      <c r="G138" s="674">
        <v>40</v>
      </c>
      <c r="H138" s="420"/>
      <c r="I138" s="420"/>
      <c r="J138" s="420"/>
      <c r="K138" s="420"/>
      <c r="L138" s="420"/>
      <c r="M138" s="420"/>
      <c r="N138" s="420"/>
      <c r="O138" s="420"/>
      <c r="P138" s="420"/>
      <c r="Q138" s="420"/>
      <c r="R138" s="420"/>
      <c r="S138" s="420"/>
      <c r="T138" s="420"/>
      <c r="U138" s="420"/>
      <c r="V138" s="420"/>
      <c r="W138" s="420"/>
    </row>
    <row r="139" spans="1:23" ht="12.6" customHeight="1" x14ac:dyDescent="0.3">
      <c r="A139" s="420"/>
      <c r="B139" s="667" t="s">
        <v>1424</v>
      </c>
      <c r="C139" s="667" t="s">
        <v>1367</v>
      </c>
      <c r="D139" s="667" t="s">
        <v>1495</v>
      </c>
      <c r="E139" s="667">
        <v>235</v>
      </c>
      <c r="F139" s="667"/>
      <c r="G139" s="674">
        <v>235</v>
      </c>
      <c r="H139" s="420"/>
      <c r="I139" s="420"/>
      <c r="J139" s="420"/>
      <c r="K139" s="420"/>
      <c r="L139" s="420"/>
      <c r="M139" s="420"/>
      <c r="N139" s="420"/>
      <c r="O139" s="420"/>
      <c r="P139" s="420"/>
      <c r="Q139" s="420"/>
      <c r="R139" s="420"/>
      <c r="S139" s="420"/>
      <c r="T139" s="420"/>
      <c r="U139" s="420"/>
      <c r="V139" s="420"/>
      <c r="W139" s="420"/>
    </row>
    <row r="140" spans="1:23" ht="12.6" customHeight="1" x14ac:dyDescent="0.3">
      <c r="A140" s="420"/>
      <c r="B140" s="667" t="s">
        <v>1424</v>
      </c>
      <c r="C140" s="667" t="s">
        <v>1367</v>
      </c>
      <c r="D140" s="667" t="s">
        <v>1496</v>
      </c>
      <c r="E140" s="667">
        <v>24</v>
      </c>
      <c r="F140" s="667"/>
      <c r="G140" s="674">
        <v>24</v>
      </c>
      <c r="H140" s="420"/>
      <c r="I140" s="420"/>
      <c r="J140" s="420"/>
      <c r="K140" s="420"/>
      <c r="L140" s="420"/>
      <c r="M140" s="420"/>
      <c r="N140" s="420"/>
      <c r="O140" s="420"/>
      <c r="P140" s="420"/>
      <c r="Q140" s="420"/>
      <c r="R140" s="420"/>
      <c r="S140" s="420"/>
      <c r="T140" s="420"/>
      <c r="U140" s="420"/>
      <c r="V140" s="420"/>
      <c r="W140" s="420"/>
    </row>
    <row r="141" spans="1:23" ht="12.6" customHeight="1" x14ac:dyDescent="0.3">
      <c r="A141" s="420"/>
      <c r="B141" s="667" t="s">
        <v>1424</v>
      </c>
      <c r="C141" s="667" t="s">
        <v>1368</v>
      </c>
      <c r="D141" s="667" t="s">
        <v>1497</v>
      </c>
      <c r="E141" s="667"/>
      <c r="F141" s="667">
        <v>8</v>
      </c>
      <c r="G141" s="674">
        <v>8</v>
      </c>
      <c r="H141" s="420"/>
      <c r="I141" s="420"/>
      <c r="J141" s="420"/>
      <c r="K141" s="420"/>
      <c r="L141" s="420"/>
      <c r="M141" s="420"/>
      <c r="N141" s="420"/>
      <c r="O141" s="420"/>
      <c r="P141" s="420"/>
      <c r="Q141" s="420"/>
      <c r="R141" s="420"/>
      <c r="S141" s="420"/>
      <c r="T141" s="420"/>
      <c r="U141" s="420"/>
      <c r="V141" s="420"/>
      <c r="W141" s="420"/>
    </row>
    <row r="142" spans="1:23" ht="12.6" customHeight="1" x14ac:dyDescent="0.3">
      <c r="A142" s="420"/>
      <c r="B142" s="667" t="s">
        <v>1424</v>
      </c>
      <c r="C142" s="667" t="s">
        <v>1368</v>
      </c>
      <c r="D142" s="667" t="s">
        <v>1498</v>
      </c>
      <c r="E142" s="667"/>
      <c r="F142" s="667">
        <v>8</v>
      </c>
      <c r="G142" s="674">
        <v>8</v>
      </c>
      <c r="H142" s="420"/>
      <c r="I142" s="420"/>
      <c r="J142" s="420"/>
      <c r="K142" s="420"/>
      <c r="L142" s="420"/>
      <c r="M142" s="420"/>
      <c r="N142" s="420"/>
      <c r="O142" s="420"/>
      <c r="P142" s="420"/>
      <c r="Q142" s="420"/>
      <c r="R142" s="420"/>
      <c r="S142" s="420"/>
      <c r="T142" s="420"/>
      <c r="U142" s="420"/>
      <c r="V142" s="420"/>
      <c r="W142" s="420"/>
    </row>
    <row r="143" spans="1:23" ht="12.6" customHeight="1" x14ac:dyDescent="0.3">
      <c r="A143" s="420"/>
      <c r="B143" s="667" t="s">
        <v>1424</v>
      </c>
      <c r="C143" s="667" t="s">
        <v>1368</v>
      </c>
      <c r="D143" s="667" t="s">
        <v>1499</v>
      </c>
      <c r="E143" s="667"/>
      <c r="F143" s="667">
        <v>18</v>
      </c>
      <c r="G143" s="674">
        <v>18</v>
      </c>
      <c r="H143" s="420"/>
      <c r="I143" s="420"/>
      <c r="J143" s="420"/>
      <c r="K143" s="420"/>
      <c r="L143" s="420"/>
      <c r="M143" s="420"/>
      <c r="N143" s="420"/>
      <c r="O143" s="420"/>
      <c r="P143" s="420"/>
      <c r="Q143" s="420"/>
      <c r="R143" s="420"/>
      <c r="S143" s="420"/>
      <c r="T143" s="420"/>
      <c r="U143" s="420"/>
      <c r="V143" s="420"/>
      <c r="W143" s="420"/>
    </row>
    <row r="144" spans="1:23" ht="12.6" customHeight="1" x14ac:dyDescent="0.3">
      <c r="A144" s="420"/>
      <c r="B144" s="667" t="s">
        <v>1424</v>
      </c>
      <c r="C144" s="667" t="s">
        <v>1368</v>
      </c>
      <c r="D144" s="667" t="s">
        <v>1500</v>
      </c>
      <c r="E144" s="667"/>
      <c r="F144" s="667">
        <v>20</v>
      </c>
      <c r="G144" s="674">
        <v>20</v>
      </c>
      <c r="H144" s="420"/>
      <c r="I144" s="420"/>
      <c r="J144" s="420"/>
      <c r="K144" s="420"/>
      <c r="L144" s="420"/>
      <c r="M144" s="420"/>
      <c r="N144" s="420"/>
      <c r="O144" s="420"/>
      <c r="P144" s="420"/>
      <c r="Q144" s="420"/>
      <c r="R144" s="420"/>
      <c r="S144" s="420"/>
      <c r="T144" s="420"/>
      <c r="U144" s="420"/>
      <c r="V144" s="420"/>
      <c r="W144" s="420"/>
    </row>
    <row r="145" spans="1:23" ht="12.6" customHeight="1" x14ac:dyDescent="0.3">
      <c r="A145" s="420"/>
      <c r="B145" s="667" t="s">
        <v>1424</v>
      </c>
      <c r="C145" s="667" t="s">
        <v>1368</v>
      </c>
      <c r="D145" s="667" t="s">
        <v>1501</v>
      </c>
      <c r="E145" s="667"/>
      <c r="F145" s="667">
        <v>9</v>
      </c>
      <c r="G145" s="674">
        <v>9</v>
      </c>
      <c r="H145" s="420"/>
      <c r="I145" s="420"/>
      <c r="J145" s="420"/>
      <c r="K145" s="420"/>
      <c r="L145" s="420"/>
      <c r="M145" s="420"/>
      <c r="N145" s="420"/>
      <c r="O145" s="420"/>
      <c r="P145" s="420"/>
      <c r="Q145" s="420"/>
      <c r="R145" s="420"/>
      <c r="S145" s="420"/>
      <c r="T145" s="420"/>
      <c r="U145" s="420"/>
      <c r="V145" s="420"/>
      <c r="W145" s="420"/>
    </row>
    <row r="146" spans="1:23" ht="12.6" customHeight="1" x14ac:dyDescent="0.3">
      <c r="A146" s="420"/>
      <c r="B146" s="667" t="s">
        <v>1424</v>
      </c>
      <c r="C146" s="667" t="s">
        <v>1368</v>
      </c>
      <c r="D146" s="667" t="s">
        <v>1502</v>
      </c>
      <c r="E146" s="667"/>
      <c r="F146" s="667">
        <v>19</v>
      </c>
      <c r="G146" s="674">
        <v>19</v>
      </c>
      <c r="H146" s="420"/>
      <c r="I146" s="420"/>
      <c r="J146" s="420"/>
      <c r="K146" s="420"/>
      <c r="L146" s="420"/>
      <c r="M146" s="420"/>
      <c r="N146" s="420"/>
      <c r="O146" s="420"/>
      <c r="P146" s="420"/>
      <c r="Q146" s="420"/>
      <c r="R146" s="420"/>
      <c r="S146" s="420"/>
      <c r="T146" s="420"/>
      <c r="U146" s="420"/>
      <c r="V146" s="420"/>
      <c r="W146" s="420"/>
    </row>
    <row r="147" spans="1:23" ht="12.6" customHeight="1" x14ac:dyDescent="0.3">
      <c r="A147" s="420"/>
      <c r="B147" s="667" t="s">
        <v>1424</v>
      </c>
      <c r="C147" s="667" t="s">
        <v>1368</v>
      </c>
      <c r="D147" s="667" t="s">
        <v>1503</v>
      </c>
      <c r="E147" s="667"/>
      <c r="F147" s="667">
        <v>25</v>
      </c>
      <c r="G147" s="674">
        <v>25</v>
      </c>
      <c r="H147" s="420"/>
      <c r="I147" s="420"/>
      <c r="J147" s="420"/>
      <c r="K147" s="420"/>
      <c r="L147" s="420"/>
      <c r="M147" s="420"/>
      <c r="N147" s="420"/>
      <c r="O147" s="420"/>
      <c r="P147" s="420"/>
      <c r="Q147" s="420"/>
      <c r="R147" s="420"/>
      <c r="S147" s="420"/>
      <c r="T147" s="420"/>
      <c r="U147" s="420"/>
      <c r="V147" s="420"/>
      <c r="W147" s="420"/>
    </row>
    <row r="148" spans="1:23" ht="12.6" customHeight="1" x14ac:dyDescent="0.3">
      <c r="A148" s="420"/>
      <c r="B148" s="667" t="s">
        <v>1424</v>
      </c>
      <c r="C148" s="667" t="s">
        <v>1368</v>
      </c>
      <c r="D148" s="667" t="s">
        <v>1504</v>
      </c>
      <c r="E148" s="667"/>
      <c r="F148" s="667">
        <v>12</v>
      </c>
      <c r="G148" s="674">
        <v>12</v>
      </c>
      <c r="H148" s="420"/>
      <c r="I148" s="420"/>
      <c r="J148" s="420"/>
      <c r="K148" s="420"/>
      <c r="L148" s="420"/>
      <c r="M148" s="420"/>
      <c r="N148" s="420"/>
      <c r="O148" s="420"/>
      <c r="P148" s="420"/>
      <c r="Q148" s="420"/>
      <c r="R148" s="420"/>
      <c r="S148" s="420"/>
      <c r="T148" s="420"/>
      <c r="U148" s="420"/>
      <c r="V148" s="420"/>
      <c r="W148" s="420"/>
    </row>
    <row r="149" spans="1:23" ht="12.6" customHeight="1" x14ac:dyDescent="0.3">
      <c r="A149" s="420"/>
      <c r="B149" s="667" t="s">
        <v>1424</v>
      </c>
      <c r="C149" s="667" t="s">
        <v>1368</v>
      </c>
      <c r="D149" s="667" t="s">
        <v>1505</v>
      </c>
      <c r="E149" s="667"/>
      <c r="F149" s="667">
        <v>22</v>
      </c>
      <c r="G149" s="674">
        <v>22</v>
      </c>
      <c r="H149" s="420"/>
      <c r="I149" s="420"/>
      <c r="J149" s="420"/>
      <c r="K149" s="420"/>
      <c r="L149" s="420"/>
      <c r="M149" s="420"/>
      <c r="N149" s="420"/>
      <c r="O149" s="420"/>
      <c r="P149" s="420"/>
      <c r="Q149" s="420"/>
      <c r="R149" s="420"/>
      <c r="S149" s="420"/>
      <c r="T149" s="420"/>
      <c r="U149" s="420"/>
      <c r="V149" s="420"/>
      <c r="W149" s="420"/>
    </row>
    <row r="150" spans="1:23" ht="12.6" customHeight="1" x14ac:dyDescent="0.3">
      <c r="A150" s="420"/>
      <c r="B150" s="667" t="s">
        <v>1424</v>
      </c>
      <c r="C150" s="667" t="s">
        <v>1368</v>
      </c>
      <c r="D150" s="667" t="s">
        <v>1506</v>
      </c>
      <c r="E150" s="667"/>
      <c r="F150" s="667">
        <v>20</v>
      </c>
      <c r="G150" s="674">
        <v>20</v>
      </c>
      <c r="H150" s="420"/>
      <c r="I150" s="420"/>
      <c r="J150" s="420"/>
      <c r="K150" s="420"/>
      <c r="L150" s="420"/>
      <c r="M150" s="420"/>
      <c r="N150" s="420"/>
      <c r="O150" s="420"/>
      <c r="P150" s="420"/>
      <c r="Q150" s="420"/>
      <c r="R150" s="420"/>
      <c r="S150" s="420"/>
      <c r="T150" s="420"/>
      <c r="U150" s="420"/>
      <c r="V150" s="420"/>
      <c r="W150" s="420"/>
    </row>
    <row r="151" spans="1:23" ht="12.6" customHeight="1" x14ac:dyDescent="0.3">
      <c r="A151" s="420"/>
      <c r="B151" s="667" t="s">
        <v>1424</v>
      </c>
      <c r="C151" s="667" t="s">
        <v>1368</v>
      </c>
      <c r="D151" s="667" t="s">
        <v>1507</v>
      </c>
      <c r="E151" s="667"/>
      <c r="F151" s="667">
        <v>25</v>
      </c>
      <c r="G151" s="674">
        <v>25</v>
      </c>
      <c r="H151" s="420"/>
      <c r="I151" s="420"/>
      <c r="J151" s="420"/>
      <c r="K151" s="420"/>
      <c r="L151" s="420"/>
      <c r="M151" s="420"/>
      <c r="N151" s="420"/>
      <c r="O151" s="420"/>
      <c r="P151" s="420"/>
      <c r="Q151" s="420"/>
      <c r="R151" s="420"/>
      <c r="S151" s="420"/>
      <c r="T151" s="420"/>
      <c r="U151" s="420"/>
      <c r="V151" s="420"/>
      <c r="W151" s="420"/>
    </row>
    <row r="152" spans="1:23" ht="12.6" customHeight="1" x14ac:dyDescent="0.3">
      <c r="A152" s="420"/>
      <c r="B152" s="667" t="s">
        <v>1424</v>
      </c>
      <c r="C152" s="667" t="s">
        <v>1368</v>
      </c>
      <c r="D152" s="667" t="s">
        <v>1508</v>
      </c>
      <c r="E152" s="667"/>
      <c r="F152" s="667">
        <v>5</v>
      </c>
      <c r="G152" s="674">
        <v>5</v>
      </c>
      <c r="H152" s="420"/>
      <c r="I152" s="420"/>
      <c r="J152" s="420"/>
      <c r="K152" s="420"/>
      <c r="L152" s="420"/>
      <c r="M152" s="420"/>
      <c r="N152" s="420"/>
      <c r="O152" s="420"/>
      <c r="P152" s="420"/>
      <c r="Q152" s="420"/>
      <c r="R152" s="420"/>
      <c r="S152" s="420"/>
      <c r="T152" s="420"/>
      <c r="U152" s="420"/>
      <c r="V152" s="420"/>
      <c r="W152" s="420"/>
    </row>
    <row r="153" spans="1:23" ht="12.6" customHeight="1" x14ac:dyDescent="0.3">
      <c r="A153" s="420"/>
      <c r="B153" s="667" t="s">
        <v>1424</v>
      </c>
      <c r="C153" s="667" t="s">
        <v>1368</v>
      </c>
      <c r="D153" s="667" t="s">
        <v>1509</v>
      </c>
      <c r="E153" s="667"/>
      <c r="F153" s="667">
        <v>27</v>
      </c>
      <c r="G153" s="674">
        <v>27</v>
      </c>
      <c r="H153" s="420"/>
      <c r="I153" s="420"/>
      <c r="J153" s="420"/>
      <c r="K153" s="420"/>
      <c r="L153" s="420"/>
      <c r="M153" s="420"/>
      <c r="N153" s="420"/>
      <c r="O153" s="420"/>
      <c r="P153" s="420"/>
      <c r="Q153" s="420"/>
      <c r="R153" s="420"/>
      <c r="S153" s="420"/>
      <c r="T153" s="420"/>
      <c r="U153" s="420"/>
      <c r="V153" s="420"/>
      <c r="W153" s="420"/>
    </row>
    <row r="154" spans="1:23" ht="12.6" customHeight="1" x14ac:dyDescent="0.3">
      <c r="A154" s="420"/>
      <c r="B154" s="667" t="s">
        <v>1424</v>
      </c>
      <c r="C154" s="667" t="s">
        <v>1368</v>
      </c>
      <c r="D154" s="667" t="s">
        <v>1510</v>
      </c>
      <c r="E154" s="667">
        <v>1029</v>
      </c>
      <c r="F154" s="667"/>
      <c r="G154" s="678">
        <v>1029</v>
      </c>
      <c r="H154" s="420"/>
      <c r="I154" s="420"/>
      <c r="J154" s="420"/>
      <c r="K154" s="420"/>
      <c r="L154" s="420"/>
      <c r="M154" s="420"/>
      <c r="N154" s="420"/>
      <c r="O154" s="420"/>
      <c r="P154" s="420"/>
      <c r="Q154" s="420"/>
      <c r="R154" s="420"/>
      <c r="S154" s="420"/>
      <c r="T154" s="420"/>
      <c r="U154" s="420"/>
      <c r="V154" s="420"/>
      <c r="W154" s="420"/>
    </row>
    <row r="155" spans="1:23" ht="12.6" customHeight="1" x14ac:dyDescent="0.3">
      <c r="A155" s="420"/>
      <c r="B155" s="667" t="s">
        <v>1424</v>
      </c>
      <c r="C155" s="667" t="s">
        <v>1368</v>
      </c>
      <c r="D155" s="667" t="s">
        <v>1511</v>
      </c>
      <c r="E155" s="667"/>
      <c r="F155" s="667">
        <v>11</v>
      </c>
      <c r="G155" s="674">
        <v>11</v>
      </c>
      <c r="H155" s="420"/>
      <c r="I155" s="420"/>
      <c r="J155" s="420"/>
      <c r="K155" s="420"/>
      <c r="L155" s="420"/>
      <c r="M155" s="420"/>
      <c r="N155" s="420"/>
      <c r="O155" s="420"/>
      <c r="P155" s="420"/>
      <c r="Q155" s="420"/>
      <c r="R155" s="420"/>
      <c r="S155" s="420"/>
      <c r="T155" s="420"/>
      <c r="U155" s="420"/>
      <c r="V155" s="420"/>
      <c r="W155" s="420"/>
    </row>
    <row r="156" spans="1:23" ht="12.6" customHeight="1" x14ac:dyDescent="0.3">
      <c r="A156" s="420"/>
      <c r="B156" s="667" t="s">
        <v>1424</v>
      </c>
      <c r="C156" s="667" t="s">
        <v>1368</v>
      </c>
      <c r="D156" s="667" t="s">
        <v>1512</v>
      </c>
      <c r="E156" s="667">
        <v>732</v>
      </c>
      <c r="F156" s="667"/>
      <c r="G156" s="674">
        <v>732</v>
      </c>
      <c r="H156" s="420"/>
      <c r="I156" s="420"/>
      <c r="J156" s="420"/>
      <c r="K156" s="420"/>
      <c r="L156" s="420"/>
      <c r="M156" s="420"/>
      <c r="N156" s="420"/>
      <c r="O156" s="420"/>
      <c r="P156" s="420"/>
      <c r="Q156" s="420"/>
      <c r="R156" s="420"/>
      <c r="S156" s="420"/>
      <c r="T156" s="420"/>
      <c r="U156" s="420"/>
      <c r="V156" s="420"/>
      <c r="W156" s="420"/>
    </row>
    <row r="157" spans="1:23" ht="12.6" customHeight="1" x14ac:dyDescent="0.3">
      <c r="A157" s="420"/>
      <c r="B157" s="667" t="s">
        <v>1424</v>
      </c>
      <c r="C157" s="667" t="s">
        <v>1368</v>
      </c>
      <c r="D157" s="667" t="s">
        <v>1513</v>
      </c>
      <c r="E157" s="667">
        <v>355</v>
      </c>
      <c r="F157" s="667">
        <v>23</v>
      </c>
      <c r="G157" s="674">
        <v>378</v>
      </c>
      <c r="H157" s="420"/>
      <c r="I157" s="420"/>
      <c r="J157" s="420"/>
      <c r="K157" s="420"/>
      <c r="L157" s="420"/>
      <c r="M157" s="420"/>
      <c r="N157" s="420"/>
      <c r="O157" s="420"/>
      <c r="P157" s="420"/>
      <c r="Q157" s="420"/>
      <c r="R157" s="420"/>
      <c r="S157" s="420"/>
      <c r="T157" s="420"/>
      <c r="U157" s="420"/>
      <c r="V157" s="420"/>
      <c r="W157" s="420"/>
    </row>
    <row r="158" spans="1:23" ht="12.6" customHeight="1" x14ac:dyDescent="0.3">
      <c r="A158" s="420"/>
      <c r="B158" s="667" t="s">
        <v>1424</v>
      </c>
      <c r="C158" s="667" t="s">
        <v>1368</v>
      </c>
      <c r="D158" s="667" t="s">
        <v>1514</v>
      </c>
      <c r="E158" s="667">
        <v>78</v>
      </c>
      <c r="F158" s="667"/>
      <c r="G158" s="674">
        <v>78</v>
      </c>
      <c r="H158" s="420"/>
      <c r="I158" s="420"/>
      <c r="J158" s="420"/>
      <c r="K158" s="420"/>
      <c r="L158" s="420"/>
      <c r="M158" s="420"/>
      <c r="N158" s="420"/>
      <c r="O158" s="420"/>
      <c r="P158" s="420"/>
      <c r="Q158" s="420"/>
      <c r="R158" s="420"/>
      <c r="S158" s="420"/>
      <c r="T158" s="420"/>
      <c r="U158" s="420"/>
      <c r="V158" s="420"/>
      <c r="W158" s="420"/>
    </row>
    <row r="159" spans="1:23" ht="12.6" customHeight="1" x14ac:dyDescent="0.3">
      <c r="A159" s="420"/>
      <c r="B159" s="667" t="s">
        <v>1424</v>
      </c>
      <c r="C159" s="667" t="s">
        <v>1368</v>
      </c>
      <c r="D159" s="667" t="s">
        <v>1515</v>
      </c>
      <c r="E159" s="667"/>
      <c r="F159" s="667">
        <v>300</v>
      </c>
      <c r="G159" s="674">
        <v>300</v>
      </c>
      <c r="H159" s="420"/>
      <c r="I159" s="420"/>
      <c r="J159" s="420"/>
      <c r="K159" s="420"/>
      <c r="L159" s="420"/>
      <c r="M159" s="420"/>
      <c r="N159" s="420"/>
      <c r="O159" s="420"/>
      <c r="P159" s="420"/>
      <c r="Q159" s="420"/>
      <c r="R159" s="420"/>
      <c r="S159" s="420"/>
      <c r="T159" s="420"/>
      <c r="U159" s="420"/>
      <c r="V159" s="420"/>
      <c r="W159" s="420"/>
    </row>
    <row r="160" spans="1:23" ht="12.6" customHeight="1" x14ac:dyDescent="0.3">
      <c r="A160" s="420"/>
      <c r="B160" s="667" t="s">
        <v>1424</v>
      </c>
      <c r="C160" s="667" t="s">
        <v>1368</v>
      </c>
      <c r="D160" s="667" t="s">
        <v>1516</v>
      </c>
      <c r="E160" s="667"/>
      <c r="F160" s="667">
        <v>14</v>
      </c>
      <c r="G160" s="674">
        <v>14</v>
      </c>
      <c r="H160" s="420"/>
      <c r="I160" s="420"/>
      <c r="J160" s="420"/>
      <c r="K160" s="420"/>
      <c r="L160" s="420"/>
      <c r="M160" s="420"/>
      <c r="N160" s="420"/>
      <c r="O160" s="420"/>
      <c r="P160" s="420"/>
      <c r="Q160" s="420"/>
      <c r="R160" s="420"/>
      <c r="S160" s="420"/>
      <c r="T160" s="420"/>
      <c r="U160" s="420"/>
      <c r="V160" s="420"/>
      <c r="W160" s="420"/>
    </row>
    <row r="161" spans="1:23" ht="12.6" customHeight="1" x14ac:dyDescent="0.3">
      <c r="A161" s="420"/>
      <c r="B161" s="667" t="s">
        <v>1424</v>
      </c>
      <c r="C161" s="667" t="s">
        <v>1517</v>
      </c>
      <c r="D161" s="667" t="s">
        <v>1518</v>
      </c>
      <c r="E161" s="667"/>
      <c r="F161" s="667">
        <v>60</v>
      </c>
      <c r="G161" s="674">
        <v>60</v>
      </c>
      <c r="H161" s="420"/>
      <c r="I161" s="420"/>
      <c r="J161" s="420"/>
      <c r="K161" s="420"/>
      <c r="L161" s="420"/>
      <c r="M161" s="420"/>
      <c r="N161" s="420"/>
      <c r="O161" s="420"/>
      <c r="P161" s="420"/>
      <c r="Q161" s="420"/>
      <c r="R161" s="420"/>
      <c r="S161" s="420"/>
      <c r="T161" s="420"/>
      <c r="U161" s="420"/>
      <c r="V161" s="420"/>
      <c r="W161" s="420"/>
    </row>
    <row r="162" spans="1:23" ht="12.6" customHeight="1" x14ac:dyDescent="0.3">
      <c r="A162" s="420"/>
      <c r="B162" s="667" t="s">
        <v>1424</v>
      </c>
      <c r="C162" s="667" t="s">
        <v>1517</v>
      </c>
      <c r="D162" s="667" t="s">
        <v>1519</v>
      </c>
      <c r="E162" s="667"/>
      <c r="F162" s="667">
        <v>40</v>
      </c>
      <c r="G162" s="674">
        <v>40</v>
      </c>
      <c r="H162" s="420"/>
      <c r="I162" s="420"/>
      <c r="J162" s="420"/>
      <c r="K162" s="420"/>
      <c r="L162" s="420"/>
      <c r="M162" s="420"/>
      <c r="N162" s="420"/>
      <c r="O162" s="420"/>
      <c r="P162" s="420"/>
      <c r="Q162" s="420"/>
      <c r="R162" s="420"/>
      <c r="S162" s="420"/>
      <c r="T162" s="420"/>
      <c r="U162" s="420"/>
      <c r="V162" s="420"/>
      <c r="W162" s="420"/>
    </row>
    <row r="163" spans="1:23" ht="12.6" customHeight="1" x14ac:dyDescent="0.3">
      <c r="A163" s="420"/>
      <c r="B163" s="667" t="s">
        <v>1424</v>
      </c>
      <c r="C163" s="667" t="s">
        <v>1517</v>
      </c>
      <c r="D163" s="667" t="s">
        <v>1520</v>
      </c>
      <c r="E163" s="667"/>
      <c r="F163" s="667">
        <v>300</v>
      </c>
      <c r="G163" s="674">
        <v>300</v>
      </c>
      <c r="H163" s="420"/>
      <c r="I163" s="420"/>
      <c r="J163" s="420"/>
      <c r="K163" s="420"/>
      <c r="L163" s="420"/>
      <c r="M163" s="420"/>
      <c r="N163" s="420"/>
      <c r="O163" s="420"/>
      <c r="P163" s="420"/>
      <c r="Q163" s="420"/>
      <c r="R163" s="420"/>
      <c r="S163" s="420"/>
      <c r="T163" s="420"/>
      <c r="U163" s="420"/>
      <c r="V163" s="420"/>
      <c r="W163" s="420"/>
    </row>
    <row r="164" spans="1:23" x14ac:dyDescent="0.3">
      <c r="A164" s="420"/>
      <c r="B164" s="667" t="s">
        <v>1424</v>
      </c>
      <c r="C164" s="667" t="s">
        <v>1517</v>
      </c>
      <c r="D164" s="667" t="s">
        <v>1521</v>
      </c>
      <c r="E164" s="667"/>
      <c r="F164" s="667">
        <v>70</v>
      </c>
      <c r="G164" s="674">
        <v>70</v>
      </c>
      <c r="H164" s="420"/>
      <c r="I164" s="420"/>
      <c r="J164" s="420"/>
      <c r="K164" s="420"/>
      <c r="L164" s="420"/>
      <c r="M164" s="420"/>
      <c r="N164" s="420"/>
      <c r="O164" s="420"/>
      <c r="P164" s="420"/>
      <c r="Q164" s="420"/>
      <c r="R164" s="420"/>
      <c r="S164" s="420"/>
      <c r="T164" s="420"/>
      <c r="U164" s="420"/>
      <c r="V164" s="420"/>
      <c r="W164" s="420"/>
    </row>
    <row r="165" spans="1:23" x14ac:dyDescent="0.3">
      <c r="A165" s="420"/>
      <c r="B165" s="667" t="s">
        <v>1424</v>
      </c>
      <c r="C165" s="667" t="s">
        <v>1517</v>
      </c>
      <c r="D165" s="667" t="s">
        <v>1522</v>
      </c>
      <c r="E165" s="667"/>
      <c r="F165" s="667">
        <v>20</v>
      </c>
      <c r="G165" s="674">
        <v>20</v>
      </c>
      <c r="H165" s="420"/>
      <c r="I165" s="420"/>
      <c r="J165" s="420"/>
      <c r="K165" s="420"/>
      <c r="L165" s="420"/>
      <c r="M165" s="420"/>
      <c r="N165" s="420"/>
      <c r="O165" s="420"/>
      <c r="P165" s="420"/>
      <c r="Q165" s="420"/>
      <c r="R165" s="420"/>
      <c r="S165" s="420"/>
      <c r="T165" s="420"/>
      <c r="U165" s="420"/>
      <c r="V165" s="420"/>
      <c r="W165" s="420"/>
    </row>
    <row r="166" spans="1:23" x14ac:dyDescent="0.3">
      <c r="A166" s="420"/>
      <c r="B166" s="667" t="s">
        <v>1424</v>
      </c>
      <c r="C166" s="667" t="s">
        <v>1517</v>
      </c>
      <c r="D166" s="667" t="s">
        <v>1523</v>
      </c>
      <c r="E166" s="667"/>
      <c r="F166" s="667">
        <v>15</v>
      </c>
      <c r="G166" s="674">
        <v>15</v>
      </c>
      <c r="H166" s="420"/>
      <c r="I166" s="420"/>
      <c r="J166" s="420"/>
      <c r="K166" s="420"/>
      <c r="L166" s="420"/>
      <c r="M166" s="420"/>
      <c r="N166" s="420"/>
      <c r="O166" s="420"/>
      <c r="P166" s="420"/>
      <c r="Q166" s="420"/>
      <c r="R166" s="420"/>
      <c r="S166" s="420"/>
      <c r="T166" s="420"/>
      <c r="U166" s="420"/>
      <c r="V166" s="420"/>
      <c r="W166" s="420"/>
    </row>
    <row r="167" spans="1:23" x14ac:dyDescent="0.3">
      <c r="A167" s="420"/>
      <c r="B167" s="667" t="s">
        <v>1424</v>
      </c>
      <c r="C167" s="667" t="s">
        <v>1517</v>
      </c>
      <c r="D167" s="667" t="s">
        <v>1524</v>
      </c>
      <c r="E167" s="667"/>
      <c r="F167" s="667">
        <v>15</v>
      </c>
      <c r="G167" s="674">
        <v>15</v>
      </c>
      <c r="H167" s="420"/>
      <c r="I167" s="420"/>
      <c r="J167" s="420"/>
      <c r="K167" s="420"/>
      <c r="L167" s="420"/>
      <c r="M167" s="420"/>
      <c r="N167" s="420"/>
      <c r="O167" s="420"/>
      <c r="P167" s="420"/>
      <c r="Q167" s="420"/>
      <c r="R167" s="420"/>
      <c r="S167" s="420"/>
      <c r="T167" s="420"/>
      <c r="U167" s="420"/>
      <c r="V167" s="420"/>
      <c r="W167" s="420"/>
    </row>
    <row r="168" spans="1:23" x14ac:dyDescent="0.3">
      <c r="A168" s="420"/>
      <c r="B168" s="667" t="s">
        <v>1424</v>
      </c>
      <c r="C168" s="667" t="s">
        <v>1517</v>
      </c>
      <c r="D168" s="667" t="s">
        <v>1525</v>
      </c>
      <c r="E168" s="667"/>
      <c r="F168" s="667">
        <v>40</v>
      </c>
      <c r="G168" s="674">
        <v>40</v>
      </c>
      <c r="H168" s="420"/>
      <c r="I168" s="420"/>
      <c r="J168" s="420"/>
      <c r="K168" s="420"/>
      <c r="L168" s="420"/>
      <c r="M168" s="420"/>
      <c r="N168" s="420"/>
      <c r="O168" s="420"/>
      <c r="P168" s="420"/>
      <c r="Q168" s="420"/>
      <c r="R168" s="420"/>
      <c r="S168" s="420"/>
      <c r="T168" s="420"/>
      <c r="U168" s="420"/>
      <c r="V168" s="420"/>
      <c r="W168" s="420"/>
    </row>
    <row r="169" spans="1:23" x14ac:dyDescent="0.3">
      <c r="A169" s="420"/>
      <c r="B169" s="667" t="s">
        <v>1424</v>
      </c>
      <c r="C169" s="667" t="s">
        <v>1517</v>
      </c>
      <c r="D169" s="667" t="s">
        <v>1526</v>
      </c>
      <c r="E169" s="667"/>
      <c r="F169" s="667">
        <v>60</v>
      </c>
      <c r="G169" s="674">
        <v>60</v>
      </c>
      <c r="H169" s="420"/>
      <c r="I169" s="420"/>
      <c r="J169" s="420"/>
      <c r="K169" s="420"/>
      <c r="L169" s="420"/>
      <c r="M169" s="420"/>
      <c r="N169" s="420"/>
      <c r="O169" s="420"/>
      <c r="P169" s="420"/>
      <c r="Q169" s="420"/>
      <c r="R169" s="420"/>
      <c r="S169" s="420"/>
      <c r="T169" s="420"/>
      <c r="U169" s="420"/>
      <c r="V169" s="420"/>
      <c r="W169" s="420"/>
    </row>
    <row r="170" spans="1:23" x14ac:dyDescent="0.3">
      <c r="A170" s="937"/>
      <c r="B170" s="937"/>
      <c r="C170" s="420"/>
      <c r="D170" s="420"/>
      <c r="E170" s="660"/>
      <c r="F170" s="660"/>
      <c r="G170" s="420"/>
      <c r="H170" s="420"/>
      <c r="I170" s="420"/>
      <c r="J170" s="420"/>
      <c r="K170" s="420"/>
      <c r="L170" s="420"/>
      <c r="M170" s="420"/>
      <c r="N170" s="420"/>
      <c r="O170" s="420"/>
      <c r="P170" s="420"/>
      <c r="Q170" s="420"/>
      <c r="R170" s="420"/>
      <c r="S170" s="420"/>
      <c r="T170" s="420"/>
      <c r="U170" s="420"/>
      <c r="V170" s="420"/>
      <c r="W170" s="420"/>
    </row>
  </sheetData>
  <mergeCells count="25">
    <mergeCell ref="A170:B170"/>
    <mergeCell ref="A14:B14"/>
    <mergeCell ref="A15:B15"/>
    <mergeCell ref="C15:C16"/>
    <mergeCell ref="A16:B16"/>
    <mergeCell ref="A17:B17"/>
    <mergeCell ref="A18:B18"/>
    <mergeCell ref="C18:D18"/>
    <mergeCell ref="A5:B5"/>
    <mergeCell ref="A6:B6"/>
    <mergeCell ref="A7:B7"/>
    <mergeCell ref="A8:B8"/>
    <mergeCell ref="C8:C14"/>
    <mergeCell ref="A9:B9"/>
    <mergeCell ref="A10:B10"/>
    <mergeCell ref="A11:B11"/>
    <mergeCell ref="A12:B12"/>
    <mergeCell ref="A13:B13"/>
    <mergeCell ref="A4:B4"/>
    <mergeCell ref="D4:L4"/>
    <mergeCell ref="A1:B1"/>
    <mergeCell ref="A2:B2"/>
    <mergeCell ref="D2:L2"/>
    <mergeCell ref="A3:B3"/>
    <mergeCell ref="D3:L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ivel xmlns="10bd4b2b-7502-4871-ac31-8a669464ba77" xsi:nil="true"/>
    <lcf76f155ced4ddcb4097134ff3c332f xmlns="10bd4b2b-7502-4871-ac31-8a669464ba77">
      <Terms xmlns="http://schemas.microsoft.com/office/infopath/2007/PartnerControls"/>
    </lcf76f155ced4ddcb4097134ff3c332f>
    <TaxCatchAll xmlns="bba6e0d8-8986-46a8-840a-25cbd90f1e26" xsi:nil="true"/>
    <Seleccionado xmlns="10bd4b2b-7502-4871-ac31-8a669464ba77" xsi:nil="true"/>
    <Verificado xmlns="10bd4b2b-7502-4871-ac31-8a669464ba77">false</Verificado>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0D87BC49A8D414BAC6142E4534BA87F" ma:contentTypeVersion="20" ma:contentTypeDescription="Crear nuevo documento." ma:contentTypeScope="" ma:versionID="c7103d42332befea46c634ebe26990d4">
  <xsd:schema xmlns:xsd="http://www.w3.org/2001/XMLSchema" xmlns:xs="http://www.w3.org/2001/XMLSchema" xmlns:p="http://schemas.microsoft.com/office/2006/metadata/properties" xmlns:ns2="10bd4b2b-7502-4871-ac31-8a669464ba77" xmlns:ns3="bba6e0d8-8986-46a8-840a-25cbd90f1e26" targetNamespace="http://schemas.microsoft.com/office/2006/metadata/properties" ma:root="true" ma:fieldsID="fb2b328da598ba9418d6886ca731b5bf" ns2:_="" ns3:_="">
    <xsd:import namespace="10bd4b2b-7502-4871-ac31-8a669464ba77"/>
    <xsd:import namespace="bba6e0d8-8986-46a8-840a-25cbd90f1e2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Nivel" minOccurs="0"/>
                <xsd:element ref="ns2:Seleccionado" minOccurs="0"/>
                <xsd:element ref="ns2:Verificado"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bd4b2b-7502-4871-ac31-8a669464ba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18e90610-0864-4e8d-b551-8166776cb7d1"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Nivel" ma:index="18" nillable="true" ma:displayName="Nivel" ma:format="Dropdown" ma:internalName="Nivel">
      <xsd:simpleType>
        <xsd:restriction base="dms:Choice">
          <xsd:enumeration value="Técnico"/>
          <xsd:enumeration value="Tecnólogo"/>
          <xsd:enumeration value="Profesional"/>
          <xsd:enumeration value="Estudiante"/>
          <xsd:enumeration value="Especialización"/>
          <xsd:enumeration value="Maestría"/>
          <xsd:enumeration value="Doctorado"/>
          <xsd:enumeration value="Opción 8"/>
        </xsd:restriction>
      </xsd:simpleType>
    </xsd:element>
    <xsd:element name="Seleccionado" ma:index="19" nillable="true" ma:displayName="Selección" ma:format="Dropdown" ma:internalName="Seleccionado">
      <xsd:simpleType>
        <xsd:union memberTypes="dms:Text">
          <xsd:simpleType>
            <xsd:restriction base="dms:Choice">
              <xsd:enumeration value="NO"/>
              <xsd:enumeration value="SÍ"/>
              <xsd:enumeration value="Opcionado"/>
            </xsd:restriction>
          </xsd:simpleType>
        </xsd:union>
      </xsd:simpleType>
    </xsd:element>
    <xsd:element name="Verificado" ma:index="20" nillable="true" ma:displayName="Verificado" ma:default="0" ma:description="Si ya fue revisada por el Jefe Sección Biblioteca" ma:format="Dropdown" ma:internalName="Verificado">
      <xsd:simpleType>
        <xsd:restriction base="dms:Boolea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ba6e0d8-8986-46a8-840a-25cbd90f1e2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9d1b6b-0763-4334-a2db-bbf626dbe100}" ma:internalName="TaxCatchAll" ma:showField="CatchAllData" ma:web="bba6e0d8-8986-46a8-840a-25cbd90f1e26">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8D5AC45-2A31-4D50-AC2F-FDE39845E5CB}">
  <ds:schemaRefs>
    <ds:schemaRef ds:uri="http://schemas.microsoft.com/office/infopath/2007/PartnerControls"/>
    <ds:schemaRef ds:uri="bba6e0d8-8986-46a8-840a-25cbd90f1e26"/>
    <ds:schemaRef ds:uri="http://purl.org/dc/elements/1.1/"/>
    <ds:schemaRef ds:uri="http://purl.org/dc/dcmitype/"/>
    <ds:schemaRef ds:uri="http://schemas.microsoft.com/office/2006/documentManagement/types"/>
    <ds:schemaRef ds:uri="http://schemas.microsoft.com/office/2006/metadata/properties"/>
    <ds:schemaRef ds:uri="10bd4b2b-7502-4871-ac31-8a669464ba77"/>
    <ds:schemaRef ds:uri="http://purl.org/dc/term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D743D69C-6B27-45F8-8DC7-37380A4A48F3}">
  <ds:schemaRefs>
    <ds:schemaRef ds:uri="http://schemas.microsoft.com/sharepoint/v3/contenttype/forms"/>
  </ds:schemaRefs>
</ds:datastoreItem>
</file>

<file path=customXml/itemProps3.xml><?xml version="1.0" encoding="utf-8"?>
<ds:datastoreItem xmlns:ds="http://schemas.openxmlformats.org/officeDocument/2006/customXml" ds:itemID="{D98ACF0E-E05A-4DF4-B786-64B0EF1268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bd4b2b-7502-4871-ac31-8a669464ba77"/>
    <ds:schemaRef ds:uri="bba6e0d8-8986-46a8-840a-25cbd90f1e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Contenido</vt:lpstr>
      <vt:lpstr>A. Uso_Servicios CRAI+desglose</vt:lpstr>
      <vt:lpstr>B. Colecciones_bibliográficas</vt:lpstr>
      <vt:lpstr>C Colección_impresa_ubicación</vt:lpstr>
      <vt:lpstr>D. Biblioteca_digital_BDIGITAL</vt:lpstr>
      <vt:lpstr>E.Impact Colección_digital_RIUD</vt:lpstr>
      <vt:lpstr>F.CRAI+2_Alianza Interbiblio</vt:lpstr>
      <vt:lpstr>H.CRAI+11_Plan_formación</vt:lpstr>
      <vt:lpstr>I. Infraestructura Biblioteca</vt:lpstr>
      <vt:lpstr>G. Gestión Cultural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dc:creator>
  <cp:keywords/>
  <dc:description/>
  <cp:lastModifiedBy>PROCESOS - UNIDAD BIBLIOTECA</cp:lastModifiedBy>
  <cp:revision/>
  <dcterms:created xsi:type="dcterms:W3CDTF">2018-07-16T15:43:24Z</dcterms:created>
  <dcterms:modified xsi:type="dcterms:W3CDTF">2026-09-25T16:27:11Z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0x010100C0D87BC49A8D414BAC6142E4534BA87F</vt:lpwstr>
  </property>
  <property fmtid="{D5CDD505-2E9C-101B-9397-08002B2CF9AE}" pid="3" name="MediaServiceImageTags">
    <vt:lpwstr/>
  </property>
</Properties>
</file>