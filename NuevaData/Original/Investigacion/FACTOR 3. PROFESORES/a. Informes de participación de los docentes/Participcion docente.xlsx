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C:\Users\USER\OneDrive - Universidad Distrital Francisco José de Caldas\Maestria CIC\Acreditacion\AUTOEVALUACION 2025\Cuadros maestrso\"/>
    </mc:Choice>
  </mc:AlternateContent>
  <xr:revisionPtr revIDLastSave="743" documentId="8_{8CE6A8BC-37BF-4360-9C6E-8B4AEAA991B0}" xr6:coauthVersionLast="47" xr6:coauthVersionMax="47" xr10:uidLastSave="{14971906-986E-44A3-AF48-AEC83C1C4231}"/>
  <bookViews>
    <workbookView xWindow="-28920" yWindow="-120" windowWidth="29040" windowHeight="16440" xr2:uid="{F1BE4239-B45D-4423-9AF8-34B7889DA6DD}"/>
  </bookViews>
  <sheets>
    <sheet name="info 1" sheetId="1" r:id="rId1"/>
    <sheet name="DECANATURA  movilidad" sheetId="2" r:id="rId2"/>
  </sheets>
  <definedNames>
    <definedName name="_xlnm._FilterDatabase" localSheetId="1" hidden="1">'DECANATURA  movilidad'!$B$2:$P$54</definedName>
    <definedName name="_xlnm._FilterDatabase" localSheetId="0" hidden="1">'info 1'!$A$4:$J$40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1" l="1"/>
  <c r="E31" i="1" s="1"/>
  <c r="P50" i="2"/>
  <c r="P49" i="2"/>
  <c r="P53" i="2"/>
  <c r="P54" i="2"/>
  <c r="P48" i="2"/>
  <c r="P47" i="2"/>
  <c r="P45" i="2"/>
  <c r="P46" i="2"/>
  <c r="P42" i="2"/>
  <c r="P43" i="2"/>
  <c r="P44" i="2"/>
  <c r="P38" i="2"/>
  <c r="P39" i="2"/>
  <c r="P40" i="2"/>
  <c r="P41" i="2"/>
  <c r="P23" i="2"/>
  <c r="P24" i="2"/>
  <c r="P25" i="2"/>
  <c r="P26" i="2"/>
  <c r="P27" i="2"/>
  <c r="P28" i="2"/>
  <c r="P29" i="2"/>
  <c r="P30" i="2"/>
  <c r="P31" i="2"/>
  <c r="P32" i="2"/>
  <c r="P33" i="2"/>
  <c r="P34" i="2"/>
  <c r="P35" i="2"/>
  <c r="P36" i="2"/>
  <c r="P37" i="2"/>
  <c r="P19" i="2" l="1"/>
  <c r="P20" i="2"/>
  <c r="P21" i="2"/>
  <c r="P22" i="2"/>
  <c r="P14" i="2"/>
  <c r="P15" i="2"/>
  <c r="P16" i="2"/>
  <c r="P17" i="2"/>
  <c r="P18" i="2"/>
  <c r="P6" i="2"/>
  <c r="P5" i="2"/>
  <c r="P7" i="2"/>
  <c r="P8" i="2"/>
  <c r="P9" i="2"/>
  <c r="P10" i="2"/>
  <c r="P11" i="2"/>
  <c r="P12" i="2"/>
  <c r="P13" i="2"/>
  <c r="P4" i="2"/>
</calcChain>
</file>

<file path=xl/sharedStrings.xml><?xml version="1.0" encoding="utf-8"?>
<sst xmlns="http://schemas.openxmlformats.org/spreadsheetml/2006/main" count="408" uniqueCount="212">
  <si>
    <t>DECANATURA</t>
  </si>
  <si>
    <t>OFICINA DE INVESTIGACIONES</t>
  </si>
  <si>
    <t>N°</t>
  </si>
  <si>
    <t>Cedula / identificación</t>
  </si>
  <si>
    <t>Nombres y Apellidos del Profesor</t>
  </si>
  <si>
    <t>Categoría en el Escalafón de la institución (vigente)</t>
  </si>
  <si>
    <t>Capacitaciones docentes</t>
  </si>
  <si>
    <t>Grupo de investigación  principal al que pertenece (incluir enlace)</t>
  </si>
  <si>
    <t>Categoría de investigador Minciencias (vigente) 1.Junior            2.Asociado 3. Senior</t>
  </si>
  <si>
    <t>CAPACITACION SCRUM</t>
  </si>
  <si>
    <t>AÑO (2022 - 2025)</t>
  </si>
  <si>
    <t>CAPACITACIONES SEGUNDA LENGUA ILUD</t>
  </si>
  <si>
    <t>ALZATE MONROY MARCO AURELIO</t>
  </si>
  <si>
    <t>TITULAR XXII</t>
  </si>
  <si>
    <t>APARICIO PICO LILIA EDITH</t>
  </si>
  <si>
    <t>PROFESOR TITULAR COMPLETO</t>
  </si>
  <si>
    <t>CURSÓ Y APROBÓ</t>
  </si>
  <si>
    <t>AVILA ANGULO MIGUEL ANTONIO</t>
  </si>
  <si>
    <t>BARRETO SANDOVAL MARIA LUISA</t>
  </si>
  <si>
    <t>TITULAR</t>
  </si>
  <si>
    <t>BOLAÑOS CASTRO SANDRO JAVIER</t>
  </si>
  <si>
    <t>PROFESOR ASOCIADO COMPLETO</t>
  </si>
  <si>
    <t>CALVO LONDOÑO JORGE MARIO</t>
  </si>
  <si>
    <t>CARDENAS CASTIBLANCO JOSE ROBERTO</t>
  </si>
  <si>
    <t>CARDENAS CONTRERAS ANDRES</t>
  </si>
  <si>
    <t xml:space="preserve">CURSÓ Y APROBÓ ESPECIALIZADO I Y II (2023-1) </t>
  </si>
  <si>
    <t>CASTILLO MENDEZ LUIS EDUARDO</t>
  </si>
  <si>
    <t>CHAVARRIAGA LOZANO JAIME ALBERTO</t>
  </si>
  <si>
    <t xml:space="preserve">CURSÓ Y REPROBÓ INTRODUCTORIO I Y II (2023-1) </t>
  </si>
  <si>
    <t>CORONADO SANCHEZ PAULO CESAR</t>
  </si>
  <si>
    <t>PROFESOR ASISTENTE COMPLETO</t>
  </si>
  <si>
    <t>DAZA CORREDOR ALEJANDRO PAOLO</t>
  </si>
  <si>
    <t>ASISTENTE</t>
  </si>
  <si>
    <t>DIOSA HENRY ALBERTO</t>
  </si>
  <si>
    <t>CULMINO PROCESO DEL PROGRAMA CON EL CURSO PREPARACIÓN A EXAMEN INTERNACIONAL EN EL 2025 - 1</t>
  </si>
  <si>
    <t>ESPINEL ORTEGA ALVARO</t>
  </si>
  <si>
    <t>FIGUEROA GARCIA JUAN CARLOS</t>
  </si>
  <si>
    <t>FLOREZ FERNANDEZ HECTOR ARTURO</t>
  </si>
  <si>
    <t>CURSO Y APROBO ESPECIALIZADO I Y II (2023-3)</t>
  </si>
  <si>
    <t>GAONA BARRERA ANDRES EDUARDO</t>
  </si>
  <si>
    <t>CURSO Y APROBO SUPERIOR I Y II (2023-1)</t>
  </si>
  <si>
    <t>GAONA GARCIA ELVIS EDUARDO</t>
  </si>
  <si>
    <t>GOMEZ VARGAS ERNESTO</t>
  </si>
  <si>
    <t xml:space="preserve">Aprobo SUFICIENCIA I Y II 2025 - 1 </t>
  </si>
  <si>
    <t>JACINTO GOMEZ EDWARD</t>
  </si>
  <si>
    <t>JUTINICO ALARCON ANDRES LEONARDO</t>
  </si>
  <si>
    <t>LOPEZ CHAVEZ HANS IGOR</t>
  </si>
  <si>
    <t>MEDINA DAZA RUBEN JAVIER</t>
  </si>
  <si>
    <t>MENDOZA PRIESSENG CARLOS LEONARDO</t>
  </si>
  <si>
    <t>ASOCIADO</t>
  </si>
  <si>
    <t xml:space="preserve">REPROBO PREPARACIÓN A EXAMEN 2024 - 1 </t>
  </si>
  <si>
    <t>MUÑOZ QUIÑONES GERARDO ALCIDES</t>
  </si>
  <si>
    <t>ORTIZ DAVILA ALVARO ENRIQUE</t>
  </si>
  <si>
    <t>PERDOMO CHARRY CESAR ANDREY</t>
  </si>
  <si>
    <t>PLAZAS NOSSA LEONARDO</t>
  </si>
  <si>
    <t>Aprobo SUFICIENCIA I Y II 2024-1</t>
  </si>
  <si>
    <t>POVEDA CHAVES ROBERTO MANUEL</t>
  </si>
  <si>
    <t>ROCHA SALAMANCA LUZ ANGELA</t>
  </si>
  <si>
    <t>RODRIGUEZ RODRIGUEZ JORGE ENRIQUE</t>
  </si>
  <si>
    <t>CURSO Y APROBO SUFICIENCIA I Y II (2023-3)</t>
  </si>
  <si>
    <t>ROJAS GALEANO SERGIO ANDRES</t>
  </si>
  <si>
    <t>SALCEDO PARRA OCTAVIO JOSE</t>
  </si>
  <si>
    <t>TORRIJOS CADENA GERMAN</t>
  </si>
  <si>
    <t>VALERO MEDINA JOSE ANTONIO</t>
  </si>
  <si>
    <t>VERA PARRA NELSON ENRIQUE</t>
  </si>
  <si>
    <t>CURSO Y APROBO ESPECIALIZADO I Y II 2023-1</t>
  </si>
  <si>
    <t xml:space="preserve">No. </t>
  </si>
  <si>
    <t>ID (documento)</t>
  </si>
  <si>
    <t>Nombre completo</t>
  </si>
  <si>
    <t>Entidad de origen/Evento al que se dirige</t>
  </si>
  <si>
    <t>País</t>
  </si>
  <si>
    <t>Objeto</t>
  </si>
  <si>
    <t>Resultados</t>
  </si>
  <si>
    <t>Tipo - Presencial / Virtual</t>
  </si>
  <si>
    <t xml:space="preserve">MOVILIDAD ENTRANTE </t>
  </si>
  <si>
    <t xml:space="preserve">MOVILIDAD SALIENTE </t>
  </si>
  <si>
    <t>Fecha  Inicio 
(dd/mm/aaaa)</t>
  </si>
  <si>
    <t>Fecha Final 
(dd/mm/aaaa)</t>
  </si>
  <si>
    <t>Duración Tiempo Estadía (días)</t>
  </si>
  <si>
    <t>Nacional</t>
  </si>
  <si>
    <t>Extranjero</t>
  </si>
  <si>
    <t xml:space="preserve">Nacional </t>
  </si>
  <si>
    <t>LATIN AMERICAN AND CARIBBEAN CONSORTIUM OF ENGINEERING
INSTITUTIONS</t>
  </si>
  <si>
    <t>Buenos Aires, Argentina</t>
  </si>
  <si>
    <t>Presentar ponencia: A Systematic Review For Design Of A Vital Signs Telemonitoring Cloud Solution In Real Time</t>
  </si>
  <si>
    <t>1. Presencial</t>
  </si>
  <si>
    <t>X</t>
  </si>
  <si>
    <t>Universidad Surcolombiana</t>
  </si>
  <si>
    <t>Neiva, Colombia</t>
  </si>
  <si>
    <t>participar en un taller con el fin de definir lineamientos generales y los perfiles requeridos para la Especialización en Bioingeniería</t>
  </si>
  <si>
    <t xml:space="preserve">X Congreso Internacional En Ciencia Y Tecnología Aeroespacial </t>
  </si>
  <si>
    <t>Medellín, Colombia</t>
  </si>
  <si>
    <t xml:space="preserve">Participar en Calidad de directora general </t>
  </si>
  <si>
    <t>VIII CONGRESO NACIONAL DE INVESTIGACIÓN EN EDUCACIÓN EN CIENCIAS Y TECNOLOGÍA 2023</t>
  </si>
  <si>
    <t>Montería, Colombia</t>
  </si>
  <si>
    <t>Participación como ponente del trabajo titulado “Autorregulación de estrategias de aprendizaje en entornos soportados por inteligencia artificial débil”</t>
  </si>
  <si>
    <t>IX congreso nacional de investigación en educación en ciencias y tecnología</t>
  </si>
  <si>
    <t>Pereira, Colombia.</t>
  </si>
  <si>
    <t>Presentar la ponencia titulada “Multi-Agente de Inteligencia Artificial para la Promoción de la Autorregulación del Aprendizaje en Ciencias de la Computación.”</t>
  </si>
  <si>
    <t>CURSO TALLER MOTORES DE CUATRO TIEMPOS</t>
  </si>
  <si>
    <t xml:space="preserve">Participar en el curso taller motores de cuatro tiempos </t>
  </si>
  <si>
    <t>NORTH AMERICAN FUZZY INFORMATION PROCESSING SOCIETY (NAFIPS 2023)</t>
  </si>
  <si>
    <t>Cincinnati, OH, USA</t>
  </si>
  <si>
    <t xml:space="preserve">participar con su artículo “ON TRUNCATING FUZZY NUMBERS WITH A-LEVELS” </t>
  </si>
  <si>
    <t>2024 IEEE the 7th International Conference on Big Data and Artificial Intelligence (BDAI).</t>
  </si>
  <si>
    <t>Beijing, China</t>
  </si>
  <si>
    <t>presentar la ponencia titulada “Random variate generation for discrete fuzzy numbers based on α-cuts”</t>
  </si>
  <si>
    <t xml:space="preserve">Universidad de Granada </t>
  </si>
  <si>
    <t>Granada - España</t>
  </si>
  <si>
    <t xml:space="preserve">realizar una estancia corta de investigación al grupo de trabajo sobre Modelos de Decisión y Optimización (MODO) en la Universidad de Granada - España </t>
  </si>
  <si>
    <t>2025 IFSA World Congress NAFIPS Annual Meeting</t>
  </si>
  <si>
    <t>Banff, Canadá</t>
  </si>
  <si>
    <t>presentar la ponencia titulada “Random Simulation of the Interval TOPSIS method”.</t>
  </si>
  <si>
    <t>Staffordshire University</t>
  </si>
  <si>
    <t xml:space="preserve">Reino Unido (U.K) </t>
  </si>
  <si>
    <t xml:space="preserve">participar en el evento académico “School of Digital, Technologies and Arts” en la Institución de Educación “Staffordshire University” </t>
  </si>
  <si>
    <t>Escuela de Verano de Cienciometría 2025 organizada por el OCyT - Observatorio Colombiano de Ciencia y Tecnología</t>
  </si>
  <si>
    <t>N/A</t>
  </si>
  <si>
    <t>participar en la Escuela de Verano de Cienciometría 2025 organizada por el OCyT - Observatorio Colombiano de Ciencia y Tecnología</t>
  </si>
  <si>
    <t>2. Virtual</t>
  </si>
  <si>
    <t>19th Conferencia Ibérica de Sistemas y Tecnologías de información, CISTI-2024</t>
  </si>
  <si>
    <t>Salamanca, España</t>
  </si>
  <si>
    <t>presentar la ponencia titulada “Análisis predictivo de la transparencia en Colombia como indicador de Políticas Públicas”</t>
  </si>
  <si>
    <t>segundo congreso internacional en empleabilidad e inserción laboral.</t>
  </si>
  <si>
    <t>presentar la ponencia titulada “Perfil del Ingeniero Eléctrico de la Universidad Distrital Francisco José de Caldas: Habilidades para el Éxito Profesional”.</t>
  </si>
  <si>
    <t xml:space="preserve">XII - Congreso Iberoamericano de Tecnologías de apoyo a la discapacidad </t>
  </si>
  <si>
    <t>Sao Paulo, Brasil</t>
  </si>
  <si>
    <t>asistir al: XII - Congreso Iberoamericano de Tecnologías de apoyo a la discapacidad (XII Iberoamerican Congress Of Support Technologies For Disability) - IBERDISCAP 2023</t>
  </si>
  <si>
    <t>MULTICONFERENCIA LACCEI 2023</t>
  </si>
  <si>
    <t>Participar con el trabajo titulado 􀂳CASE STUDY AND LEARNING OUTCOMES: PROTOTYPE
FOR MEASUREMENT OF BIOMECHANICAL SIGNALS OF WALKING BASED ON EMBEDDED SYSTEMS􀂴.</t>
  </si>
  <si>
    <t>GISciencie 2023</t>
  </si>
  <si>
    <t>West Yorkshire, Inglaterra</t>
  </si>
  <si>
    <t>participar como ponente del trabajo “Implementation and assessment of mathematical algorithms for the fusion of Ikonos satellite images in Matlab”,</t>
  </si>
  <si>
    <t>x</t>
  </si>
  <si>
    <t>AGILE2024</t>
  </si>
  <si>
    <t>Glasgow, UK</t>
  </si>
  <si>
    <t>presentar la ponencia titulada “Implementation and assessment of Ikonos satellite image fusion with Deep Convolutional Neural Networks, PCA and GramSchmidt using Matlab”</t>
  </si>
  <si>
    <t>FIG Working Group 2023</t>
  </si>
  <si>
    <t>Orlando Florida, USA</t>
  </si>
  <si>
    <t>participar con el trabajo denominado “Spatial clustering for generation of routes adjusted to the vehicle fleet in spatial databases”</t>
  </si>
  <si>
    <t>XXI Simposio Internacional SELPER.</t>
  </si>
  <si>
    <t>Belém, Brasil</t>
  </si>
  <si>
    <t>presentar la ponencia titulada “Plataforma geo-tecnológica para la gestión de información predial aplicando la metodología Fit For Purpose en Colombia”.</t>
  </si>
  <si>
    <t>ATMOSCOL 2023</t>
  </si>
  <si>
    <t>Armenia, Colombia</t>
  </si>
  <si>
    <t>participar en el I simposio de la Red de Investigadores de Ciencias Atmosféricas en Colombia ATMOSCOL 2023 que se llevará a cabo en la ciudad de Armenia del 25 al 27 de octubre de 2023.</t>
  </si>
  <si>
    <t>EIEI ACOFI 2023</t>
  </si>
  <si>
    <t>Cartagena, Colombia.</t>
  </si>
  <si>
    <t>participar en el Encuentro Internacional en Educación en Ingeniería (EIEI ACOFI 2023). “Ingeniería para transformar territorios”</t>
  </si>
  <si>
    <t xml:space="preserve">ACOFI 2024 </t>
  </si>
  <si>
    <t>participar en el encuentro internacional de Educación en ingeniería ACOFI 2024 “Ingeniería: una transición hacia el futuro” del 24 al 27 de septiembre, en la ciudad de Cartagena, Colombia</t>
  </si>
  <si>
    <t>curso "Data Science and Machine Learning: Making Data-Driven Decisions"</t>
  </si>
  <si>
    <t>realizar el curso "Data Science and Machine Learning: Making Data-Driven Decisions", ofrecido por el MIT Institute for Data, Systems, and Society (IDSS) and Great Learning, del 02 de mayo al 31 de julio de 2023.</t>
  </si>
  <si>
    <t xml:space="preserve">"intercambio de tópicos relacionados en tecnología de micro-satélites" 
universidad de Beihang </t>
  </si>
  <si>
    <t>Hangzhou, China</t>
  </si>
  <si>
    <t>asistir al evento académico "intercambio de tópicos relacionados en tecnología de micro-satélites" el cual se realizará entre el 24 de febrero y el 7 de marzo de 2025 en la universidad de Beihang en Hangzhou – China.</t>
  </si>
  <si>
    <t>2024 EDUCATION SUMMIT@ ESRI UC</t>
  </si>
  <si>
    <t>San Diego California</t>
  </si>
  <si>
    <t>asistir al evento 2024 EDUCATION SUMMIT@ ESRI UC, que se realizará en la ciudad de San Diego California del 13 al 16 de julio de 2024, en el cual presentará el paper “Training for trainers course in new field spatial data acquisition techniques”</t>
  </si>
  <si>
    <t>XXI Simposio Internacional SELPER</t>
  </si>
  <si>
    <t>presentar la ponencia titulada “Equidad de género y el rol de las mujeres en los procesos de administración de tierras.”</t>
  </si>
  <si>
    <t>Workshop On Engineering Applications (WEA 2024)</t>
  </si>
  <si>
    <t>Barraquilla, Colombia</t>
  </si>
  <si>
    <t>presentar la ponencia titulada “Zero-Shot Spam Email Classification Using Pre-Trained Large Language Models”</t>
  </si>
  <si>
    <t>FIG Working Week 2024</t>
  </si>
  <si>
    <t>Accra, Ghana</t>
  </si>
  <si>
    <t>Asistir al evento “The Fig Working Week 2024” el cual se llevará a cabo en Accra Ghana entre el 19 y el 24 de mayo de 2024.</t>
  </si>
  <si>
    <t>Hebbertt Sira Ramírez</t>
  </si>
  <si>
    <t xml:space="preserve">IEEE CCAC 2023 </t>
  </si>
  <si>
    <t>Popayán, Colombia</t>
  </si>
  <si>
    <t>Apoyo a la realización del IEEE CCAC 2023 – viaje de conferencista </t>
  </si>
  <si>
    <t>PAR834006</t>
  </si>
  <si>
    <t>Elvira Susana Bocos Álvarez</t>
  </si>
  <si>
    <t>Doctorado en Ingeniería</t>
  </si>
  <si>
    <t>Bogotá, Colombia</t>
  </si>
  <si>
    <t>desarrollar actividades programadas por el Doctorado en Ingeniería</t>
  </si>
  <si>
    <t>Lorna Uden</t>
  </si>
  <si>
    <t>BC765207</t>
  </si>
  <si>
    <t>Henry Leonardo López Salamanca</t>
  </si>
  <si>
    <t>Alejandro Palacios</t>
  </si>
  <si>
    <t>I Congreso Internacional de Avalúos</t>
  </si>
  <si>
    <t>Reconocimiento a invitado nacional por la presentación de la ponencia titulada ¨Zonificación agroecológica (ZAE) como herramienta en los avalúos rurales”</t>
  </si>
  <si>
    <t>Javier Furlong Salgado</t>
  </si>
  <si>
    <t>Reconocimiento a invitado nacional por la presentación de la ponencia titulada “La importancia de los intangibles en el valor de las empresas”</t>
  </si>
  <si>
    <t>Jorge David Beluche Jurado</t>
  </si>
  <si>
    <t>Reconocimiento a invitado nacional por la presentación de la ponencia titulada “Controles y procesos en el método de homogenización aplicados a edificios altos (P.H.)”</t>
  </si>
  <si>
    <t>Luis Alberto Bernales Ghacham</t>
  </si>
  <si>
    <t>Reconocimiento a invitado nacional por la presentación de la ponencia titulada “influencia de las estaciones de metro en el valor de los departamentos bajo un análisis de regresión geográficamente ponderada (GWR)”</t>
  </si>
  <si>
    <t>Robert Laurent Sanabria</t>
  </si>
  <si>
    <t>Reconocimiento a invitado nacional por la presentación de la ponencia titulada “Visión general de las normas de valuación en Iberoamérica: el papel de UPAV en la estandarización”.</t>
  </si>
  <si>
    <t>Ricardo Naranjo Faccini</t>
  </si>
  <si>
    <t>Facultad de Ingeniería.</t>
  </si>
  <si>
    <t>realizará una jornada de sensibilización en seguridad de la información</t>
  </si>
  <si>
    <t>C7XFJM3F9</t>
  </si>
  <si>
    <t>CHRISTIAN SCHWEDE</t>
  </si>
  <si>
    <t>Participar como docente de la cátedra interinstitucional: “Tendencias Internacionales de la Ingeniería”, cuya temática será “Introduction to Data Science and Reinforcement Learning with Python</t>
  </si>
  <si>
    <t>Rafael Esteban Bello Pérez</t>
  </si>
  <si>
    <t>participar del 15 al 26 de octubre como como docente invitado en la Facultad de Ingeniería</t>
  </si>
  <si>
    <t>Johanna Amaya Leal</t>
  </si>
  <si>
    <t>participar como conferencista impartiendo el tema “Logística en atención a desastres y Transporte urbano de carga” durante el período comprendido entre el 1 y el 3 de julio de 2025</t>
  </si>
  <si>
    <t>Sofía Pérez Guzmán</t>
  </si>
  <si>
    <t>participar en la Cátedra Interinstitucional: Tendencias Internacionales de la Ingeniería – versión 2025, impartiendo el tema “Planning and Modeling Freight Systems” durante el período comprendido entre el 14 y el 25 de julio de 2025</t>
  </si>
  <si>
    <t>Guillermo O´Perez-Bustamante Ilander</t>
  </si>
  <si>
    <t>ofrecer un curso de 32 horas (2 semanas) durante el periodo intersemestral, del 17 al 26 de julio de 2025, denominado “Gestión de la creatividad y la innovación”, que forma parte del Plan de estudios de la Maestría en Gerencia Integral de Proyectos.</t>
  </si>
  <si>
    <t>VI Conferencia Internacional en Ciencias Computacionales e Informáticas (CICCI 2022)</t>
  </si>
  <si>
    <t>La Habana, Cuba.</t>
  </si>
  <si>
    <t>presentación de la ponencia titulada “Fuzzy Linear Programming” en la VI Conferencia Internacional en Ciencias Computacionales e Informáticas (CICCI 2022)</t>
  </si>
  <si>
    <t>NAFIPS 2022</t>
  </si>
  <si>
    <t>Halifax, Nova Scotia, Canada</t>
  </si>
  <si>
    <t>participar en calidad de autor con el trabajo titulado “AN EXPERIMENTAL STUDY ON FUZZY MARKOV CHAINS UNDER MN GENERALIZED MEAN RELATION”</t>
  </si>
  <si>
    <t>Diplomado Internetworking CISCO-CCNA</t>
  </si>
  <si>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</sst>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family val="2"/>
      <scheme val="minor"/>
    </font>
    <font>
      <sz val="11"/>
      <name val="Century Gothic"/>
      <family val="2"/>
    </font>
    <font>
      <b/>
      <sz val="10"/>
      <color theme="1"/>
      <name val="Century Gothic"/>
      <family val="1"/>
    </font>
    <font>
      <sz val="10"/>
      <color theme="1"/>
      <name val="Century Gothic"/>
      <family val="1"/>
    </font>
    <font>
      <sz val="11"/>
      <color theme="1"/>
      <name val="Calibri"/>
      <family val="2"/>
    </font>
    <font>
      <b/>
      <sz val="8"/>
      <color theme="1"/>
      <name val="Century Gothic"/>
      <family val="1"/>
    </font>
    <font>
      <sz val="8"/>
      <color theme="1"/>
      <name val="Century Gothic"/>
      <family val="1"/>
    </font>
    <font>
      <b/>
      <sz val="8"/>
      <color theme="1"/>
      <name val="Century Gothic"/>
      <family val="2"/>
    </font>
    <font>
      <sz val="11"/>
      <color rgb="FF000000"/>
      <name val="Calibri"/>
      <family val="2"/>
    </font>
    <font>
      <sz val="10"/>
      <color rgb="FF000000"/>
      <name val="Century Gothic"/>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s>
  <borders count="25">
    <border>
      <left/>
      <right/>
      <top/>
      <bottom/>
      <diagonal/>
    </border>
    <border>
      <left style="medium">
        <color rgb="FF000000"/>
      </left>
      <right style="medium">
        <color rgb="FF000000"/>
      </right>
      <top style="medium">
        <color rgb="FF000000"/>
      </top>
      <bottom style="thin">
        <color rgb="FF000000"/>
      </bottom>
      <diagonal/>
    </border>
    <border>
      <left/>
      <right style="thin">
        <color indexed="64"/>
      </right>
      <top style="medium">
        <color indexed="64"/>
      </top>
      <bottom style="thin">
        <color indexed="64"/>
      </bottom>
      <diagonal/>
    </border>
    <border>
      <left style="medium">
        <color rgb="FF000000"/>
      </left>
      <right style="medium">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indexed="64"/>
      </left>
      <right style="thin">
        <color indexed="64"/>
      </right>
      <top style="thin">
        <color indexed="64"/>
      </top>
      <bottom/>
      <diagonal/>
    </border>
  </borders>
  <cellStyleXfs count="4">
    <xf numFmtId="0" fontId="0" fillId="0" borderId="0"/>
    <xf numFmtId="0" fontId="1" fillId="0" borderId="0"/>
    <xf numFmtId="0" fontId="1" fillId="0" borderId="0"/>
    <xf numFmtId="0" fontId="4" fillId="0" borderId="0"/>
  </cellStyleXfs>
  <cellXfs count="65">
    <xf numFmtId="0" fontId="0" fillId="0" borderId="0" xfId="0"/>
    <xf numFmtId="0" fontId="3" fillId="0" borderId="3" xfId="2" applyFont="1" applyBorder="1" applyAlignment="1" applyProtection="1">
      <alignment horizontal="center" vertical="center" wrapText="1"/>
      <protection locked="0"/>
    </xf>
    <xf numFmtId="49" fontId="3" fillId="0" borderId="5" xfId="2" applyNumberFormat="1" applyFont="1" applyBorder="1" applyAlignment="1">
      <alignment vertical="center" wrapText="1"/>
    </xf>
    <xf numFmtId="0" fontId="0" fillId="2" borderId="7" xfId="0" applyFill="1" applyBorder="1"/>
    <xf numFmtId="49" fontId="3" fillId="0" borderId="10" xfId="2" applyNumberFormat="1" applyFont="1" applyBorder="1" applyAlignment="1">
      <alignment vertical="center" wrapText="1"/>
    </xf>
    <xf numFmtId="0" fontId="0" fillId="0" borderId="7" xfId="0" applyBorder="1"/>
    <xf numFmtId="0" fontId="5" fillId="0" borderId="6" xfId="3" applyFont="1" applyBorder="1" applyAlignment="1">
      <alignment horizontal="center" vertical="center" wrapText="1"/>
    </xf>
    <xf numFmtId="14" fontId="6" fillId="0" borderId="11" xfId="3" applyNumberFormat="1" applyFont="1" applyBorder="1" applyAlignment="1">
      <alignment horizontal="left" vertical="center" wrapText="1"/>
    </xf>
    <xf numFmtId="1" fontId="6" fillId="3" borderId="11" xfId="3" applyNumberFormat="1" applyFont="1" applyFill="1" applyBorder="1" applyAlignment="1">
      <alignment horizontal="center" vertical="center" wrapText="1"/>
    </xf>
    <xf numFmtId="49" fontId="5" fillId="0" borderId="7" xfId="3" applyNumberFormat="1" applyFont="1" applyBorder="1" applyAlignment="1">
      <alignment horizontal="center" vertical="center" wrapText="1"/>
    </xf>
    <xf numFmtId="0" fontId="2" fillId="0" borderId="13" xfId="2" applyFont="1" applyBorder="1" applyAlignment="1" applyProtection="1">
      <alignment horizontal="center" vertical="center" wrapText="1"/>
      <protection locked="0"/>
    </xf>
    <xf numFmtId="0" fontId="5" fillId="0" borderId="11" xfId="3" applyFont="1" applyBorder="1" applyAlignment="1">
      <alignment horizontal="center" vertical="center" wrapText="1"/>
    </xf>
    <xf numFmtId="49" fontId="6" fillId="0" borderId="11" xfId="3" applyNumberFormat="1" applyFont="1" applyBorder="1" applyAlignment="1">
      <alignment horizontal="left" vertical="center" wrapText="1"/>
    </xf>
    <xf numFmtId="164" fontId="6" fillId="0" borderId="11" xfId="3" applyNumberFormat="1" applyFont="1" applyBorder="1" applyAlignment="1">
      <alignment horizontal="left" vertical="center" wrapText="1"/>
    </xf>
    <xf numFmtId="4" fontId="6" fillId="0" borderId="11" xfId="3" applyNumberFormat="1" applyFont="1" applyBorder="1" applyAlignment="1">
      <alignment horizontal="left" vertical="center" wrapText="1"/>
    </xf>
    <xf numFmtId="1" fontId="5" fillId="0" borderId="7" xfId="3" applyNumberFormat="1" applyFont="1" applyBorder="1" applyAlignment="1">
      <alignment horizontal="center" vertical="center" wrapText="1"/>
    </xf>
    <xf numFmtId="49" fontId="6" fillId="0" borderId="11" xfId="3" applyNumberFormat="1" applyFont="1" applyBorder="1" applyAlignment="1">
      <alignment horizontal="center" vertical="center" wrapText="1"/>
    </xf>
    <xf numFmtId="0" fontId="0" fillId="0" borderId="0" xfId="0" applyAlignment="1">
      <alignment horizontal="center" vertical="center"/>
    </xf>
    <xf numFmtId="1" fontId="3" fillId="0" borderId="5" xfId="2" applyNumberFormat="1" applyFont="1" applyBorder="1" applyAlignment="1">
      <alignment horizontal="center" vertical="center" wrapText="1"/>
    </xf>
    <xf numFmtId="164" fontId="6" fillId="0" borderId="16" xfId="3" applyNumberFormat="1" applyFont="1" applyBorder="1" applyAlignment="1">
      <alignment horizontal="left" vertical="center" wrapText="1"/>
    </xf>
    <xf numFmtId="1" fontId="3" fillId="0" borderId="17" xfId="2" applyNumberFormat="1" applyFont="1" applyBorder="1" applyAlignment="1">
      <alignment horizontal="center" vertical="center" wrapText="1"/>
    </xf>
    <xf numFmtId="49" fontId="3" fillId="0" borderId="18" xfId="2" applyNumberFormat="1" applyFont="1" applyBorder="1" applyAlignment="1">
      <alignment vertical="center" wrapText="1"/>
    </xf>
    <xf numFmtId="1" fontId="3" fillId="0" borderId="16" xfId="2" applyNumberFormat="1" applyFont="1" applyBorder="1" applyAlignment="1">
      <alignment horizontal="center" vertical="center" wrapText="1"/>
    </xf>
    <xf numFmtId="49" fontId="3" fillId="0" borderId="19" xfId="2" applyNumberFormat="1" applyFont="1" applyBorder="1" applyAlignment="1">
      <alignment vertical="center" wrapText="1"/>
    </xf>
    <xf numFmtId="49" fontId="6" fillId="0" borderId="16" xfId="3" applyNumberFormat="1" applyFont="1" applyBorder="1" applyAlignment="1">
      <alignment horizontal="left" vertical="center" wrapText="1"/>
    </xf>
    <xf numFmtId="164" fontId="6" fillId="0" borderId="20" xfId="3" applyNumberFormat="1" applyFont="1" applyBorder="1" applyAlignment="1">
      <alignment horizontal="left" vertical="center" wrapText="1"/>
    </xf>
    <xf numFmtId="4" fontId="6" fillId="0" borderId="20" xfId="3" applyNumberFormat="1" applyFont="1" applyBorder="1" applyAlignment="1">
      <alignment horizontal="left" vertical="center" wrapText="1"/>
    </xf>
    <xf numFmtId="49" fontId="3" fillId="0" borderId="7" xfId="2" applyNumberFormat="1" applyFont="1" applyBorder="1" applyAlignment="1">
      <alignment vertical="center" wrapText="1"/>
    </xf>
    <xf numFmtId="164" fontId="6" fillId="0" borderId="7" xfId="3" applyNumberFormat="1" applyFont="1" applyBorder="1" applyAlignment="1">
      <alignment horizontal="left" vertical="center" wrapText="1"/>
    </xf>
    <xf numFmtId="4" fontId="6" fillId="0" borderId="7" xfId="3" applyNumberFormat="1" applyFont="1" applyBorder="1" applyAlignment="1">
      <alignment horizontal="left" vertical="center" wrapText="1"/>
    </xf>
    <xf numFmtId="0" fontId="5" fillId="0" borderId="21" xfId="3" applyFont="1" applyBorder="1" applyAlignment="1">
      <alignment horizontal="center" vertical="center" wrapText="1"/>
    </xf>
    <xf numFmtId="0" fontId="5" fillId="0" borderId="7" xfId="3" applyFont="1" applyBorder="1" applyAlignment="1">
      <alignment horizontal="center" vertical="center" wrapText="1"/>
    </xf>
    <xf numFmtId="1" fontId="3" fillId="0" borderId="7" xfId="2" applyNumberFormat="1" applyFont="1" applyBorder="1" applyAlignment="1">
      <alignment horizontal="center" vertical="center" wrapText="1"/>
    </xf>
    <xf numFmtId="4" fontId="6" fillId="0" borderId="16" xfId="3" applyNumberFormat="1" applyFont="1" applyBorder="1" applyAlignment="1">
      <alignment horizontal="left" vertical="center" wrapText="1"/>
    </xf>
    <xf numFmtId="0" fontId="5" fillId="0" borderId="23" xfId="3" applyFont="1" applyBorder="1" applyAlignment="1">
      <alignment horizontal="center" vertical="center" wrapText="1"/>
    </xf>
    <xf numFmtId="1" fontId="3" fillId="0" borderId="24" xfId="2" applyNumberFormat="1" applyFont="1" applyBorder="1" applyAlignment="1">
      <alignment horizontal="center" vertical="center" wrapText="1"/>
    </xf>
    <xf numFmtId="49" fontId="3" fillId="0" borderId="24" xfId="2" applyNumberFormat="1" applyFont="1" applyBorder="1" applyAlignment="1">
      <alignment vertical="center" wrapText="1"/>
    </xf>
    <xf numFmtId="164" fontId="6" fillId="0" borderId="22" xfId="3" applyNumberFormat="1" applyFont="1" applyBorder="1" applyAlignment="1">
      <alignment horizontal="left" vertical="center" wrapText="1"/>
    </xf>
    <xf numFmtId="1" fontId="3" fillId="0" borderId="13" xfId="2" applyNumberFormat="1" applyFont="1" applyBorder="1" applyAlignment="1">
      <alignment horizontal="center" vertical="center" wrapText="1"/>
    </xf>
    <xf numFmtId="49" fontId="3" fillId="0" borderId="13" xfId="2" applyNumberFormat="1" applyFont="1" applyBorder="1" applyAlignment="1">
      <alignment vertical="center" wrapText="1"/>
    </xf>
    <xf numFmtId="164" fontId="6" fillId="0" borderId="19" xfId="3" applyNumberFormat="1" applyFont="1" applyBorder="1" applyAlignment="1">
      <alignment horizontal="left" vertical="center" wrapText="1"/>
    </xf>
    <xf numFmtId="0" fontId="0" fillId="0" borderId="13" xfId="0" applyBorder="1"/>
    <xf numFmtId="0" fontId="8" fillId="4" borderId="7" xfId="0" applyFont="1" applyFill="1" applyBorder="1" applyAlignment="1">
      <alignment wrapText="1"/>
    </xf>
    <xf numFmtId="0" fontId="8" fillId="4" borderId="13" xfId="0" applyFont="1" applyFill="1" applyBorder="1" applyAlignment="1">
      <alignment wrapText="1"/>
    </xf>
    <xf numFmtId="0" fontId="9" fillId="4" borderId="13" xfId="0" applyFont="1" applyFill="1" applyBorder="1" applyAlignment="1">
      <alignment wrapText="1"/>
    </xf>
    <xf numFmtId="0" fontId="9" fillId="4" borderId="13" xfId="0" applyFont="1" applyFill="1" applyBorder="1"/>
    <xf numFmtId="49" fontId="7" fillId="0" borderId="11" xfId="3" applyNumberFormat="1" applyFont="1" applyBorder="1" applyAlignment="1">
      <alignment horizontal="center" vertical="center" wrapText="1"/>
    </xf>
    <xf numFmtId="0" fontId="0" fillId="2" borderId="12" xfId="0" applyFill="1" applyBorder="1" applyAlignment="1">
      <alignment horizontal="center"/>
    </xf>
    <xf numFmtId="0" fontId="0" fillId="2" borderId="14" xfId="0" applyFill="1" applyBorder="1" applyAlignment="1">
      <alignment horizontal="center"/>
    </xf>
    <xf numFmtId="0" fontId="2" fillId="0" borderId="9" xfId="2" applyFont="1" applyBorder="1" applyAlignment="1" applyProtection="1">
      <alignment horizontal="center" vertical="center" wrapText="1"/>
      <protection locked="0"/>
    </xf>
    <xf numFmtId="0" fontId="2" fillId="0" borderId="15" xfId="2" applyFont="1" applyBorder="1" applyAlignment="1" applyProtection="1">
      <alignment horizontal="center" vertical="center" wrapText="1"/>
      <protection locked="0"/>
    </xf>
    <xf numFmtId="9" fontId="2" fillId="0" borderId="7" xfId="1" applyNumberFormat="1" applyFont="1" applyBorder="1" applyAlignment="1" applyProtection="1">
      <alignment horizontal="center" vertical="center" wrapText="1"/>
      <protection locked="0"/>
    </xf>
    <xf numFmtId="49" fontId="2" fillId="0" borderId="1" xfId="1" applyNumberFormat="1" applyFont="1" applyBorder="1" applyAlignment="1" applyProtection="1">
      <alignment horizontal="center" vertical="center" wrapText="1"/>
      <protection locked="0"/>
    </xf>
    <xf numFmtId="49" fontId="2" fillId="0" borderId="3" xfId="1" applyNumberFormat="1" applyFont="1" applyBorder="1" applyAlignment="1" applyProtection="1">
      <alignment horizontal="center" vertical="center" wrapText="1"/>
      <protection locked="0"/>
    </xf>
    <xf numFmtId="49" fontId="2" fillId="0" borderId="2" xfId="1" applyNumberFormat="1" applyFont="1" applyBorder="1" applyAlignment="1" applyProtection="1">
      <alignment horizontal="center" vertical="center" wrapText="1"/>
      <protection locked="0"/>
    </xf>
    <xf numFmtId="49" fontId="2" fillId="0" borderId="4" xfId="1" applyNumberFormat="1" applyFont="1" applyBorder="1" applyAlignment="1" applyProtection="1">
      <alignment horizontal="center" vertical="center" wrapText="1"/>
      <protection locked="0"/>
    </xf>
    <xf numFmtId="49" fontId="2" fillId="0" borderId="8" xfId="1" applyNumberFormat="1" applyFont="1" applyBorder="1" applyAlignment="1" applyProtection="1">
      <alignment horizontal="center" vertical="center" wrapText="1"/>
      <protection locked="0"/>
    </xf>
    <xf numFmtId="49" fontId="2" fillId="0" borderId="9" xfId="1" applyNumberFormat="1" applyFont="1" applyBorder="1" applyAlignment="1" applyProtection="1">
      <alignment horizontal="center" vertical="center" wrapText="1"/>
      <protection locked="0"/>
    </xf>
    <xf numFmtId="0" fontId="2" fillId="0" borderId="7" xfId="2" applyFont="1" applyBorder="1" applyAlignment="1" applyProtection="1">
      <alignment horizontal="center" vertical="center" wrapText="1"/>
      <protection locked="0"/>
    </xf>
    <xf numFmtId="49" fontId="5" fillId="3" borderId="7" xfId="3" applyNumberFormat="1" applyFont="1" applyFill="1" applyBorder="1" applyAlignment="1">
      <alignment horizontal="center" vertical="center" wrapText="1"/>
    </xf>
    <xf numFmtId="49" fontId="5" fillId="0" borderId="7" xfId="3" applyNumberFormat="1" applyFont="1" applyBorder="1" applyAlignment="1">
      <alignment horizontal="center" vertical="center" wrapText="1"/>
    </xf>
    <xf numFmtId="0" fontId="6" fillId="0" borderId="7" xfId="3" applyFont="1" applyBorder="1" applyAlignment="1">
      <alignment horizontal="center" vertical="center"/>
    </xf>
    <xf numFmtId="49" fontId="7" fillId="0" borderId="7" xfId="3" applyNumberFormat="1" applyFont="1" applyBorder="1" applyAlignment="1">
      <alignment horizontal="center" vertical="center" wrapText="1"/>
    </xf>
    <xf numFmtId="0" fontId="6" fillId="0" borderId="7" xfId="3" applyFont="1" applyBorder="1" applyAlignment="1"/>
    <xf numFmtId="0" fontId="7" fillId="0" borderId="7" xfId="3" applyFont="1" applyBorder="1" applyAlignment="1"/>
  </cellXfs>
  <cellStyles count="4">
    <cellStyle name="Normal" xfId="0" builtinId="0"/>
    <cellStyle name="Normal 2" xfId="2" xr:uid="{80B61A05-8DFD-4348-AF63-E8FACE22CB88}"/>
    <cellStyle name="Normal 3" xfId="1" xr:uid="{97325A76-108F-49F4-8CF7-B4B87EEE15DB}"/>
    <cellStyle name="Normal 5" xfId="3" xr:uid="{0D4A2B14-64B6-4149-AEA1-6FFCA7C78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1094-8E0A-48B8-A010-485D4A03BA3D}">
  <dimension ref="A2:J40"/>
  <sheetViews>
    <sheetView tabSelected="1" workbookViewId="0">
      <selection activeCell="E12" sqref="E12"/>
    </sheetView>
  </sheetViews>
  <sheetFormatPr defaultColWidth="38.28515625" defaultRowHeight="15"/>
  <cols>
    <col min="1" max="1" width="3.140625" bestFit="1" customWidth="1"/>
    <col min="2" max="2" width="23" bestFit="1" customWidth="1"/>
    <col min="3" max="3" width="51.42578125" customWidth="1"/>
    <col min="4" max="4" width="38.28515625" customWidth="1"/>
    <col min="6" max="6" width="20.5703125" customWidth="1"/>
    <col min="8" max="8" width="22.28515625" customWidth="1"/>
    <col min="9" max="10" width="0" hidden="1" customWidth="1"/>
  </cols>
  <sheetData>
    <row r="2" spans="1:10">
      <c r="D2" s="47" t="s">
        <v>0</v>
      </c>
      <c r="E2" s="48"/>
      <c r="F2" s="48"/>
      <c r="G2" s="48"/>
      <c r="H2" s="48"/>
      <c r="I2" s="3" t="s">
        <v>1</v>
      </c>
      <c r="J2" s="3" t="s">
        <v>1</v>
      </c>
    </row>
    <row r="3" spans="1:10">
      <c r="A3" s="52" t="s">
        <v>2</v>
      </c>
      <c r="B3" s="54" t="s">
        <v>3</v>
      </c>
      <c r="C3" s="56" t="s">
        <v>4</v>
      </c>
      <c r="D3" s="58" t="s">
        <v>5</v>
      </c>
      <c r="E3" s="49" t="s">
        <v>6</v>
      </c>
      <c r="F3" s="50"/>
      <c r="G3" s="49" t="s">
        <v>6</v>
      </c>
      <c r="H3" s="50"/>
      <c r="I3" s="58" t="s">
        <v>7</v>
      </c>
      <c r="J3" s="51" t="s">
        <v>8</v>
      </c>
    </row>
    <row r="4" spans="1:10" ht="25.5">
      <c r="A4" s="53"/>
      <c r="B4" s="55"/>
      <c r="C4" s="57"/>
      <c r="D4" s="58"/>
      <c r="E4" s="10" t="s">
        <v>9</v>
      </c>
      <c r="F4" s="10" t="s">
        <v>10</v>
      </c>
      <c r="G4" s="10" t="s">
        <v>11</v>
      </c>
      <c r="H4" s="10" t="s">
        <v>10</v>
      </c>
      <c r="I4" s="58"/>
      <c r="J4" s="51"/>
    </row>
    <row r="5" spans="1:10">
      <c r="A5" s="1">
        <v>1</v>
      </c>
      <c r="B5" s="18">
        <v>79312869</v>
      </c>
      <c r="C5" s="4" t="s">
        <v>12</v>
      </c>
      <c r="D5" s="5" t="s">
        <v>13</v>
      </c>
      <c r="E5" s="5"/>
      <c r="F5" s="5"/>
      <c r="G5" s="42"/>
      <c r="H5" s="5"/>
      <c r="I5" s="5"/>
      <c r="J5" s="5"/>
    </row>
    <row r="6" spans="1:10">
      <c r="A6" s="1">
        <v>2</v>
      </c>
      <c r="B6" s="18">
        <v>51703985</v>
      </c>
      <c r="C6" s="4" t="s">
        <v>14</v>
      </c>
      <c r="D6" s="5" t="s">
        <v>15</v>
      </c>
      <c r="E6" s="41" t="s">
        <v>16</v>
      </c>
      <c r="F6" s="41">
        <v>2024</v>
      </c>
      <c r="G6" s="43"/>
      <c r="H6" s="5"/>
      <c r="I6" s="5"/>
      <c r="J6" s="5"/>
    </row>
    <row r="7" spans="1:10">
      <c r="A7" s="1">
        <v>3</v>
      </c>
      <c r="B7" s="18">
        <v>79397454</v>
      </c>
      <c r="C7" s="4" t="s">
        <v>17</v>
      </c>
      <c r="D7" s="5" t="s">
        <v>15</v>
      </c>
      <c r="E7" s="41"/>
      <c r="F7" s="41"/>
      <c r="G7" s="44"/>
      <c r="H7" s="5"/>
      <c r="I7" s="5"/>
      <c r="J7" s="5"/>
    </row>
    <row r="8" spans="1:10">
      <c r="A8" s="1">
        <v>4</v>
      </c>
      <c r="B8" s="18">
        <v>52426307</v>
      </c>
      <c r="C8" s="4" t="s">
        <v>18</v>
      </c>
      <c r="D8" s="5" t="s">
        <v>19</v>
      </c>
      <c r="E8" s="41"/>
      <c r="F8" s="41"/>
      <c r="G8" s="43"/>
      <c r="H8" s="5"/>
      <c r="I8" s="5"/>
      <c r="J8" s="5"/>
    </row>
    <row r="9" spans="1:10">
      <c r="A9" s="1">
        <v>5</v>
      </c>
      <c r="B9" s="18">
        <v>12237136</v>
      </c>
      <c r="C9" s="4" t="s">
        <v>20</v>
      </c>
      <c r="D9" s="5" t="s">
        <v>21</v>
      </c>
      <c r="E9" s="41"/>
      <c r="F9" s="41"/>
      <c r="G9" s="43"/>
      <c r="H9" s="5"/>
      <c r="I9" s="5"/>
      <c r="J9" s="5"/>
    </row>
    <row r="10" spans="1:10">
      <c r="A10" s="1">
        <v>6</v>
      </c>
      <c r="B10" s="18">
        <v>79378140</v>
      </c>
      <c r="C10" s="4" t="s">
        <v>22</v>
      </c>
      <c r="D10" s="5" t="s">
        <v>19</v>
      </c>
      <c r="E10" s="41"/>
      <c r="F10" s="41"/>
      <c r="G10" s="43"/>
      <c r="H10" s="5"/>
      <c r="I10" s="5"/>
      <c r="J10" s="5"/>
    </row>
    <row r="11" spans="1:10">
      <c r="A11" s="1">
        <v>7</v>
      </c>
      <c r="B11" s="18">
        <v>19289020</v>
      </c>
      <c r="C11" s="4" t="s">
        <v>23</v>
      </c>
      <c r="D11" s="5" t="s">
        <v>15</v>
      </c>
      <c r="E11" s="41"/>
      <c r="F11" s="41"/>
      <c r="G11" s="43"/>
      <c r="H11" s="5"/>
      <c r="I11" s="5"/>
      <c r="J11" s="5"/>
    </row>
    <row r="12" spans="1:10" ht="27">
      <c r="A12" s="1">
        <v>8</v>
      </c>
      <c r="B12" s="18">
        <v>79752717</v>
      </c>
      <c r="C12" s="4" t="s">
        <v>24</v>
      </c>
      <c r="D12" s="5" t="s">
        <v>21</v>
      </c>
      <c r="E12" s="41"/>
      <c r="F12" s="41"/>
      <c r="G12" s="44" t="s">
        <v>25</v>
      </c>
      <c r="H12" s="5">
        <v>2023</v>
      </c>
      <c r="I12" s="5"/>
      <c r="J12" s="5"/>
    </row>
    <row r="13" spans="1:10">
      <c r="A13" s="1">
        <v>9</v>
      </c>
      <c r="B13" s="18">
        <v>93401117</v>
      </c>
      <c r="C13" s="4" t="s">
        <v>26</v>
      </c>
      <c r="D13" s="5" t="s">
        <v>15</v>
      </c>
      <c r="E13" s="41"/>
      <c r="F13" s="41"/>
      <c r="G13" s="43"/>
      <c r="H13" s="5"/>
      <c r="I13" s="5"/>
      <c r="J13" s="5"/>
    </row>
    <row r="14" spans="1:10" ht="27">
      <c r="A14" s="1">
        <v>10</v>
      </c>
      <c r="B14" s="18">
        <v>94411259</v>
      </c>
      <c r="C14" s="4" t="s">
        <v>27</v>
      </c>
      <c r="D14" s="5" t="s">
        <v>19</v>
      </c>
      <c r="E14" s="41"/>
      <c r="F14" s="41"/>
      <c r="G14" s="44" t="s">
        <v>28</v>
      </c>
      <c r="H14" s="5">
        <v>2023</v>
      </c>
      <c r="I14" s="5"/>
      <c r="J14" s="5"/>
    </row>
    <row r="15" spans="1:10">
      <c r="A15" s="1">
        <v>11</v>
      </c>
      <c r="B15" s="18">
        <v>79708124</v>
      </c>
      <c r="C15" s="4" t="s">
        <v>29</v>
      </c>
      <c r="D15" s="5" t="s">
        <v>30</v>
      </c>
      <c r="E15" s="41"/>
      <c r="F15" s="41"/>
      <c r="G15" s="43"/>
      <c r="H15" s="5"/>
      <c r="I15" s="5"/>
      <c r="J15" s="5"/>
    </row>
    <row r="16" spans="1:10">
      <c r="A16" s="1">
        <v>12</v>
      </c>
      <c r="B16" s="18">
        <v>79777053</v>
      </c>
      <c r="C16" s="4" t="s">
        <v>31</v>
      </c>
      <c r="D16" s="5" t="s">
        <v>32</v>
      </c>
      <c r="E16" s="41"/>
      <c r="F16" s="41"/>
      <c r="G16" s="44"/>
      <c r="H16" s="5"/>
      <c r="I16" s="5"/>
      <c r="J16" s="5"/>
    </row>
    <row r="17" spans="1:10" ht="40.5">
      <c r="A17" s="1">
        <v>13</v>
      </c>
      <c r="B17" s="18">
        <v>80264735</v>
      </c>
      <c r="C17" s="4" t="s">
        <v>33</v>
      </c>
      <c r="D17" s="5" t="s">
        <v>21</v>
      </c>
      <c r="E17" s="41"/>
      <c r="F17" s="41"/>
      <c r="G17" s="44" t="s">
        <v>34</v>
      </c>
      <c r="H17" s="5">
        <v>2025</v>
      </c>
      <c r="I17" s="5"/>
      <c r="J17" s="5"/>
    </row>
    <row r="18" spans="1:10">
      <c r="A18" s="1">
        <v>14</v>
      </c>
      <c r="B18" s="18">
        <v>19483708</v>
      </c>
      <c r="C18" s="4" t="s">
        <v>35</v>
      </c>
      <c r="D18" s="5" t="s">
        <v>15</v>
      </c>
      <c r="E18" s="41"/>
      <c r="F18" s="41"/>
      <c r="G18" s="43"/>
      <c r="H18" s="5"/>
      <c r="I18" s="5"/>
      <c r="J18" s="5"/>
    </row>
    <row r="19" spans="1:10">
      <c r="A19" s="1">
        <v>15</v>
      </c>
      <c r="B19" s="18">
        <v>79973967</v>
      </c>
      <c r="C19" s="4" t="s">
        <v>36</v>
      </c>
      <c r="D19" s="5" t="s">
        <v>21</v>
      </c>
      <c r="E19" s="41"/>
      <c r="F19" s="41"/>
      <c r="G19" s="44"/>
      <c r="H19" s="5"/>
      <c r="I19" s="5"/>
      <c r="J19" s="5"/>
    </row>
    <row r="20" spans="1:10" ht="27">
      <c r="A20" s="1">
        <v>16</v>
      </c>
      <c r="B20" s="18">
        <v>80180279</v>
      </c>
      <c r="C20" s="4" t="s">
        <v>37</v>
      </c>
      <c r="D20" s="5" t="s">
        <v>15</v>
      </c>
      <c r="E20" s="41"/>
      <c r="F20" s="41"/>
      <c r="G20" s="44" t="s">
        <v>38</v>
      </c>
      <c r="H20" s="5">
        <v>2023</v>
      </c>
      <c r="I20" s="5"/>
      <c r="J20" s="5"/>
    </row>
    <row r="21" spans="1:10">
      <c r="A21" s="1">
        <v>17</v>
      </c>
      <c r="B21" s="18">
        <v>7181718</v>
      </c>
      <c r="C21" s="4" t="s">
        <v>39</v>
      </c>
      <c r="D21" s="5" t="s">
        <v>30</v>
      </c>
      <c r="E21" s="41"/>
      <c r="F21" s="41"/>
      <c r="G21" s="45" t="s">
        <v>40</v>
      </c>
      <c r="H21" s="5">
        <v>2023</v>
      </c>
      <c r="I21" s="5"/>
      <c r="J21" s="5"/>
    </row>
    <row r="22" spans="1:10">
      <c r="A22" s="1">
        <v>18</v>
      </c>
      <c r="B22" s="18">
        <v>79950025</v>
      </c>
      <c r="C22" s="4" t="s">
        <v>41</v>
      </c>
      <c r="D22" s="5" t="s">
        <v>15</v>
      </c>
      <c r="E22" s="41" t="str">
        <f>+E6</f>
        <v>CURSÓ Y APROBÓ</v>
      </c>
      <c r="F22" s="41">
        <v>2024</v>
      </c>
      <c r="G22" s="43"/>
      <c r="H22" s="5"/>
      <c r="I22" s="5"/>
      <c r="J22" s="5"/>
    </row>
    <row r="23" spans="1:10">
      <c r="A23" s="1">
        <v>19</v>
      </c>
      <c r="B23" s="18">
        <v>74373175</v>
      </c>
      <c r="C23" s="4" t="s">
        <v>42</v>
      </c>
      <c r="D23" s="5" t="s">
        <v>15</v>
      </c>
      <c r="E23" s="41"/>
      <c r="F23" s="41"/>
      <c r="G23" s="44" t="s">
        <v>43</v>
      </c>
      <c r="H23" s="5">
        <v>2025</v>
      </c>
      <c r="I23" s="5"/>
      <c r="J23" s="5"/>
    </row>
    <row r="24" spans="1:10">
      <c r="A24" s="1">
        <v>20</v>
      </c>
      <c r="B24" s="18">
        <v>79974667</v>
      </c>
      <c r="C24" s="4" t="s">
        <v>44</v>
      </c>
      <c r="D24" s="5" t="s">
        <v>21</v>
      </c>
      <c r="E24" s="41"/>
      <c r="F24" s="41"/>
      <c r="G24" s="43"/>
      <c r="H24" s="5"/>
      <c r="I24" s="5"/>
      <c r="J24" s="5"/>
    </row>
    <row r="25" spans="1:10">
      <c r="A25" s="1">
        <v>21</v>
      </c>
      <c r="B25" s="18">
        <v>79956820</v>
      </c>
      <c r="C25" s="4" t="s">
        <v>45</v>
      </c>
      <c r="D25" s="5" t="s">
        <v>21</v>
      </c>
      <c r="E25" s="41"/>
      <c r="F25" s="41"/>
      <c r="G25" s="43"/>
      <c r="H25" s="5"/>
      <c r="I25" s="5"/>
      <c r="J25" s="5"/>
    </row>
    <row r="26" spans="1:10">
      <c r="A26" s="1">
        <v>22</v>
      </c>
      <c r="B26" s="18">
        <v>80033827</v>
      </c>
      <c r="C26" s="4" t="s">
        <v>46</v>
      </c>
      <c r="D26" s="5" t="s">
        <v>15</v>
      </c>
      <c r="E26" s="41"/>
      <c r="F26" s="41"/>
      <c r="G26" s="43"/>
      <c r="H26" s="5"/>
      <c r="I26" s="5"/>
      <c r="J26" s="5"/>
    </row>
    <row r="27" spans="1:10">
      <c r="A27" s="1">
        <v>23</v>
      </c>
      <c r="B27" s="18">
        <v>79572003</v>
      </c>
      <c r="C27" s="4" t="s">
        <v>47</v>
      </c>
      <c r="D27" s="5" t="s">
        <v>15</v>
      </c>
      <c r="E27" s="41"/>
      <c r="F27" s="41"/>
      <c r="G27" s="43"/>
      <c r="H27" s="5"/>
      <c r="I27" s="5"/>
      <c r="J27" s="5"/>
    </row>
    <row r="28" spans="1:10" ht="27">
      <c r="A28" s="1">
        <v>24</v>
      </c>
      <c r="B28" s="18">
        <v>3228052</v>
      </c>
      <c r="C28" s="4" t="s">
        <v>48</v>
      </c>
      <c r="D28" s="5" t="s">
        <v>49</v>
      </c>
      <c r="E28" s="41"/>
      <c r="F28" s="41"/>
      <c r="G28" s="44" t="s">
        <v>50</v>
      </c>
      <c r="H28" s="5">
        <v>2024</v>
      </c>
      <c r="I28" s="5"/>
      <c r="J28" s="5"/>
    </row>
    <row r="29" spans="1:10">
      <c r="A29" s="1">
        <v>25</v>
      </c>
      <c r="B29" s="18">
        <v>79553193</v>
      </c>
      <c r="C29" s="4" t="s">
        <v>51</v>
      </c>
      <c r="D29" s="5" t="s">
        <v>30</v>
      </c>
      <c r="E29" s="41"/>
      <c r="F29" s="41"/>
      <c r="G29" s="43"/>
      <c r="H29" s="5"/>
      <c r="I29" s="5"/>
      <c r="J29" s="5"/>
    </row>
    <row r="30" spans="1:10">
      <c r="A30" s="1">
        <v>26</v>
      </c>
      <c r="B30" s="18">
        <v>79367935</v>
      </c>
      <c r="C30" s="4" t="s">
        <v>52</v>
      </c>
      <c r="D30" s="5" t="s">
        <v>21</v>
      </c>
      <c r="E30" s="41"/>
      <c r="F30" s="41"/>
      <c r="G30" s="43"/>
      <c r="H30" s="5"/>
      <c r="I30" s="5"/>
      <c r="J30" s="5"/>
    </row>
    <row r="31" spans="1:10">
      <c r="A31" s="1">
        <v>27</v>
      </c>
      <c r="B31" s="18">
        <v>7724669</v>
      </c>
      <c r="C31" s="4" t="s">
        <v>53</v>
      </c>
      <c r="D31" s="5" t="s">
        <v>15</v>
      </c>
      <c r="E31" s="41" t="str">
        <f>+E22</f>
        <v>CURSÓ Y APROBÓ</v>
      </c>
      <c r="F31" s="41">
        <v>2024</v>
      </c>
      <c r="G31" s="44"/>
      <c r="H31" s="5"/>
      <c r="I31" s="5"/>
      <c r="J31" s="5"/>
    </row>
    <row r="32" spans="1:10">
      <c r="A32" s="1">
        <v>28</v>
      </c>
      <c r="B32" s="18">
        <v>9395122</v>
      </c>
      <c r="C32" s="4" t="s">
        <v>54</v>
      </c>
      <c r="D32" s="5" t="s">
        <v>15</v>
      </c>
      <c r="E32" s="41"/>
      <c r="F32" s="41"/>
      <c r="G32" s="44" t="s">
        <v>55</v>
      </c>
      <c r="H32" s="5">
        <v>2024</v>
      </c>
      <c r="I32" s="5"/>
      <c r="J32" s="5"/>
    </row>
    <row r="33" spans="1:10">
      <c r="A33" s="1">
        <v>29</v>
      </c>
      <c r="B33" s="18">
        <v>79563205</v>
      </c>
      <c r="C33" s="4" t="s">
        <v>56</v>
      </c>
      <c r="D33" s="5" t="s">
        <v>30</v>
      </c>
      <c r="E33" s="41"/>
      <c r="F33" s="41"/>
      <c r="G33" s="43"/>
      <c r="H33" s="5"/>
      <c r="I33" s="5"/>
      <c r="J33" s="5"/>
    </row>
    <row r="34" spans="1:10">
      <c r="A34" s="1">
        <v>30</v>
      </c>
      <c r="B34" s="18">
        <v>51610577</v>
      </c>
      <c r="C34" s="4" t="s">
        <v>57</v>
      </c>
      <c r="D34" s="5" t="s">
        <v>21</v>
      </c>
      <c r="E34" s="41"/>
      <c r="F34" s="41"/>
      <c r="G34" s="43"/>
      <c r="H34" s="5"/>
      <c r="I34" s="5"/>
      <c r="J34" s="5"/>
    </row>
    <row r="35" spans="1:10" ht="27">
      <c r="A35" s="1">
        <v>31</v>
      </c>
      <c r="B35" s="18">
        <v>7165116</v>
      </c>
      <c r="C35" s="4" t="s">
        <v>58</v>
      </c>
      <c r="D35" s="5" t="s">
        <v>15</v>
      </c>
      <c r="E35" s="41"/>
      <c r="F35" s="41"/>
      <c r="G35" s="44" t="s">
        <v>59</v>
      </c>
      <c r="H35" s="5">
        <v>2023</v>
      </c>
      <c r="I35" s="5"/>
      <c r="J35" s="5"/>
    </row>
    <row r="36" spans="1:10">
      <c r="A36" s="1">
        <v>32</v>
      </c>
      <c r="B36" s="18">
        <v>79757342</v>
      </c>
      <c r="C36" s="4" t="s">
        <v>60</v>
      </c>
      <c r="D36" s="5" t="s">
        <v>30</v>
      </c>
      <c r="E36" s="41"/>
      <c r="F36" s="41"/>
      <c r="G36" s="43"/>
      <c r="H36" s="5"/>
      <c r="I36" s="5"/>
      <c r="J36" s="5"/>
    </row>
    <row r="37" spans="1:10">
      <c r="A37" s="1">
        <v>33</v>
      </c>
      <c r="B37" s="18">
        <v>79508767</v>
      </c>
      <c r="C37" s="4" t="s">
        <v>61</v>
      </c>
      <c r="D37" s="5" t="s">
        <v>15</v>
      </c>
      <c r="E37" s="41"/>
      <c r="F37" s="41"/>
      <c r="G37" s="43"/>
      <c r="H37" s="5"/>
      <c r="I37" s="5"/>
      <c r="J37" s="5"/>
    </row>
    <row r="38" spans="1:10">
      <c r="A38" s="1">
        <v>34</v>
      </c>
      <c r="B38" s="18">
        <v>19440276</v>
      </c>
      <c r="C38" s="4" t="s">
        <v>62</v>
      </c>
      <c r="D38" s="5" t="s">
        <v>15</v>
      </c>
      <c r="E38" s="41"/>
      <c r="F38" s="41"/>
      <c r="G38" s="43"/>
      <c r="H38" s="5"/>
      <c r="I38" s="5"/>
      <c r="J38" s="5"/>
    </row>
    <row r="39" spans="1:10">
      <c r="A39" s="1">
        <v>35</v>
      </c>
      <c r="B39" s="18">
        <v>79390069</v>
      </c>
      <c r="C39" s="4" t="s">
        <v>63</v>
      </c>
      <c r="D39" s="5" t="s">
        <v>15</v>
      </c>
      <c r="E39" s="41"/>
      <c r="F39" s="41"/>
      <c r="G39" s="43"/>
      <c r="H39" s="5"/>
      <c r="I39" s="5"/>
      <c r="J39" s="5"/>
    </row>
    <row r="40" spans="1:10" ht="27">
      <c r="A40" s="1">
        <v>36</v>
      </c>
      <c r="B40" s="18">
        <v>93414671</v>
      </c>
      <c r="C40" s="4" t="s">
        <v>64</v>
      </c>
      <c r="D40" s="5" t="s">
        <v>15</v>
      </c>
      <c r="E40" s="41"/>
      <c r="F40" s="41"/>
      <c r="G40" s="44" t="s">
        <v>65</v>
      </c>
      <c r="H40" s="5">
        <v>2023</v>
      </c>
      <c r="I40" s="5"/>
      <c r="J40" s="5"/>
    </row>
  </sheetData>
  <autoFilter ref="A4:J40" xr:uid="{D6D19C1A-4924-4C8B-8E47-71E6650FACAA}"/>
  <mergeCells count="9">
    <mergeCell ref="D2:H2"/>
    <mergeCell ref="G3:H3"/>
    <mergeCell ref="J3:J4"/>
    <mergeCell ref="A3:A4"/>
    <mergeCell ref="B3:B4"/>
    <mergeCell ref="C3:C4"/>
    <mergeCell ref="D3:D4"/>
    <mergeCell ref="I3:I4"/>
    <mergeCell ref="E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5D6D-3F77-4AF9-B334-9D127AF3C1F2}">
  <dimension ref="B2:P54"/>
  <sheetViews>
    <sheetView zoomScale="115" zoomScaleNormal="115" workbookViewId="0">
      <selection activeCell="A7" sqref="A7"/>
    </sheetView>
  </sheetViews>
  <sheetFormatPr defaultColWidth="11.42578125" defaultRowHeight="15"/>
  <cols>
    <col min="2" max="2" width="4.140625" customWidth="1"/>
    <col min="4" max="4" width="24.42578125" bestFit="1" customWidth="1"/>
    <col min="5" max="5" width="28.42578125" customWidth="1"/>
    <col min="6" max="6" width="19" customWidth="1"/>
    <col min="7" max="7" width="44" bestFit="1" customWidth="1"/>
    <col min="9" max="9" width="20.5703125" bestFit="1" customWidth="1"/>
    <col min="12" max="13" width="11.42578125" style="17"/>
    <col min="14" max="14" width="12.7109375" customWidth="1"/>
    <col min="15" max="15" width="13.28515625" customWidth="1"/>
    <col min="16" max="16" width="14.140625" customWidth="1"/>
  </cols>
  <sheetData>
    <row r="2" spans="2:16" ht="15.75">
      <c r="B2" s="60" t="s">
        <v>66</v>
      </c>
      <c r="C2" s="60" t="s">
        <v>67</v>
      </c>
      <c r="D2" s="60" t="s">
        <v>68</v>
      </c>
      <c r="E2" s="62" t="s">
        <v>69</v>
      </c>
      <c r="F2" s="60" t="s">
        <v>70</v>
      </c>
      <c r="G2" s="60" t="s">
        <v>71</v>
      </c>
      <c r="H2" s="60" t="s">
        <v>72</v>
      </c>
      <c r="I2" s="60" t="s">
        <v>73</v>
      </c>
      <c r="J2" s="60" t="s">
        <v>74</v>
      </c>
      <c r="K2" s="63"/>
      <c r="L2" s="60" t="s">
        <v>75</v>
      </c>
      <c r="M2" s="61"/>
      <c r="N2" s="60" t="s">
        <v>76</v>
      </c>
      <c r="O2" s="60" t="s">
        <v>77</v>
      </c>
      <c r="P2" s="59" t="s">
        <v>78</v>
      </c>
    </row>
    <row r="3" spans="2:16">
      <c r="B3" s="63"/>
      <c r="C3" s="60"/>
      <c r="D3" s="63"/>
      <c r="E3" s="64"/>
      <c r="F3" s="63"/>
      <c r="G3" s="63"/>
      <c r="H3" s="63"/>
      <c r="I3" s="63"/>
      <c r="J3" s="9" t="s">
        <v>79</v>
      </c>
      <c r="K3" s="9" t="s">
        <v>80</v>
      </c>
      <c r="L3" s="15" t="s">
        <v>81</v>
      </c>
      <c r="M3" s="9" t="s">
        <v>80</v>
      </c>
      <c r="N3" s="63"/>
      <c r="O3" s="63"/>
      <c r="P3" s="59"/>
    </row>
    <row r="4" spans="2:16" ht="40.5">
      <c r="B4" s="11">
        <v>1</v>
      </c>
      <c r="C4" s="18">
        <v>51703985</v>
      </c>
      <c r="D4" s="4" t="s">
        <v>14</v>
      </c>
      <c r="E4" s="13" t="s">
        <v>82</v>
      </c>
      <c r="F4" s="14" t="s">
        <v>83</v>
      </c>
      <c r="G4" s="12" t="s">
        <v>84</v>
      </c>
      <c r="H4" s="12"/>
      <c r="I4" s="12" t="s">
        <v>85</v>
      </c>
      <c r="J4" s="12"/>
      <c r="K4" s="12"/>
      <c r="L4" s="16"/>
      <c r="M4" s="16" t="s">
        <v>86</v>
      </c>
      <c r="N4" s="7">
        <v>45124</v>
      </c>
      <c r="O4" s="7">
        <v>45128</v>
      </c>
      <c r="P4" s="8">
        <f>+_xlfn.DAYS(O4,N4)+1</f>
        <v>5</v>
      </c>
    </row>
    <row r="5" spans="2:16" ht="40.5">
      <c r="B5" s="6">
        <v>2</v>
      </c>
      <c r="C5" s="18">
        <v>51703985</v>
      </c>
      <c r="D5" s="4" t="s">
        <v>14</v>
      </c>
      <c r="E5" s="13" t="s">
        <v>87</v>
      </c>
      <c r="F5" s="14" t="s">
        <v>88</v>
      </c>
      <c r="G5" s="12" t="s">
        <v>89</v>
      </c>
      <c r="H5" s="12"/>
      <c r="I5" s="12" t="s">
        <v>85</v>
      </c>
      <c r="J5" s="12"/>
      <c r="K5" s="12"/>
      <c r="L5" s="16" t="s">
        <v>86</v>
      </c>
      <c r="M5" s="16"/>
      <c r="N5" s="7">
        <v>45232</v>
      </c>
      <c r="O5" s="7">
        <v>45234</v>
      </c>
      <c r="P5" s="8">
        <f t="shared" ref="P5:P13" si="0">+_xlfn.DAYS(O5,N5)+1</f>
        <v>3</v>
      </c>
    </row>
    <row r="6" spans="2:16" ht="27">
      <c r="B6" s="6">
        <v>3</v>
      </c>
      <c r="C6" s="18">
        <v>51703985</v>
      </c>
      <c r="D6" s="4" t="s">
        <v>14</v>
      </c>
      <c r="E6" s="13" t="s">
        <v>90</v>
      </c>
      <c r="F6" s="14" t="s">
        <v>91</v>
      </c>
      <c r="G6" s="12" t="s">
        <v>92</v>
      </c>
      <c r="H6" s="12"/>
      <c r="I6" s="12" t="s">
        <v>85</v>
      </c>
      <c r="J6" s="12"/>
      <c r="K6" s="12"/>
      <c r="L6" s="16" t="s">
        <v>86</v>
      </c>
      <c r="M6" s="16"/>
      <c r="N6" s="7">
        <v>45722</v>
      </c>
      <c r="O6" s="7">
        <v>45724</v>
      </c>
      <c r="P6" s="8">
        <f t="shared" si="0"/>
        <v>3</v>
      </c>
    </row>
    <row r="7" spans="2:16" ht="40.5">
      <c r="B7" s="6">
        <v>4</v>
      </c>
      <c r="C7" s="18">
        <v>79708124</v>
      </c>
      <c r="D7" s="4" t="s">
        <v>29</v>
      </c>
      <c r="E7" s="13" t="s">
        <v>93</v>
      </c>
      <c r="F7" s="14" t="s">
        <v>94</v>
      </c>
      <c r="G7" s="12" t="s">
        <v>95</v>
      </c>
      <c r="H7" s="12"/>
      <c r="I7" s="12" t="s">
        <v>85</v>
      </c>
      <c r="J7" s="12"/>
      <c r="K7" s="12"/>
      <c r="L7" s="16" t="s">
        <v>86</v>
      </c>
      <c r="M7" s="16"/>
      <c r="N7" s="7">
        <v>45050</v>
      </c>
      <c r="O7" s="7">
        <v>45052</v>
      </c>
      <c r="P7" s="8">
        <f t="shared" si="0"/>
        <v>3</v>
      </c>
    </row>
    <row r="8" spans="2:16" ht="54">
      <c r="B8" s="6">
        <v>5</v>
      </c>
      <c r="C8" s="18">
        <v>79708124</v>
      </c>
      <c r="D8" s="4" t="s">
        <v>29</v>
      </c>
      <c r="E8" s="13" t="s">
        <v>96</v>
      </c>
      <c r="F8" s="14" t="s">
        <v>97</v>
      </c>
      <c r="G8" s="12" t="s">
        <v>98</v>
      </c>
      <c r="H8" s="12"/>
      <c r="I8" s="12" t="s">
        <v>85</v>
      </c>
      <c r="J8" s="12"/>
      <c r="K8" s="12"/>
      <c r="L8" s="16" t="s">
        <v>86</v>
      </c>
      <c r="M8" s="16"/>
      <c r="N8" s="7">
        <v>45889</v>
      </c>
      <c r="O8" s="7">
        <v>45891</v>
      </c>
      <c r="P8" s="8">
        <f t="shared" si="0"/>
        <v>3</v>
      </c>
    </row>
    <row r="9" spans="2:16" ht="27">
      <c r="B9" s="6">
        <v>6</v>
      </c>
      <c r="C9" s="18">
        <v>19483708</v>
      </c>
      <c r="D9" s="4" t="s">
        <v>35</v>
      </c>
      <c r="E9" s="13" t="s">
        <v>99</v>
      </c>
      <c r="F9" s="14" t="s">
        <v>91</v>
      </c>
      <c r="G9" s="12" t="s">
        <v>100</v>
      </c>
      <c r="H9" s="12"/>
      <c r="I9" s="12" t="s">
        <v>85</v>
      </c>
      <c r="J9" s="12"/>
      <c r="K9" s="12"/>
      <c r="L9" s="16" t="s">
        <v>86</v>
      </c>
      <c r="M9" s="16"/>
      <c r="N9" s="7">
        <v>45038</v>
      </c>
      <c r="O9" s="7">
        <v>45042</v>
      </c>
      <c r="P9" s="8">
        <f t="shared" si="0"/>
        <v>5</v>
      </c>
    </row>
    <row r="10" spans="2:16" ht="40.5">
      <c r="B10" s="6">
        <v>7</v>
      </c>
      <c r="C10" s="2">
        <v>79973967</v>
      </c>
      <c r="D10" s="4" t="s">
        <v>36</v>
      </c>
      <c r="E10" s="13" t="s">
        <v>101</v>
      </c>
      <c r="F10" s="14" t="s">
        <v>102</v>
      </c>
      <c r="G10" s="12" t="s">
        <v>103</v>
      </c>
      <c r="H10" s="12"/>
      <c r="I10" s="12" t="s">
        <v>85</v>
      </c>
      <c r="J10" s="12"/>
      <c r="K10" s="12"/>
      <c r="L10" s="16"/>
      <c r="M10" s="16" t="s">
        <v>86</v>
      </c>
      <c r="N10" s="7">
        <v>45077</v>
      </c>
      <c r="O10" s="7">
        <v>45079</v>
      </c>
      <c r="P10" s="8">
        <f t="shared" si="0"/>
        <v>3</v>
      </c>
    </row>
    <row r="11" spans="2:16" ht="40.5">
      <c r="B11" s="6">
        <v>8</v>
      </c>
      <c r="C11" s="2">
        <v>79973968</v>
      </c>
      <c r="D11" s="4" t="s">
        <v>36</v>
      </c>
      <c r="E11" s="13" t="s">
        <v>104</v>
      </c>
      <c r="F11" s="14" t="s">
        <v>105</v>
      </c>
      <c r="G11" s="12" t="s">
        <v>106</v>
      </c>
      <c r="H11" s="12"/>
      <c r="I11" s="12" t="s">
        <v>85</v>
      </c>
      <c r="J11" s="12"/>
      <c r="K11" s="12"/>
      <c r="L11" s="16"/>
      <c r="M11" s="16" t="s">
        <v>86</v>
      </c>
      <c r="N11" s="7">
        <v>45478</v>
      </c>
      <c r="O11" s="7">
        <v>45480</v>
      </c>
      <c r="P11" s="8">
        <f t="shared" si="0"/>
        <v>3</v>
      </c>
    </row>
    <row r="12" spans="2:16" ht="40.5">
      <c r="B12" s="6">
        <v>9</v>
      </c>
      <c r="C12" s="2">
        <v>79973969</v>
      </c>
      <c r="D12" s="4" t="s">
        <v>36</v>
      </c>
      <c r="E12" s="13" t="s">
        <v>107</v>
      </c>
      <c r="F12" s="14" t="s">
        <v>108</v>
      </c>
      <c r="G12" s="12" t="s">
        <v>109</v>
      </c>
      <c r="H12" s="12"/>
      <c r="I12" s="12" t="s">
        <v>85</v>
      </c>
      <c r="J12" s="12"/>
      <c r="K12" s="12"/>
      <c r="L12" s="16"/>
      <c r="M12" s="16" t="s">
        <v>86</v>
      </c>
      <c r="N12" s="7">
        <v>45607</v>
      </c>
      <c r="O12" s="7">
        <v>45611</v>
      </c>
      <c r="P12" s="8">
        <f t="shared" si="0"/>
        <v>5</v>
      </c>
    </row>
    <row r="13" spans="2:16" ht="27">
      <c r="B13" s="6">
        <v>10</v>
      </c>
      <c r="C13" s="2">
        <v>79973970</v>
      </c>
      <c r="D13" s="4" t="s">
        <v>36</v>
      </c>
      <c r="E13" s="13" t="s">
        <v>110</v>
      </c>
      <c r="F13" s="14" t="s">
        <v>111</v>
      </c>
      <c r="G13" s="12" t="s">
        <v>112</v>
      </c>
      <c r="H13" s="12"/>
      <c r="I13" s="12" t="s">
        <v>85</v>
      </c>
      <c r="J13" s="12"/>
      <c r="K13" s="12"/>
      <c r="L13" s="16"/>
      <c r="M13" s="16" t="s">
        <v>86</v>
      </c>
      <c r="N13" s="7">
        <v>45885</v>
      </c>
      <c r="O13" s="7">
        <v>45888</v>
      </c>
      <c r="P13" s="8">
        <f t="shared" si="0"/>
        <v>4</v>
      </c>
    </row>
    <row r="14" spans="2:16" ht="40.5">
      <c r="B14" s="6">
        <v>11</v>
      </c>
      <c r="C14" s="2">
        <v>79950025</v>
      </c>
      <c r="D14" s="4" t="s">
        <v>41</v>
      </c>
      <c r="E14" s="13" t="s">
        <v>113</v>
      </c>
      <c r="F14" s="14" t="s">
        <v>114</v>
      </c>
      <c r="G14" s="12" t="s">
        <v>115</v>
      </c>
      <c r="H14" s="12"/>
      <c r="I14" s="12" t="s">
        <v>85</v>
      </c>
      <c r="J14" s="12"/>
      <c r="K14" s="12"/>
      <c r="L14" s="16"/>
      <c r="M14" s="16" t="s">
        <v>86</v>
      </c>
      <c r="N14" s="7">
        <v>45383</v>
      </c>
      <c r="O14" s="7">
        <v>45387</v>
      </c>
      <c r="P14" s="8">
        <f t="shared" ref="P14:P18" si="1">+_xlfn.DAYS(O14,N14)+1</f>
        <v>5</v>
      </c>
    </row>
    <row r="15" spans="2:16" ht="67.5">
      <c r="B15" s="6">
        <v>12</v>
      </c>
      <c r="C15" s="2">
        <v>79950026</v>
      </c>
      <c r="D15" s="4" t="s">
        <v>41</v>
      </c>
      <c r="E15" s="13" t="s">
        <v>116</v>
      </c>
      <c r="F15" s="14" t="s">
        <v>117</v>
      </c>
      <c r="G15" s="12" t="s">
        <v>118</v>
      </c>
      <c r="H15" s="12"/>
      <c r="I15" s="12" t="s">
        <v>119</v>
      </c>
      <c r="J15" s="12"/>
      <c r="K15" s="12"/>
      <c r="L15" s="16"/>
      <c r="M15" s="16"/>
      <c r="N15" s="7">
        <v>45712</v>
      </c>
      <c r="O15" s="7">
        <v>45716</v>
      </c>
      <c r="P15" s="8">
        <f t="shared" si="1"/>
        <v>5</v>
      </c>
    </row>
    <row r="16" spans="2:16" ht="40.5">
      <c r="B16" s="6">
        <v>13</v>
      </c>
      <c r="C16" s="18">
        <v>74373175</v>
      </c>
      <c r="D16" s="4" t="s">
        <v>42</v>
      </c>
      <c r="E16" s="13" t="s">
        <v>120</v>
      </c>
      <c r="F16" s="14" t="s">
        <v>121</v>
      </c>
      <c r="G16" s="12" t="s">
        <v>122</v>
      </c>
      <c r="H16" s="12"/>
      <c r="I16" s="12" t="s">
        <v>85</v>
      </c>
      <c r="J16" s="12"/>
      <c r="K16" s="12"/>
      <c r="L16" s="16"/>
      <c r="M16" s="16" t="s">
        <v>86</v>
      </c>
      <c r="N16" s="7">
        <v>45468</v>
      </c>
      <c r="O16" s="7">
        <v>45471</v>
      </c>
      <c r="P16" s="8">
        <f t="shared" si="1"/>
        <v>4</v>
      </c>
    </row>
    <row r="17" spans="2:16" ht="40.5">
      <c r="B17" s="6">
        <v>14</v>
      </c>
      <c r="C17" s="18">
        <v>74373175</v>
      </c>
      <c r="D17" s="4" t="s">
        <v>42</v>
      </c>
      <c r="E17" s="13" t="s">
        <v>123</v>
      </c>
      <c r="F17" s="14" t="s">
        <v>91</v>
      </c>
      <c r="G17" s="12" t="s">
        <v>124</v>
      </c>
      <c r="H17" s="12"/>
      <c r="I17" s="12" t="s">
        <v>85</v>
      </c>
      <c r="J17" s="12"/>
      <c r="K17" s="12"/>
      <c r="L17" s="16" t="s">
        <v>86</v>
      </c>
      <c r="M17" s="16"/>
      <c r="N17" s="7">
        <v>45581</v>
      </c>
      <c r="O17" s="7">
        <v>45583</v>
      </c>
      <c r="P17" s="8">
        <f t="shared" si="1"/>
        <v>3</v>
      </c>
    </row>
    <row r="18" spans="2:16" ht="54">
      <c r="B18" s="6">
        <v>15</v>
      </c>
      <c r="C18" s="18">
        <v>79956820</v>
      </c>
      <c r="D18" s="4" t="s">
        <v>45</v>
      </c>
      <c r="E18" s="13" t="s">
        <v>125</v>
      </c>
      <c r="F18" s="14" t="s">
        <v>126</v>
      </c>
      <c r="G18" s="12" t="s">
        <v>127</v>
      </c>
      <c r="H18" s="12"/>
      <c r="I18" s="12" t="s">
        <v>85</v>
      </c>
      <c r="J18" s="12"/>
      <c r="K18" s="12"/>
      <c r="L18" s="16"/>
      <c r="M18" s="16" t="s">
        <v>86</v>
      </c>
      <c r="N18" s="7">
        <v>45250</v>
      </c>
      <c r="O18" s="7">
        <v>45254</v>
      </c>
      <c r="P18" s="8">
        <f t="shared" si="1"/>
        <v>5</v>
      </c>
    </row>
    <row r="19" spans="2:16" ht="54">
      <c r="B19" s="6">
        <v>16</v>
      </c>
      <c r="C19" s="18">
        <v>79956820</v>
      </c>
      <c r="D19" s="4" t="s">
        <v>45</v>
      </c>
      <c r="E19" s="13" t="s">
        <v>128</v>
      </c>
      <c r="F19" s="14" t="s">
        <v>83</v>
      </c>
      <c r="G19" s="12" t="s">
        <v>129</v>
      </c>
      <c r="H19" s="12"/>
      <c r="I19" s="12" t="s">
        <v>85</v>
      </c>
      <c r="J19" s="12"/>
      <c r="K19" s="12"/>
      <c r="L19" s="16"/>
      <c r="M19" s="16" t="s">
        <v>86</v>
      </c>
      <c r="N19" s="7">
        <v>45126</v>
      </c>
      <c r="O19" s="7">
        <v>45128</v>
      </c>
      <c r="P19" s="8">
        <f t="shared" ref="P19:P22" si="2">+_xlfn.DAYS(O19,N19)+1</f>
        <v>3</v>
      </c>
    </row>
    <row r="20" spans="2:16" ht="54">
      <c r="B20" s="6">
        <v>17</v>
      </c>
      <c r="C20" s="18">
        <v>79572003</v>
      </c>
      <c r="D20" s="4" t="s">
        <v>47</v>
      </c>
      <c r="E20" s="13" t="s">
        <v>130</v>
      </c>
      <c r="F20" s="14" t="s">
        <v>131</v>
      </c>
      <c r="G20" s="12" t="s">
        <v>132</v>
      </c>
      <c r="H20" s="12"/>
      <c r="I20" s="12" t="s">
        <v>85</v>
      </c>
      <c r="J20" s="12"/>
      <c r="K20" s="12"/>
      <c r="L20" s="16"/>
      <c r="M20" s="16" t="s">
        <v>133</v>
      </c>
      <c r="N20" s="7">
        <v>45181</v>
      </c>
      <c r="O20" s="7">
        <v>45184</v>
      </c>
      <c r="P20" s="8">
        <f t="shared" si="2"/>
        <v>4</v>
      </c>
    </row>
    <row r="21" spans="2:16" ht="54">
      <c r="B21" s="6">
        <v>18</v>
      </c>
      <c r="C21" s="18">
        <v>79572003</v>
      </c>
      <c r="D21" s="4" t="s">
        <v>47</v>
      </c>
      <c r="E21" s="13" t="s">
        <v>134</v>
      </c>
      <c r="F21" s="14" t="s">
        <v>135</v>
      </c>
      <c r="G21" s="12" t="s">
        <v>136</v>
      </c>
      <c r="H21" s="12"/>
      <c r="I21" s="12" t="s">
        <v>85</v>
      </c>
      <c r="J21" s="12"/>
      <c r="K21" s="12"/>
      <c r="L21" s="16"/>
      <c r="M21" s="16" t="s">
        <v>133</v>
      </c>
      <c r="N21" s="7">
        <v>45447</v>
      </c>
      <c r="O21" s="7">
        <v>45450</v>
      </c>
      <c r="P21" s="8">
        <f t="shared" si="2"/>
        <v>4</v>
      </c>
    </row>
    <row r="22" spans="2:16" ht="40.5">
      <c r="B22" s="6">
        <v>19</v>
      </c>
      <c r="C22" s="18">
        <v>79367935</v>
      </c>
      <c r="D22" s="4" t="s">
        <v>52</v>
      </c>
      <c r="E22" s="13" t="s">
        <v>137</v>
      </c>
      <c r="F22" s="14" t="s">
        <v>138</v>
      </c>
      <c r="G22" s="12" t="s">
        <v>139</v>
      </c>
      <c r="H22" s="12"/>
      <c r="I22" s="12" t="s">
        <v>85</v>
      </c>
      <c r="J22" s="12"/>
      <c r="K22" s="12"/>
      <c r="L22" s="16"/>
      <c r="M22" s="16" t="s">
        <v>86</v>
      </c>
      <c r="N22" s="7">
        <v>45074</v>
      </c>
      <c r="O22" s="7">
        <v>45078</v>
      </c>
      <c r="P22" s="8">
        <f t="shared" si="2"/>
        <v>5</v>
      </c>
    </row>
    <row r="23" spans="2:16" ht="54">
      <c r="B23" s="6">
        <v>20</v>
      </c>
      <c r="C23" s="18">
        <v>79367935</v>
      </c>
      <c r="D23" s="4" t="s">
        <v>52</v>
      </c>
      <c r="E23" s="13" t="s">
        <v>140</v>
      </c>
      <c r="F23" s="14" t="s">
        <v>141</v>
      </c>
      <c r="G23" s="12" t="s">
        <v>142</v>
      </c>
      <c r="H23" s="12"/>
      <c r="I23" s="12" t="s">
        <v>85</v>
      </c>
      <c r="J23" s="12"/>
      <c r="K23" s="12"/>
      <c r="L23" s="16"/>
      <c r="M23" s="16" t="s">
        <v>86</v>
      </c>
      <c r="N23" s="7">
        <v>45600</v>
      </c>
      <c r="O23" s="7">
        <v>45604</v>
      </c>
      <c r="P23" s="8">
        <f t="shared" ref="P23:P37" si="3">+_xlfn.DAYS(O23,N23)+1</f>
        <v>5</v>
      </c>
    </row>
    <row r="24" spans="2:16" ht="54">
      <c r="B24" s="6">
        <v>21</v>
      </c>
      <c r="C24" s="18">
        <v>7724669</v>
      </c>
      <c r="D24" s="4" t="s">
        <v>53</v>
      </c>
      <c r="E24" s="13" t="s">
        <v>143</v>
      </c>
      <c r="F24" s="14" t="s">
        <v>144</v>
      </c>
      <c r="G24" s="12" t="s">
        <v>145</v>
      </c>
      <c r="H24" s="12"/>
      <c r="I24" s="12" t="s">
        <v>85</v>
      </c>
      <c r="J24" s="12"/>
      <c r="K24" s="12"/>
      <c r="L24" s="16" t="s">
        <v>86</v>
      </c>
      <c r="M24" s="16"/>
      <c r="N24" s="7">
        <v>45224</v>
      </c>
      <c r="O24" s="7">
        <v>45226</v>
      </c>
      <c r="P24" s="8">
        <f t="shared" si="3"/>
        <v>3</v>
      </c>
    </row>
    <row r="25" spans="2:16" ht="40.5">
      <c r="B25" s="30">
        <v>22</v>
      </c>
      <c r="C25" s="20">
        <v>7724669</v>
      </c>
      <c r="D25" s="21" t="s">
        <v>53</v>
      </c>
      <c r="E25" s="25" t="s">
        <v>146</v>
      </c>
      <c r="F25" s="26" t="s">
        <v>147</v>
      </c>
      <c r="G25" s="12" t="s">
        <v>148</v>
      </c>
      <c r="H25" s="12"/>
      <c r="I25" s="12" t="s">
        <v>85</v>
      </c>
      <c r="J25" s="12"/>
      <c r="K25" s="12"/>
      <c r="L25" s="16" t="s">
        <v>86</v>
      </c>
      <c r="M25" s="16"/>
      <c r="N25" s="7">
        <v>45188</v>
      </c>
      <c r="O25" s="7">
        <v>45191</v>
      </c>
      <c r="P25" s="8">
        <f t="shared" si="3"/>
        <v>4</v>
      </c>
    </row>
    <row r="26" spans="2:16" ht="54">
      <c r="B26" s="31">
        <v>23</v>
      </c>
      <c r="C26" s="32">
        <v>7724669</v>
      </c>
      <c r="D26" s="27" t="s">
        <v>53</v>
      </c>
      <c r="E26" s="28" t="s">
        <v>149</v>
      </c>
      <c r="F26" s="29" t="s">
        <v>147</v>
      </c>
      <c r="G26" s="24" t="s">
        <v>150</v>
      </c>
      <c r="H26" s="12"/>
      <c r="I26" s="12" t="s">
        <v>85</v>
      </c>
      <c r="J26" s="12"/>
      <c r="K26" s="12"/>
      <c r="L26" s="16" t="s">
        <v>86</v>
      </c>
      <c r="M26" s="16"/>
      <c r="N26" s="7">
        <v>45559</v>
      </c>
      <c r="O26" s="7">
        <v>45562</v>
      </c>
      <c r="P26" s="8">
        <f t="shared" si="3"/>
        <v>4</v>
      </c>
    </row>
    <row r="27" spans="2:16" ht="54">
      <c r="B27" s="34">
        <v>24</v>
      </c>
      <c r="C27" s="35">
        <v>9395122</v>
      </c>
      <c r="D27" s="36" t="s">
        <v>54</v>
      </c>
      <c r="E27" s="28" t="s">
        <v>151</v>
      </c>
      <c r="F27" s="33" t="s">
        <v>117</v>
      </c>
      <c r="G27" s="12" t="s">
        <v>152</v>
      </c>
      <c r="H27" s="12"/>
      <c r="I27" s="12" t="s">
        <v>119</v>
      </c>
      <c r="J27" s="12"/>
      <c r="K27" s="12"/>
      <c r="L27" s="16"/>
      <c r="M27" s="16"/>
      <c r="N27" s="7">
        <v>45048</v>
      </c>
      <c r="O27" s="7">
        <v>45138</v>
      </c>
      <c r="P27" s="8">
        <f t="shared" si="3"/>
        <v>91</v>
      </c>
    </row>
    <row r="28" spans="2:16" ht="67.5">
      <c r="B28" s="31">
        <v>25</v>
      </c>
      <c r="C28" s="32">
        <v>9395122</v>
      </c>
      <c r="D28" s="27" t="s">
        <v>54</v>
      </c>
      <c r="E28" s="19" t="s">
        <v>153</v>
      </c>
      <c r="F28" s="14" t="s">
        <v>154</v>
      </c>
      <c r="G28" s="12" t="s">
        <v>155</v>
      </c>
      <c r="H28" s="12"/>
      <c r="I28" s="12" t="s">
        <v>85</v>
      </c>
      <c r="J28" s="12"/>
      <c r="K28" s="12"/>
      <c r="L28" s="16"/>
      <c r="M28" s="16" t="s">
        <v>86</v>
      </c>
      <c r="N28" s="7">
        <v>45712</v>
      </c>
      <c r="O28" s="7">
        <v>45723</v>
      </c>
      <c r="P28" s="8">
        <f t="shared" si="3"/>
        <v>12</v>
      </c>
    </row>
    <row r="29" spans="2:16" ht="67.5">
      <c r="B29" s="31">
        <v>26</v>
      </c>
      <c r="C29" s="32">
        <v>51610577</v>
      </c>
      <c r="D29" s="27" t="s">
        <v>57</v>
      </c>
      <c r="E29" s="19" t="s">
        <v>156</v>
      </c>
      <c r="F29" s="14" t="s">
        <v>157</v>
      </c>
      <c r="G29" s="12" t="s">
        <v>158</v>
      </c>
      <c r="H29" s="12"/>
      <c r="I29" s="12" t="s">
        <v>85</v>
      </c>
      <c r="J29" s="12"/>
      <c r="K29" s="12"/>
      <c r="L29" s="16"/>
      <c r="M29" s="16" t="s">
        <v>86</v>
      </c>
      <c r="N29" s="7">
        <v>45486</v>
      </c>
      <c r="O29" s="7">
        <v>45489</v>
      </c>
      <c r="P29" s="8">
        <f t="shared" si="3"/>
        <v>4</v>
      </c>
    </row>
    <row r="30" spans="2:16" ht="40.5">
      <c r="B30" s="31">
        <v>27</v>
      </c>
      <c r="C30" s="32">
        <v>51610577</v>
      </c>
      <c r="D30" s="27" t="s">
        <v>57</v>
      </c>
      <c r="E30" s="19" t="s">
        <v>159</v>
      </c>
      <c r="F30" s="14" t="s">
        <v>141</v>
      </c>
      <c r="G30" s="12" t="s">
        <v>160</v>
      </c>
      <c r="H30" s="12"/>
      <c r="I30" s="12" t="s">
        <v>85</v>
      </c>
      <c r="J30" s="12"/>
      <c r="K30" s="12"/>
      <c r="L30" s="16"/>
      <c r="M30" s="16" t="s">
        <v>86</v>
      </c>
      <c r="N30" s="7">
        <v>45600</v>
      </c>
      <c r="O30" s="7">
        <v>45604</v>
      </c>
      <c r="P30" s="8">
        <f t="shared" si="3"/>
        <v>5</v>
      </c>
    </row>
    <row r="31" spans="2:16" ht="40.5">
      <c r="B31" s="31">
        <v>28</v>
      </c>
      <c r="C31" s="32">
        <v>79757342</v>
      </c>
      <c r="D31" s="27" t="s">
        <v>60</v>
      </c>
      <c r="E31" s="19" t="s">
        <v>161</v>
      </c>
      <c r="F31" s="14" t="s">
        <v>162</v>
      </c>
      <c r="G31" s="12" t="s">
        <v>163</v>
      </c>
      <c r="H31" s="12"/>
      <c r="I31" s="12" t="s">
        <v>85</v>
      </c>
      <c r="J31" s="12"/>
      <c r="K31" s="12"/>
      <c r="L31" s="16" t="s">
        <v>86</v>
      </c>
      <c r="M31" s="16"/>
      <c r="N31" s="7">
        <v>45588</v>
      </c>
      <c r="O31" s="7">
        <v>45590</v>
      </c>
      <c r="P31" s="8">
        <f t="shared" si="3"/>
        <v>3</v>
      </c>
    </row>
    <row r="32" spans="2:16" ht="40.5">
      <c r="B32" s="31">
        <v>29</v>
      </c>
      <c r="C32" s="35">
        <v>79390069</v>
      </c>
      <c r="D32" s="36" t="s">
        <v>63</v>
      </c>
      <c r="E32" s="37" t="s">
        <v>164</v>
      </c>
      <c r="F32" s="14" t="s">
        <v>165</v>
      </c>
      <c r="G32" s="12" t="s">
        <v>166</v>
      </c>
      <c r="H32" s="12"/>
      <c r="I32" s="12" t="s">
        <v>85</v>
      </c>
      <c r="J32" s="16"/>
      <c r="K32" s="16"/>
      <c r="L32" s="16"/>
      <c r="M32" s="16" t="s">
        <v>86</v>
      </c>
      <c r="N32" s="7">
        <v>45431</v>
      </c>
      <c r="O32" s="7">
        <v>45436</v>
      </c>
      <c r="P32" s="8">
        <f t="shared" si="3"/>
        <v>6</v>
      </c>
    </row>
    <row r="33" spans="2:16" ht="27">
      <c r="B33" s="31">
        <v>30</v>
      </c>
      <c r="C33" s="32">
        <v>172648167</v>
      </c>
      <c r="D33" s="27" t="s">
        <v>167</v>
      </c>
      <c r="E33" s="28" t="s">
        <v>168</v>
      </c>
      <c r="F33" s="33" t="s">
        <v>169</v>
      </c>
      <c r="G33" s="12" t="s">
        <v>170</v>
      </c>
      <c r="H33" s="12"/>
      <c r="I33" s="12" t="s">
        <v>85</v>
      </c>
      <c r="J33" s="16"/>
      <c r="K33" s="16" t="s">
        <v>86</v>
      </c>
      <c r="L33" s="16"/>
      <c r="M33" s="16"/>
      <c r="N33" s="7">
        <v>45216</v>
      </c>
      <c r="O33" s="7">
        <v>45219</v>
      </c>
      <c r="P33" s="8">
        <f t="shared" si="3"/>
        <v>4</v>
      </c>
    </row>
    <row r="34" spans="2:16" ht="27">
      <c r="B34" s="31">
        <v>31</v>
      </c>
      <c r="C34" s="38" t="s">
        <v>171</v>
      </c>
      <c r="D34" s="39" t="s">
        <v>172</v>
      </c>
      <c r="E34" s="19" t="s">
        <v>173</v>
      </c>
      <c r="F34" s="14" t="s">
        <v>174</v>
      </c>
      <c r="G34" s="12" t="s">
        <v>175</v>
      </c>
      <c r="H34" s="12"/>
      <c r="I34" s="12" t="s">
        <v>85</v>
      </c>
      <c r="J34" s="16"/>
      <c r="K34" s="16" t="s">
        <v>86</v>
      </c>
      <c r="L34" s="16"/>
      <c r="M34" s="16"/>
      <c r="N34" s="7">
        <v>45237</v>
      </c>
      <c r="O34" s="7">
        <v>45240</v>
      </c>
      <c r="P34" s="8">
        <f t="shared" si="3"/>
        <v>4</v>
      </c>
    </row>
    <row r="35" spans="2:16" ht="27">
      <c r="B35" s="31">
        <v>32</v>
      </c>
      <c r="C35" s="32">
        <v>551759610</v>
      </c>
      <c r="D35" s="27" t="s">
        <v>176</v>
      </c>
      <c r="E35" s="19" t="s">
        <v>173</v>
      </c>
      <c r="F35" s="14" t="s">
        <v>174</v>
      </c>
      <c r="G35" s="12" t="s">
        <v>175</v>
      </c>
      <c r="H35" s="12"/>
      <c r="I35" s="12" t="s">
        <v>85</v>
      </c>
      <c r="J35" s="16"/>
      <c r="K35" s="16" t="s">
        <v>86</v>
      </c>
      <c r="L35" s="16"/>
      <c r="M35" s="16"/>
      <c r="N35" s="7">
        <v>45237</v>
      </c>
      <c r="O35" s="7">
        <v>45240</v>
      </c>
      <c r="P35" s="8">
        <f t="shared" si="3"/>
        <v>4</v>
      </c>
    </row>
    <row r="36" spans="2:16" ht="27">
      <c r="B36" s="31">
        <v>33</v>
      </c>
      <c r="C36" s="32" t="s">
        <v>177</v>
      </c>
      <c r="D36" s="27" t="s">
        <v>178</v>
      </c>
      <c r="E36" s="19" t="s">
        <v>173</v>
      </c>
      <c r="F36" s="14" t="s">
        <v>174</v>
      </c>
      <c r="G36" s="12" t="s">
        <v>175</v>
      </c>
      <c r="H36" s="12"/>
      <c r="I36" s="12" t="s">
        <v>85</v>
      </c>
      <c r="J36" s="16"/>
      <c r="K36" s="16" t="s">
        <v>86</v>
      </c>
      <c r="L36" s="16"/>
      <c r="M36" s="16"/>
      <c r="N36" s="7">
        <v>45237</v>
      </c>
      <c r="O36" s="7">
        <v>45247</v>
      </c>
      <c r="P36" s="8">
        <f t="shared" si="3"/>
        <v>11</v>
      </c>
    </row>
    <row r="37" spans="2:16" ht="54">
      <c r="B37" s="11">
        <v>34</v>
      </c>
      <c r="C37" s="22" t="s">
        <v>117</v>
      </c>
      <c r="D37" s="23" t="s">
        <v>179</v>
      </c>
      <c r="E37" s="13" t="s">
        <v>180</v>
      </c>
      <c r="F37" s="14" t="s">
        <v>174</v>
      </c>
      <c r="G37" s="12" t="s">
        <v>181</v>
      </c>
      <c r="H37" s="12"/>
      <c r="I37" s="12" t="s">
        <v>85</v>
      </c>
      <c r="J37" s="16" t="s">
        <v>86</v>
      </c>
      <c r="K37" s="16"/>
      <c r="L37" s="16"/>
      <c r="M37" s="16"/>
      <c r="N37" s="7">
        <v>45253</v>
      </c>
      <c r="O37" s="7">
        <v>45254</v>
      </c>
      <c r="P37" s="8">
        <f t="shared" si="3"/>
        <v>2</v>
      </c>
    </row>
    <row r="38" spans="2:16" ht="54">
      <c r="B38" s="11">
        <v>35</v>
      </c>
      <c r="C38" s="22" t="s">
        <v>117</v>
      </c>
      <c r="D38" s="23" t="s">
        <v>182</v>
      </c>
      <c r="E38" s="13" t="s">
        <v>180</v>
      </c>
      <c r="F38" s="14" t="s">
        <v>174</v>
      </c>
      <c r="G38" s="12" t="s">
        <v>183</v>
      </c>
      <c r="H38" s="12"/>
      <c r="I38" s="12" t="s">
        <v>85</v>
      </c>
      <c r="J38" s="16" t="s">
        <v>86</v>
      </c>
      <c r="K38" s="16"/>
      <c r="L38" s="16"/>
      <c r="M38" s="16"/>
      <c r="N38" s="7">
        <v>45253</v>
      </c>
      <c r="O38" s="7">
        <v>45254</v>
      </c>
      <c r="P38" s="8">
        <f t="shared" ref="P38:P41" si="4">+_xlfn.DAYS(O38,N38)+1</f>
        <v>2</v>
      </c>
    </row>
    <row r="39" spans="2:16" ht="54">
      <c r="B39" s="11">
        <v>36</v>
      </c>
      <c r="C39" s="22" t="s">
        <v>117</v>
      </c>
      <c r="D39" s="23" t="s">
        <v>184</v>
      </c>
      <c r="E39" s="13" t="s">
        <v>180</v>
      </c>
      <c r="F39" s="14" t="s">
        <v>174</v>
      </c>
      <c r="G39" s="12" t="s">
        <v>185</v>
      </c>
      <c r="H39" s="12"/>
      <c r="I39" s="12" t="s">
        <v>85</v>
      </c>
      <c r="J39" s="16" t="s">
        <v>86</v>
      </c>
      <c r="K39" s="16"/>
      <c r="L39" s="16"/>
      <c r="M39" s="16"/>
      <c r="N39" s="7">
        <v>45253</v>
      </c>
      <c r="O39" s="7">
        <v>45254</v>
      </c>
      <c r="P39" s="8">
        <f t="shared" si="4"/>
        <v>2</v>
      </c>
    </row>
    <row r="40" spans="2:16" ht="67.5">
      <c r="B40" s="11">
        <v>37</v>
      </c>
      <c r="C40" s="22" t="s">
        <v>117</v>
      </c>
      <c r="D40" s="23" t="s">
        <v>186</v>
      </c>
      <c r="E40" s="13" t="s">
        <v>180</v>
      </c>
      <c r="F40" s="14" t="s">
        <v>174</v>
      </c>
      <c r="G40" s="12" t="s">
        <v>187</v>
      </c>
      <c r="H40" s="12"/>
      <c r="I40" s="12" t="s">
        <v>85</v>
      </c>
      <c r="J40" s="16" t="s">
        <v>86</v>
      </c>
      <c r="K40" s="16"/>
      <c r="L40" s="16"/>
      <c r="M40" s="16"/>
      <c r="N40" s="7">
        <v>45253</v>
      </c>
      <c r="O40" s="7">
        <v>45254</v>
      </c>
      <c r="P40" s="8">
        <f t="shared" si="4"/>
        <v>2</v>
      </c>
    </row>
    <row r="41" spans="2:16" ht="54">
      <c r="B41" s="11">
        <v>38</v>
      </c>
      <c r="C41" s="22" t="s">
        <v>117</v>
      </c>
      <c r="D41" s="23" t="s">
        <v>188</v>
      </c>
      <c r="E41" s="13" t="s">
        <v>180</v>
      </c>
      <c r="F41" s="14" t="s">
        <v>174</v>
      </c>
      <c r="G41" s="12" t="s">
        <v>189</v>
      </c>
      <c r="H41" s="12"/>
      <c r="I41" s="12" t="s">
        <v>85</v>
      </c>
      <c r="J41" s="16" t="s">
        <v>86</v>
      </c>
      <c r="K41" s="16"/>
      <c r="L41" s="16"/>
      <c r="M41" s="16"/>
      <c r="N41" s="7">
        <v>45253</v>
      </c>
      <c r="O41" s="7">
        <v>45254</v>
      </c>
      <c r="P41" s="8">
        <f t="shared" si="4"/>
        <v>2</v>
      </c>
    </row>
    <row r="42" spans="2:16" ht="27">
      <c r="B42" s="11">
        <v>39</v>
      </c>
      <c r="C42" s="22" t="s">
        <v>117</v>
      </c>
      <c r="D42" s="23" t="s">
        <v>190</v>
      </c>
      <c r="E42" s="13" t="s">
        <v>191</v>
      </c>
      <c r="F42" s="14" t="s">
        <v>174</v>
      </c>
      <c r="G42" s="12" t="s">
        <v>192</v>
      </c>
      <c r="H42" s="12"/>
      <c r="I42" s="12" t="s">
        <v>85</v>
      </c>
      <c r="J42" s="16" t="s">
        <v>86</v>
      </c>
      <c r="K42" s="16"/>
      <c r="L42" s="16"/>
      <c r="M42" s="16"/>
      <c r="N42" s="7">
        <v>45257</v>
      </c>
      <c r="O42" s="7">
        <v>45257</v>
      </c>
      <c r="P42" s="8">
        <f t="shared" ref="P42:P44" si="5">+_xlfn.DAYS(O42,N42)+1</f>
        <v>1</v>
      </c>
    </row>
    <row r="43" spans="2:16" ht="54">
      <c r="B43" s="11">
        <v>40</v>
      </c>
      <c r="C43" s="22" t="s">
        <v>193</v>
      </c>
      <c r="D43" s="23" t="s">
        <v>194</v>
      </c>
      <c r="E43" s="13" t="s">
        <v>191</v>
      </c>
      <c r="F43" s="14" t="s">
        <v>174</v>
      </c>
      <c r="G43" s="12" t="s">
        <v>195</v>
      </c>
      <c r="H43" s="12"/>
      <c r="I43" s="12" t="s">
        <v>85</v>
      </c>
      <c r="J43" s="16"/>
      <c r="K43" s="16" t="s">
        <v>133</v>
      </c>
      <c r="L43" s="16"/>
      <c r="M43" s="16"/>
      <c r="N43" s="7">
        <v>45481</v>
      </c>
      <c r="O43" s="7">
        <v>45492</v>
      </c>
      <c r="P43" s="8">
        <f t="shared" si="5"/>
        <v>12</v>
      </c>
    </row>
    <row r="44" spans="2:16" ht="27">
      <c r="B44" s="11">
        <v>41</v>
      </c>
      <c r="C44" s="22" t="s">
        <v>117</v>
      </c>
      <c r="D44" s="23" t="s">
        <v>196</v>
      </c>
      <c r="E44" s="13" t="s">
        <v>191</v>
      </c>
      <c r="F44" s="14" t="s">
        <v>174</v>
      </c>
      <c r="G44" s="12" t="s">
        <v>197</v>
      </c>
      <c r="H44" s="12"/>
      <c r="I44" s="12" t="s">
        <v>85</v>
      </c>
      <c r="J44" s="16"/>
      <c r="K44" s="16" t="s">
        <v>86</v>
      </c>
      <c r="L44" s="16"/>
      <c r="M44" s="16"/>
      <c r="N44" s="7">
        <v>45580</v>
      </c>
      <c r="O44" s="7">
        <v>45591</v>
      </c>
      <c r="P44" s="8">
        <f t="shared" si="5"/>
        <v>12</v>
      </c>
    </row>
    <row r="45" spans="2:16" ht="54">
      <c r="B45" s="11">
        <v>42</v>
      </c>
      <c r="C45" s="22" t="s">
        <v>117</v>
      </c>
      <c r="D45" s="23" t="s">
        <v>198</v>
      </c>
      <c r="E45" s="13" t="s">
        <v>191</v>
      </c>
      <c r="F45" s="14" t="s">
        <v>174</v>
      </c>
      <c r="G45" s="12" t="s">
        <v>199</v>
      </c>
      <c r="H45" s="12"/>
      <c r="I45" s="12" t="s">
        <v>85</v>
      </c>
      <c r="J45" s="16"/>
      <c r="K45" s="16" t="s">
        <v>86</v>
      </c>
      <c r="L45" s="16"/>
      <c r="M45" s="16"/>
      <c r="N45" s="7">
        <v>45839</v>
      </c>
      <c r="O45" s="7">
        <v>45841</v>
      </c>
      <c r="P45" s="8">
        <f t="shared" ref="P45:P46" si="6">+_xlfn.DAYS(O45,N45)+1</f>
        <v>3</v>
      </c>
    </row>
    <row r="46" spans="2:16" ht="67.5">
      <c r="B46" s="11">
        <v>43</v>
      </c>
      <c r="C46" s="22" t="s">
        <v>117</v>
      </c>
      <c r="D46" s="23" t="s">
        <v>200</v>
      </c>
      <c r="E46" s="13" t="s">
        <v>191</v>
      </c>
      <c r="F46" s="14" t="s">
        <v>174</v>
      </c>
      <c r="G46" s="12" t="s">
        <v>201</v>
      </c>
      <c r="H46" s="12"/>
      <c r="I46" s="12" t="s">
        <v>85</v>
      </c>
      <c r="J46" s="16"/>
      <c r="K46" s="16" t="s">
        <v>86</v>
      </c>
      <c r="L46" s="16"/>
      <c r="M46" s="16"/>
      <c r="N46" s="7">
        <v>45852</v>
      </c>
      <c r="O46" s="7">
        <v>45863</v>
      </c>
      <c r="P46" s="8">
        <f t="shared" si="6"/>
        <v>12</v>
      </c>
    </row>
    <row r="47" spans="2:16" ht="67.5">
      <c r="B47" s="11">
        <v>44</v>
      </c>
      <c r="C47" s="22" t="s">
        <v>117</v>
      </c>
      <c r="D47" s="23" t="s">
        <v>202</v>
      </c>
      <c r="E47" s="13" t="s">
        <v>191</v>
      </c>
      <c r="F47" s="14" t="s">
        <v>174</v>
      </c>
      <c r="G47" s="12" t="s">
        <v>203</v>
      </c>
      <c r="H47" s="12"/>
      <c r="I47" s="12" t="s">
        <v>85</v>
      </c>
      <c r="J47" s="16"/>
      <c r="K47" s="46" t="s">
        <v>86</v>
      </c>
      <c r="L47" s="16"/>
      <c r="M47" s="16"/>
      <c r="N47" s="7">
        <v>45855</v>
      </c>
      <c r="O47" s="7">
        <v>45864</v>
      </c>
      <c r="P47" s="8">
        <f t="shared" ref="P47:P54" si="7">+_xlfn.DAYS(O47,N47)+1</f>
        <v>10</v>
      </c>
    </row>
    <row r="48" spans="2:16" ht="40.5">
      <c r="B48" s="11">
        <v>45</v>
      </c>
      <c r="C48" s="22">
        <v>79973967</v>
      </c>
      <c r="D48" s="23" t="s">
        <v>36</v>
      </c>
      <c r="E48" s="13" t="s">
        <v>204</v>
      </c>
      <c r="F48" s="14" t="s">
        <v>205</v>
      </c>
      <c r="G48" s="12" t="s">
        <v>206</v>
      </c>
      <c r="H48" s="12"/>
      <c r="I48" s="12" t="s">
        <v>85</v>
      </c>
      <c r="J48" s="16"/>
      <c r="K48" s="16"/>
      <c r="L48" s="16"/>
      <c r="M48" s="16" t="s">
        <v>133</v>
      </c>
      <c r="N48" s="7">
        <v>44641</v>
      </c>
      <c r="O48" s="7">
        <v>44645</v>
      </c>
      <c r="P48" s="8">
        <f t="shared" si="7"/>
        <v>5</v>
      </c>
    </row>
    <row r="49" spans="2:16" ht="40.5">
      <c r="B49" s="11">
        <v>46</v>
      </c>
      <c r="C49" s="22">
        <v>79973967</v>
      </c>
      <c r="D49" s="23" t="s">
        <v>36</v>
      </c>
      <c r="E49" s="25" t="s">
        <v>207</v>
      </c>
      <c r="F49" s="14" t="s">
        <v>208</v>
      </c>
      <c r="G49" s="12" t="s">
        <v>209</v>
      </c>
      <c r="H49" s="12"/>
      <c r="I49" s="12" t="s">
        <v>85</v>
      </c>
      <c r="J49" s="16"/>
      <c r="K49" s="16"/>
      <c r="L49" s="16"/>
      <c r="M49" s="16" t="s">
        <v>86</v>
      </c>
      <c r="N49" s="7">
        <v>44680</v>
      </c>
      <c r="O49" s="7">
        <v>44690</v>
      </c>
      <c r="P49" s="8">
        <f t="shared" si="7"/>
        <v>11</v>
      </c>
    </row>
    <row r="50" spans="2:16" ht="189">
      <c r="B50" s="11">
        <v>47</v>
      </c>
      <c r="C50" s="22">
        <v>9395122</v>
      </c>
      <c r="D50" s="23" t="s">
        <v>54</v>
      </c>
      <c r="E50" s="28" t="s">
        <v>210</v>
      </c>
      <c r="F50" s="33" t="s">
        <v>174</v>
      </c>
      <c r="G50" s="12" t="s">
        <v>211</v>
      </c>
      <c r="H50" s="12"/>
      <c r="I50" s="12" t="s">
        <v>119</v>
      </c>
      <c r="J50" s="16"/>
      <c r="K50" s="16"/>
      <c r="L50" s="16" t="s">
        <v>86</v>
      </c>
      <c r="M50" s="16"/>
      <c r="N50" s="7">
        <v>44620</v>
      </c>
      <c r="O50" s="7">
        <v>44681</v>
      </c>
      <c r="P50" s="8">
        <f t="shared" si="7"/>
        <v>62</v>
      </c>
    </row>
    <row r="51" spans="2:16">
      <c r="B51" s="11">
        <v>48</v>
      </c>
      <c r="C51" s="23"/>
      <c r="D51" s="40"/>
      <c r="E51" s="29"/>
      <c r="F51" s="33"/>
      <c r="G51" s="12"/>
      <c r="H51" s="12"/>
      <c r="I51" s="12"/>
      <c r="J51" s="16"/>
      <c r="K51" s="16"/>
      <c r="L51" s="16"/>
      <c r="M51" s="16"/>
      <c r="N51" s="7"/>
      <c r="O51" s="7"/>
      <c r="P51" s="8"/>
    </row>
    <row r="52" spans="2:16">
      <c r="B52" s="11">
        <v>49</v>
      </c>
      <c r="C52" s="22"/>
      <c r="D52" s="23"/>
      <c r="E52" s="13"/>
      <c r="F52" s="14"/>
      <c r="G52" s="12"/>
      <c r="H52" s="12"/>
      <c r="I52" s="12"/>
      <c r="J52" s="16"/>
      <c r="K52" s="16"/>
      <c r="L52" s="16"/>
      <c r="M52" s="16"/>
      <c r="N52" s="7"/>
      <c r="O52" s="7"/>
      <c r="P52" s="8"/>
    </row>
    <row r="53" spans="2:16">
      <c r="B53" s="11">
        <v>50</v>
      </c>
      <c r="C53" s="22"/>
      <c r="D53" s="23"/>
      <c r="E53" s="13"/>
      <c r="F53" s="14"/>
      <c r="G53" s="12"/>
      <c r="H53" s="12"/>
      <c r="I53" s="12"/>
      <c r="J53" s="16"/>
      <c r="K53" s="16"/>
      <c r="L53" s="16"/>
      <c r="M53" s="16"/>
      <c r="N53" s="7"/>
      <c r="O53" s="7"/>
      <c r="P53" s="8">
        <f t="shared" si="7"/>
        <v>1</v>
      </c>
    </row>
    <row r="54" spans="2:16">
      <c r="B54" s="11">
        <v>51</v>
      </c>
      <c r="C54" s="22"/>
      <c r="D54" s="23"/>
      <c r="E54" s="13"/>
      <c r="F54" s="14"/>
      <c r="G54" s="12"/>
      <c r="H54" s="12"/>
      <c r="I54" s="12"/>
      <c r="J54" s="16"/>
      <c r="K54" s="16"/>
      <c r="L54" s="16"/>
      <c r="M54" s="16"/>
      <c r="N54" s="7"/>
      <c r="O54" s="7"/>
      <c r="P54" s="8">
        <f t="shared" si="7"/>
        <v>1</v>
      </c>
    </row>
  </sheetData>
  <autoFilter ref="B2:P54" xr:uid="{A4355D6D-3F77-4AF9-B334-9D127AF3C1F2}">
    <filterColumn colId="8" showButton="0"/>
    <filterColumn colId="10" showButton="0"/>
  </autoFilter>
  <mergeCells count="13">
    <mergeCell ref="G2:G3"/>
    <mergeCell ref="B2:B3"/>
    <mergeCell ref="C2:C3"/>
    <mergeCell ref="D2:D3"/>
    <mergeCell ref="E2:E3"/>
    <mergeCell ref="F2:F3"/>
    <mergeCell ref="P2:P3"/>
    <mergeCell ref="H2:H3"/>
    <mergeCell ref="I2:I3"/>
    <mergeCell ref="J2:K2"/>
    <mergeCell ref="L2:M2"/>
    <mergeCell ref="N2:N3"/>
    <mergeCell ref="O2:O3"/>
  </mergeCells>
  <dataValidations count="2">
    <dataValidation type="date" allowBlank="1" showInputMessage="1" showErrorMessage="1" sqref="O6 N4:N54 O37:O42" xr:uid="{CCA9E0AD-4AAD-48ED-99E6-69BCDC1E8AA7}">
      <formula1>40179</formula1>
      <formula2>47848</formula2>
    </dataValidation>
    <dataValidation type="list" allowBlank="1" showInputMessage="1" showErrorMessage="1" sqref="I4:I54" xr:uid="{C2F59112-9C78-42FD-9F1D-C5F3A0922383}">
      <formula1>"1. Presencial,2. Virtual"</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0F6632-841A-4B3A-8411-8FD25B40D0A5}"/>
</file>

<file path=customXml/itemProps2.xml><?xml version="1.0" encoding="utf-8"?>
<ds:datastoreItem xmlns:ds="http://schemas.openxmlformats.org/officeDocument/2006/customXml" ds:itemID="{B2AE36AA-D0B0-40B6-A335-CA0A566E75C9}"/>
</file>

<file path=customXml/itemProps3.xml><?xml version="1.0" encoding="utf-8"?>
<ds:datastoreItem xmlns:ds="http://schemas.openxmlformats.org/officeDocument/2006/customXml" ds:itemID="{CF34BEB5-2F40-4805-9D2F-24833C0449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Emiro Campo Rodriguez</dc:creator>
  <cp:keywords/>
  <dc:description/>
  <cp:lastModifiedBy>MAESTRIA EN CIENCIAS DE LA INFORMACION Y LAS COMUNICACIONES</cp:lastModifiedBy>
  <cp:revision/>
  <dcterms:created xsi:type="dcterms:W3CDTF">2021-09-14T20:25:45Z</dcterms:created>
  <dcterms:modified xsi:type="dcterms:W3CDTF">2026-09-18T01:31:42Z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