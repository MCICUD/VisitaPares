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https://udistritaleduco-my.sharepoint.com/personal/mcic_udistrital_edu_co/Documents/Maestria CIC/2026/PAGOT 2026-3/"/>
    </mc:Choice>
  </mc:AlternateContent>
  <xr:revisionPtr revIDLastSave="370" documentId="13_ncr:1_{7E80604C-7BD0-4350-B1DC-45A4D910ACD3}" xr6:coauthVersionLast="47" xr6:coauthVersionMax="47" xr10:uidLastSave="{24B0EC6C-7D5D-45B0-9510-D73D2090C7A2}"/>
  <bookViews>
    <workbookView xWindow="-25830" yWindow="1170" windowWidth="16155" windowHeight="11145" xr2:uid="{00000000-000D-0000-FFFF-FFFF00000000}"/>
  </bookViews>
  <sheets>
    <sheet name="PAGOS PAGOT" sheetId="15" r:id="rId1"/>
    <sheet name="Hoja1" sheetId="16" r:id="rId2"/>
    <sheet name="SEGUMIENTO PAGOT" sheetId="13" r:id="rId3"/>
    <sheet name="POS - Maestría en Ciencias" sheetId="1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 i="13" l="1"/>
  <c r="I3" i="13" s="1"/>
  <c r="E36" i="13"/>
  <c r="E35" i="13"/>
  <c r="E34" i="13"/>
  <c r="E33" i="13"/>
  <c r="E32" i="13"/>
  <c r="E31" i="13"/>
  <c r="E30" i="13"/>
  <c r="E29" i="13"/>
  <c r="E28" i="13"/>
  <c r="E27" i="13"/>
  <c r="E26" i="13"/>
  <c r="E25" i="13"/>
  <c r="E24" i="13"/>
  <c r="E23" i="13"/>
  <c r="E22" i="13"/>
  <c r="E21" i="13"/>
  <c r="E20" i="13"/>
  <c r="E19" i="13"/>
  <c r="E18" i="13"/>
  <c r="E17" i="13"/>
  <c r="E16" i="13"/>
  <c r="E15" i="13"/>
  <c r="E14" i="13"/>
  <c r="E13" i="13"/>
  <c r="E12" i="13"/>
  <c r="E11" i="13"/>
  <c r="E10" i="13"/>
  <c r="E9" i="13"/>
  <c r="E8" i="13"/>
  <c r="E7" i="13"/>
  <c r="E6" i="13"/>
  <c r="E5" i="13"/>
  <c r="E4" i="13"/>
  <c r="E3" i="13"/>
  <c r="E2" i="13"/>
  <c r="H36" i="13"/>
  <c r="I36" i="13" s="1"/>
  <c r="I35" i="13"/>
  <c r="H34" i="13"/>
  <c r="I34" i="13" s="1"/>
  <c r="I33" i="13"/>
  <c r="I32" i="13"/>
  <c r="I31" i="13"/>
  <c r="I30" i="13"/>
  <c r="H29" i="13"/>
  <c r="I29" i="13" s="1"/>
  <c r="H28" i="13"/>
  <c r="I28" i="13" s="1"/>
  <c r="H27" i="13"/>
  <c r="I27" i="13" s="1"/>
  <c r="H26" i="13"/>
  <c r="I26" i="13" s="1"/>
  <c r="H25" i="13"/>
  <c r="I25" i="13" s="1"/>
  <c r="H24" i="13"/>
  <c r="I24" i="13" s="1"/>
  <c r="I23" i="13"/>
  <c r="H22" i="13"/>
  <c r="I22" i="13" s="1"/>
  <c r="H21" i="13"/>
  <c r="I21" i="13" s="1"/>
  <c r="I20" i="13"/>
  <c r="H19" i="13"/>
  <c r="I19" i="13" s="1"/>
  <c r="H18" i="13"/>
  <c r="I18" i="13" s="1"/>
  <c r="H17" i="13"/>
  <c r="I17" i="13" s="1"/>
  <c r="H16" i="13"/>
  <c r="I16" i="13" s="1"/>
  <c r="H15" i="13"/>
  <c r="I15" i="13" s="1"/>
  <c r="H14" i="13"/>
  <c r="I14" i="13" s="1"/>
  <c r="H13" i="13"/>
  <c r="I13" i="13" s="1"/>
  <c r="H12" i="13"/>
  <c r="I12" i="13" s="1"/>
  <c r="H11" i="13"/>
  <c r="I11" i="13" s="1"/>
  <c r="H10" i="13"/>
  <c r="I10" i="13" s="1"/>
  <c r="I9" i="13"/>
  <c r="H8" i="13"/>
  <c r="I8" i="13" s="1"/>
  <c r="H7" i="13"/>
  <c r="I7" i="13" s="1"/>
  <c r="H6" i="13"/>
  <c r="I6" i="13" s="1"/>
  <c r="H5" i="13"/>
  <c r="I5" i="13" s="1"/>
  <c r="I4" i="13"/>
  <c r="I2" i="13"/>
  <c r="U31" i="12"/>
  <c r="U4" i="12"/>
  <c r="U28" i="12"/>
  <c r="U18" i="12"/>
  <c r="U17" i="12"/>
  <c r="U33" i="12"/>
  <c r="X36" i="12"/>
  <c r="Y36" i="12" s="1"/>
  <c r="V36" i="12"/>
  <c r="Z36" i="12" s="1"/>
  <c r="U36" i="12"/>
  <c r="Y35" i="12"/>
  <c r="V35" i="12"/>
  <c r="Z35" i="12" s="1"/>
  <c r="U35" i="12"/>
  <c r="X34" i="12"/>
  <c r="Y34" i="12" s="1"/>
  <c r="V34" i="12"/>
  <c r="Z34" i="12" s="1"/>
  <c r="U34" i="12"/>
  <c r="Y33" i="12"/>
  <c r="V33" i="12"/>
  <c r="Z33" i="12" s="1"/>
  <c r="Y32" i="12"/>
  <c r="V32" i="12"/>
  <c r="Z32" i="12" s="1"/>
  <c r="U32" i="12"/>
  <c r="Y31" i="12"/>
  <c r="V31" i="12"/>
  <c r="Z31" i="12" s="1"/>
  <c r="Y30" i="12"/>
  <c r="V30" i="12"/>
  <c r="Z30" i="12" s="1"/>
  <c r="U30" i="12"/>
  <c r="X29" i="12"/>
  <c r="Y29" i="12" s="1"/>
  <c r="V29" i="12"/>
  <c r="Z29" i="12" s="1"/>
  <c r="U29" i="12"/>
  <c r="X28" i="12"/>
  <c r="Y28" i="12" s="1"/>
  <c r="V28" i="12"/>
  <c r="Z28" i="12" s="1"/>
  <c r="X27" i="12"/>
  <c r="Y27" i="12" s="1"/>
  <c r="V27" i="12"/>
  <c r="Z27" i="12" s="1"/>
  <c r="U27" i="12"/>
  <c r="X26" i="12"/>
  <c r="Y26" i="12" s="1"/>
  <c r="V26" i="12"/>
  <c r="Z26" i="12" s="1"/>
  <c r="U26" i="12"/>
  <c r="X25" i="12"/>
  <c r="Y25" i="12" s="1"/>
  <c r="V25" i="12"/>
  <c r="Z25" i="12" s="1"/>
  <c r="U25" i="12"/>
  <c r="X24" i="12"/>
  <c r="Y24" i="12" s="1"/>
  <c r="V24" i="12"/>
  <c r="Z24" i="12" s="1"/>
  <c r="U24" i="12"/>
  <c r="Y23" i="12"/>
  <c r="V23" i="12"/>
  <c r="Z23" i="12" s="1"/>
  <c r="U23" i="12"/>
  <c r="X22" i="12"/>
  <c r="Y22" i="12" s="1"/>
  <c r="V22" i="12"/>
  <c r="Z22" i="12" s="1"/>
  <c r="U22" i="12"/>
  <c r="X21" i="12"/>
  <c r="Y21" i="12" s="1"/>
  <c r="V21" i="12"/>
  <c r="Z21" i="12" s="1"/>
  <c r="U21" i="12"/>
  <c r="Y20" i="12"/>
  <c r="V20" i="12"/>
  <c r="Z20" i="12" s="1"/>
  <c r="U20" i="12"/>
  <c r="X19" i="12"/>
  <c r="Y19" i="12" s="1"/>
  <c r="V19" i="12"/>
  <c r="Z19" i="12" s="1"/>
  <c r="U19" i="12"/>
  <c r="X18" i="12"/>
  <c r="Y18" i="12" s="1"/>
  <c r="V18" i="12"/>
  <c r="Z18" i="12" s="1"/>
  <c r="X17" i="12"/>
  <c r="Y17" i="12" s="1"/>
  <c r="V17" i="12"/>
  <c r="Z17" i="12" s="1"/>
  <c r="X16" i="12"/>
  <c r="Y16" i="12" s="1"/>
  <c r="V16" i="12"/>
  <c r="Z16" i="12" s="1"/>
  <c r="U16" i="12"/>
  <c r="X15" i="12"/>
  <c r="Y15" i="12" s="1"/>
  <c r="V15" i="12"/>
  <c r="Z15" i="12" s="1"/>
  <c r="U15" i="12"/>
  <c r="X14" i="12"/>
  <c r="Y14" i="12" s="1"/>
  <c r="V14" i="12"/>
  <c r="Z14" i="12" s="1"/>
  <c r="U14" i="12"/>
  <c r="X13" i="12"/>
  <c r="Y13" i="12" s="1"/>
  <c r="V13" i="12"/>
  <c r="Z13" i="12" s="1"/>
  <c r="U13" i="12"/>
  <c r="X12" i="12"/>
  <c r="Y12" i="12" s="1"/>
  <c r="V12" i="12"/>
  <c r="Z12" i="12" s="1"/>
  <c r="U12" i="12"/>
  <c r="X11" i="12"/>
  <c r="Y11" i="12" s="1"/>
  <c r="V11" i="12"/>
  <c r="Z11" i="12" s="1"/>
  <c r="U11" i="12"/>
  <c r="X10" i="12"/>
  <c r="Y10" i="12" s="1"/>
  <c r="V10" i="12"/>
  <c r="Z10" i="12" s="1"/>
  <c r="U10" i="12"/>
  <c r="Y9" i="12"/>
  <c r="V9" i="12"/>
  <c r="Z9" i="12" s="1"/>
  <c r="U9" i="12"/>
  <c r="X8" i="12"/>
  <c r="Y8" i="12" s="1"/>
  <c r="V8" i="12"/>
  <c r="Z8" i="12" s="1"/>
  <c r="U8" i="12"/>
  <c r="X7" i="12"/>
  <c r="Y7" i="12" s="1"/>
  <c r="V7" i="12"/>
  <c r="Z7" i="12" s="1"/>
  <c r="U7" i="12"/>
  <c r="X6" i="12"/>
  <c r="Y6" i="12" s="1"/>
  <c r="V6" i="12"/>
  <c r="Z6" i="12" s="1"/>
  <c r="U6" i="12"/>
  <c r="X5" i="12"/>
  <c r="Y5" i="12" s="1"/>
  <c r="V5" i="12"/>
  <c r="Z5" i="12" s="1"/>
  <c r="U5" i="12"/>
  <c r="Y4" i="12"/>
  <c r="V4" i="12"/>
  <c r="Z4" i="12" s="1"/>
  <c r="X3" i="12"/>
  <c r="Y3" i="12" s="1"/>
  <c r="V3" i="12"/>
  <c r="Z3" i="12" s="1"/>
  <c r="U3" i="12"/>
  <c r="Y2" i="12"/>
  <c r="V2" i="12"/>
  <c r="Z2" i="12" s="1"/>
  <c r="U2" i="12"/>
</calcChain>
</file>

<file path=xl/sharedStrings.xml><?xml version="1.0" encoding="utf-8"?>
<sst xmlns="http://schemas.openxmlformats.org/spreadsheetml/2006/main" count="1413" uniqueCount="467">
  <si>
    <t>NÚMERO DE IDENTIFICACIÓN</t>
  </si>
  <si>
    <t>CÓDIGO ESTUDIANTIL</t>
  </si>
  <si>
    <t>ÚLTIMO PERIODO ACADÉMICO ACTIVO</t>
  </si>
  <si>
    <t xml:space="preserve">PLAN DE ESTUDIOS </t>
  </si>
  <si>
    <t>Nombre Completo</t>
  </si>
  <si>
    <t>Plan Vigente</t>
  </si>
  <si>
    <t>Num Creditos</t>
  </si>
  <si>
    <t>Num Periodos</t>
  </si>
  <si>
    <t>Num Matriculas</t>
  </si>
  <si>
    <t>Columna1</t>
  </si>
  <si>
    <t xml:space="preserve">PAGO </t>
  </si>
  <si>
    <t>2026-3</t>
  </si>
  <si>
    <t>2027-1</t>
  </si>
  <si>
    <t>2027-3</t>
  </si>
  <si>
    <t>Estado</t>
  </si>
  <si>
    <t>Estado Ultimo Recibo</t>
  </si>
  <si>
    <t>20201495005</t>
  </si>
  <si>
    <t>2021-2</t>
  </si>
  <si>
    <t>495-2</t>
  </si>
  <si>
    <t>David Guillermo Galvis Espitia</t>
  </si>
  <si>
    <t>595-1</t>
  </si>
  <si>
    <t>SI ACEPTO</t>
  </si>
  <si>
    <t>SI</t>
  </si>
  <si>
    <t>SEMINARIO</t>
  </si>
  <si>
    <t>TRABAJO DE GRADO I</t>
  </si>
  <si>
    <t>TRABAJO DE GRADO II</t>
  </si>
  <si>
    <t>Matriculado</t>
  </si>
  <si>
    <t>2026-3 A</t>
  </si>
  <si>
    <t>20191495003</t>
  </si>
  <si>
    <t>2024-1</t>
  </si>
  <si>
    <t>Jose Augusto Carvajal Torres</t>
  </si>
  <si>
    <t>20191495007</t>
  </si>
  <si>
    <t>2025-1</t>
  </si>
  <si>
    <t>Julian Orlando Cuellar Mayorga</t>
  </si>
  <si>
    <t>20181495001</t>
  </si>
  <si>
    <t>Lady Mayerly Baron Jerez</t>
  </si>
  <si>
    <t xml:space="preserve">FALTA ACTA FIRMADA </t>
  </si>
  <si>
    <t>2026-3 I</t>
  </si>
  <si>
    <t>20192395007</t>
  </si>
  <si>
    <t>2025-3</t>
  </si>
  <si>
    <t>395-2</t>
  </si>
  <si>
    <t>Diego Alejandro Malagón Márquez</t>
  </si>
  <si>
    <t xml:space="preserve">SI ACEPTO </t>
  </si>
  <si>
    <t xml:space="preserve">SI </t>
  </si>
  <si>
    <t>SEMINARIO / ESTADÍSTICA ESPACIAL</t>
  </si>
  <si>
    <t xml:space="preserve">TRABAJO DE GRADO I </t>
  </si>
  <si>
    <t>20202495010</t>
  </si>
  <si>
    <t>2023-3</t>
  </si>
  <si>
    <t>MAURICIO  GONZALEZ BUITRAGO</t>
  </si>
  <si>
    <t>TRABAJO DE GRADO I / COMPUTACIÓN PARALELA</t>
  </si>
  <si>
    <t>20192495005</t>
  </si>
  <si>
    <t>Erika Junnieth Daza Narvaez</t>
  </si>
  <si>
    <t>695-1</t>
  </si>
  <si>
    <t xml:space="preserve">SI ACEPTO- REVISAR CASO </t>
  </si>
  <si>
    <t>1098675575</t>
  </si>
  <si>
    <t>20191495018</t>
  </si>
  <si>
    <t>2021-1</t>
  </si>
  <si>
    <t>Carlos Ivan Obregón Barrera</t>
  </si>
  <si>
    <t>9029509</t>
  </si>
  <si>
    <t>2023-2</t>
  </si>
  <si>
    <t>Laurencio Jose Silva Acosta</t>
  </si>
  <si>
    <t>Pérdida de calidad de estudiante - Suspendido</t>
  </si>
  <si>
    <t>2025-3 A</t>
  </si>
  <si>
    <t>20182495004</t>
  </si>
  <si>
    <t>Andrés Mauricio Barragán Sarmiento</t>
  </si>
  <si>
    <t xml:space="preserve">SEMINARIO </t>
  </si>
  <si>
    <t>20202495021</t>
  </si>
  <si>
    <t>2023-II</t>
  </si>
  <si>
    <t>Hector Hernando Villa Vargas</t>
  </si>
  <si>
    <t>NO RESPONDIO</t>
  </si>
  <si>
    <t>80188625</t>
  </si>
  <si>
    <t>20211495015</t>
  </si>
  <si>
    <t>Carlos Andres Uriza Fontecha</t>
  </si>
  <si>
    <t>20142395002</t>
  </si>
  <si>
    <t>2023-1</t>
  </si>
  <si>
    <t>Jorge Alfonso Fonseca Quiroga</t>
  </si>
  <si>
    <t xml:space="preserve">NO ENVIO ACTAS, REVISAR CASO Y RESPONDER </t>
  </si>
  <si>
    <t>En renovación de matrícula - Vacaciones</t>
  </si>
  <si>
    <t>20191495008</t>
  </si>
  <si>
    <t>2021-3 *</t>
  </si>
  <si>
    <t>David Leonardo Dallos Parra</t>
  </si>
  <si>
    <t>1023923782</t>
  </si>
  <si>
    <t>20192395008</t>
  </si>
  <si>
    <t>2021-I Terminación de materias, 2025-III periodo activo solo por renovacion sin tesis II</t>
  </si>
  <si>
    <t>Karen Andrea Huertas Vargas</t>
  </si>
  <si>
    <t>RESPONDER EL CORREO, NO TERMINO EL PAGO</t>
  </si>
  <si>
    <t>20181495008</t>
  </si>
  <si>
    <t>2019-2</t>
  </si>
  <si>
    <t>Karen Michelle Correa Alba</t>
  </si>
  <si>
    <t>20182495007</t>
  </si>
  <si>
    <t>2021-3</t>
  </si>
  <si>
    <t>william william garnica parada</t>
  </si>
  <si>
    <t>20152495005</t>
  </si>
  <si>
    <t>Carlos Andres Daza Espitia</t>
  </si>
  <si>
    <t>1012423093</t>
  </si>
  <si>
    <t>20202495004</t>
  </si>
  <si>
    <t>José Sebastian Cañon Moreno</t>
  </si>
  <si>
    <t xml:space="preserve">PRUEBAS DE SOFTWARE / TRABAJO DE GRADO </t>
  </si>
  <si>
    <t>1015405675</t>
  </si>
  <si>
    <t>20181495015</t>
  </si>
  <si>
    <t>John Fredy Piñeros Hernández</t>
  </si>
  <si>
    <t>NO ENVIO ACTA, REVISAR CASO Y RESPONDER</t>
  </si>
  <si>
    <t>20172495017</t>
  </si>
  <si>
    <t>2025-III</t>
  </si>
  <si>
    <t>José  Manuel Vargas Montero</t>
  </si>
  <si>
    <t>1019098016</t>
  </si>
  <si>
    <t>20172495016</t>
  </si>
  <si>
    <t>2026-1</t>
  </si>
  <si>
    <t xml:space="preserve">Laura Camila Scarpetta Rodriguez </t>
  </si>
  <si>
    <t xml:space="preserve">TRABAJO DE GRADO </t>
  </si>
  <si>
    <t>91478823</t>
  </si>
  <si>
    <t>20172495006</t>
  </si>
  <si>
    <t xml:space="preserve">Edgar  Trujillo Garcia </t>
  </si>
  <si>
    <t>SI ACEPTO- PENDIENTE ACTA</t>
  </si>
  <si>
    <t>TRABAJO DE GRADO</t>
  </si>
  <si>
    <t>80223922</t>
  </si>
  <si>
    <t>20171395001</t>
  </si>
  <si>
    <t>LUIS EDUARDO BECERRA  LOPEZ</t>
  </si>
  <si>
    <t>80926416</t>
  </si>
  <si>
    <t>20102195004</t>
  </si>
  <si>
    <t>2018-2</t>
  </si>
  <si>
    <t>Andrés Mauricio Molina Mongui</t>
  </si>
  <si>
    <t>NO SE LE ENVIO CORREO DESDE LA ORCA</t>
  </si>
  <si>
    <t xml:space="preserve"> 2026-3 A</t>
  </si>
  <si>
    <t>80852726</t>
  </si>
  <si>
    <t>20152195023</t>
  </si>
  <si>
    <t>2020-1</t>
  </si>
  <si>
    <t>Diego Alejandro Rubio Ramos</t>
  </si>
  <si>
    <t>ERIODO</t>
  </si>
  <si>
    <t>FECHA</t>
  </si>
  <si>
    <t>Proyecto</t>
  </si>
  <si>
    <t>MAESTRÍA EN CIENCIAS DE LA INFORMACIÓN Y LAS COMUNICACIONES</t>
  </si>
  <si>
    <t>ESPACIO ACADEMICO</t>
  </si>
  <si>
    <t>79501003 - SEMINARIO DE INVESTIGACION</t>
  </si>
  <si>
    <t>GRUPO</t>
  </si>
  <si>
    <t>595-2</t>
  </si>
  <si>
    <t>NOMBRE DOCENTE</t>
  </si>
  <si>
    <t>ORTIZ DAVILA ALVARO ENRIQUE</t>
  </si>
  <si>
    <t>DOCUMENTO DOCENTE</t>
  </si>
  <si>
    <t>Nro</t>
  </si>
  <si>
    <t>COD. ESTUDIANTE</t>
  </si>
  <si>
    <t>NOMBRE ESTUDIANTE</t>
  </si>
  <si>
    <t>No. DOCUMENTO</t>
  </si>
  <si>
    <t>ESTADO ACTUAL</t>
  </si>
  <si>
    <t>Email</t>
  </si>
  <si>
    <t>Email Inst</t>
  </si>
  <si>
    <t>Cod Carrera</t>
  </si>
  <si>
    <t>Carrera</t>
  </si>
  <si>
    <t>Email Inst Docente</t>
  </si>
  <si>
    <t>MOLINA MONGUI ANDRES MAURICIO</t>
  </si>
  <si>
    <t>A</t>
  </si>
  <si>
    <t>maomolina@hotmail.com</t>
  </si>
  <si>
    <t>ammolinam@udistrital.edu.co</t>
  </si>
  <si>
    <t>MAE. EN CIENCIAS DE LA INF. Y LAS COMUNICACIONES ENFASIS EN TELEINF.</t>
  </si>
  <si>
    <t>aeortizd@udistrital.edu.co</t>
  </si>
  <si>
    <t>TRUJILLO GARCIA EDGAR</t>
  </si>
  <si>
    <t>etrujillo1@gmail.com</t>
  </si>
  <si>
    <t>etrujillog@udistrital.edu.co</t>
  </si>
  <si>
    <t>MAE. EN CIENCIAS DE LA INF. Y LAS COMUNICACIONES ENFASIS EN ING. SOFT</t>
  </si>
  <si>
    <t>BARON JEREZ LADY MAYERLY</t>
  </si>
  <si>
    <t>ladybaronj@gmail.com</t>
  </si>
  <si>
    <t>lmbaronj@udistrital.edu.co</t>
  </si>
  <si>
    <t>BARRAGAN SARMIENTO ANDRÉS MAURICIO</t>
  </si>
  <si>
    <t>barragan_amb@hotmail.com</t>
  </si>
  <si>
    <t>ambarragans@udistrital.edu.co</t>
  </si>
  <si>
    <t>GARNICA PARADA WILLIAM ALBERTO</t>
  </si>
  <si>
    <t>williamgarnica@ingenieros.com</t>
  </si>
  <si>
    <t>wagarnicap@correo.udistrital.edu.co</t>
  </si>
  <si>
    <t>CARVAJAL TORRES JOSE AUGUSTO</t>
  </si>
  <si>
    <t>jacarvajalt@correo.udistrital.edu.co</t>
  </si>
  <si>
    <t>jacarvajalt@udistrital.edu.co</t>
  </si>
  <si>
    <t>CUELLAR MAYORGA JULIAN ORLANDO</t>
  </si>
  <si>
    <t>julianorlando@gmail.com</t>
  </si>
  <si>
    <t>jocuellarm@udistrital.edu.co</t>
  </si>
  <si>
    <t>OBREGON BARRERA CARLOS IVAN</t>
  </si>
  <si>
    <t>carlos.ivan.obregon@gmail.com</t>
  </si>
  <si>
    <t>ciobregonb@udistrital.edu.co</t>
  </si>
  <si>
    <t>MALAGON MARQUEZ DIEGO ALEJANDRO</t>
  </si>
  <si>
    <t>dalejomalagon@gmail.com</t>
  </si>
  <si>
    <t>mmdiegoa@udistrital.edu.co</t>
  </si>
  <si>
    <t>MAE. EN CIENCIAS DE LA INF. Y LAS COMUNICACIONES ENFASIS EN GEOMATICA</t>
  </si>
  <si>
    <t>HUERTAS VARGAS KAREN ANDREA</t>
  </si>
  <si>
    <t>karenahva@gmail.com</t>
  </si>
  <si>
    <t>kahuertasv@udistrital.edu.co</t>
  </si>
  <si>
    <t>DAZA NARVÁEZ ERIKA JUNNIETH</t>
  </si>
  <si>
    <t>ekdaza1709@gmail.com</t>
  </si>
  <si>
    <t>dnerikaj@udistrital.edu.co</t>
  </si>
  <si>
    <t>GALVIS ESPITIA DAVID GUILLERMO</t>
  </si>
  <si>
    <t>davidggalvis@gmail.com</t>
  </si>
  <si>
    <t>dggalvise@udistrital.edu.co</t>
  </si>
  <si>
    <t>GONZALEZ BUITRAGO MAURICIO</t>
  </si>
  <si>
    <t>magobu@outlook.com</t>
  </si>
  <si>
    <t>mgonzalezb@udistrital.edu.co</t>
  </si>
  <si>
    <t>VILLA VARGAS HECTOR HERNANDO</t>
  </si>
  <si>
    <t>hhvilla@gmail.com</t>
  </si>
  <si>
    <t>hhvillav@udistrital.edu.co</t>
  </si>
  <si>
    <t>URIZA FONTECHA CARLOS ANDRES</t>
  </si>
  <si>
    <t>uriza_andres@hotmail.com</t>
  </si>
  <si>
    <t>caurizaf@udistrital.edu.co</t>
  </si>
  <si>
    <t>1013607129</t>
  </si>
  <si>
    <t>20141395002</t>
  </si>
  <si>
    <t>395-1</t>
  </si>
  <si>
    <t xml:space="preserve">SI REMITIO ACTAS, REVISAR CASO Y RESPONDER. </t>
  </si>
  <si>
    <t>9929539</t>
  </si>
  <si>
    <t>NO PAGO EL VALOR TOTAL, LA ORCA LO DEVOLVÍO</t>
  </si>
  <si>
    <t>20211195007</t>
  </si>
  <si>
    <t>195-2</t>
  </si>
  <si>
    <t>20161395003</t>
  </si>
  <si>
    <t>695-2</t>
  </si>
  <si>
    <t>20192195004</t>
  </si>
  <si>
    <t>1022953913</t>
  </si>
  <si>
    <t>20161195004</t>
  </si>
  <si>
    <t>SI  ACEPTO</t>
  </si>
  <si>
    <t>9929531</t>
  </si>
  <si>
    <t>84456696</t>
  </si>
  <si>
    <t>20202495015</t>
  </si>
  <si>
    <t>2024-3</t>
  </si>
  <si>
    <t>1032458000</t>
  </si>
  <si>
    <t>88226473</t>
  </si>
  <si>
    <t>20022095002</t>
  </si>
  <si>
    <t>2005-I</t>
  </si>
  <si>
    <t>PENDIENTE</t>
  </si>
  <si>
    <t>TIPO DE IDENTIFICACIÓN</t>
  </si>
  <si>
    <t>PRIMER NOMBRE</t>
  </si>
  <si>
    <t>SEGUNDO NOMBRE</t>
  </si>
  <si>
    <t>PRIMER APELLIDO</t>
  </si>
  <si>
    <t>SEGUNDO APELLIDO</t>
  </si>
  <si>
    <t>NÚMERO DE CELULAR</t>
  </si>
  <si>
    <t>CORREO ELECTRÓNICO</t>
  </si>
  <si>
    <t>FACULTAD SEGÚN REFERENCIA</t>
  </si>
  <si>
    <t>FACULTAD REPORTADA</t>
  </si>
  <si>
    <t>NIVEL ACADÉMICO</t>
  </si>
  <si>
    <t>PROGRAMA ACADÉMICO</t>
  </si>
  <si>
    <t>MOTIVO DEL ABANDONO DE SUS ESTUDIOS</t>
  </si>
  <si>
    <t>TRABAJA ACTUALMENTE</t>
  </si>
  <si>
    <t>SITUACIÓN</t>
  </si>
  <si>
    <t>% de avance</t>
  </si>
  <si>
    <t xml:space="preserve">TESIS I </t>
  </si>
  <si>
    <t>SNIES</t>
  </si>
  <si>
    <t>C.C.</t>
  </si>
  <si>
    <t>Adrian</t>
  </si>
  <si>
    <t>Alejandro</t>
  </si>
  <si>
    <t>Gonzalez</t>
  </si>
  <si>
    <t>Rodriguez</t>
  </si>
  <si>
    <t>3112888427__</t>
  </si>
  <si>
    <t>gerencia@geomap.com.co</t>
  </si>
  <si>
    <t>Facultad de Ingeniería</t>
  </si>
  <si>
    <t>POSGRADO</t>
  </si>
  <si>
    <t>Maestría en Ciencias de la Información y las Comunicaciones</t>
  </si>
  <si>
    <t>Viajes de trabajo y problemas constantes con tesis de grado, las materias las culmine de 2 pensum diferentes en 2017</t>
  </si>
  <si>
    <t>no</t>
  </si>
  <si>
    <t>SI REMITIO ACTAS, PERO PAGO MAL, YA SE RESPONDIO</t>
  </si>
  <si>
    <t>David</t>
  </si>
  <si>
    <t>Guillermo</t>
  </si>
  <si>
    <t>Galvis</t>
  </si>
  <si>
    <t>Espitia</t>
  </si>
  <si>
    <t>3013148295__</t>
  </si>
  <si>
    <t>Retiro por pandemia COVID 19</t>
  </si>
  <si>
    <t>Jorge</t>
  </si>
  <si>
    <t>Rodríguez</t>
  </si>
  <si>
    <t>Rengifo</t>
  </si>
  <si>
    <t>3012399398__</t>
  </si>
  <si>
    <t>jorge.rodriguez@engineer.com</t>
  </si>
  <si>
    <t>Solo faltó presentación tesis de grado.</t>
  </si>
  <si>
    <t>NO</t>
  </si>
  <si>
    <t>si</t>
  </si>
  <si>
    <t>Jose</t>
  </si>
  <si>
    <t>Augusto</t>
  </si>
  <si>
    <t>Carvajal</t>
  </si>
  <si>
    <t>Torres</t>
  </si>
  <si>
    <t>3134606915__</t>
  </si>
  <si>
    <t>jose.carvajal2206@gmail.com</t>
  </si>
  <si>
    <t>Haber cumplido el plazo máximo para la terminación del plan de estudios.</t>
  </si>
  <si>
    <t>Julian</t>
  </si>
  <si>
    <t>Orlando</t>
  </si>
  <si>
    <t>Cuellar</t>
  </si>
  <si>
    <t>Mayorga</t>
  </si>
  <si>
    <t>3003160164__</t>
  </si>
  <si>
    <t>Excedí el tiempo de permanencia para terminar el trabajo de grado</t>
  </si>
  <si>
    <t>MARIA</t>
  </si>
  <si>
    <t>FERNANDA</t>
  </si>
  <si>
    <t>MARTINEZ</t>
  </si>
  <si>
    <t>GARZON</t>
  </si>
  <si>
    <t>3167823432__</t>
  </si>
  <si>
    <t>MARIAFERNANDA1227@GMAIL.COM</t>
  </si>
  <si>
    <t>Temas personales en su momento.</t>
  </si>
  <si>
    <t>Lady</t>
  </si>
  <si>
    <t>Mayerly</t>
  </si>
  <si>
    <t>Baron</t>
  </si>
  <si>
    <t>Jerez</t>
  </si>
  <si>
    <t>3106099677__</t>
  </si>
  <si>
    <t>Traslado de ciudad por temas laborales</t>
  </si>
  <si>
    <t xml:space="preserve">NO ENVIO  SOPORTES </t>
  </si>
  <si>
    <t>Yuber</t>
  </si>
  <si>
    <t>Alfredo</t>
  </si>
  <si>
    <t>Castro</t>
  </si>
  <si>
    <t>Quiroga</t>
  </si>
  <si>
    <t>3150608786__</t>
  </si>
  <si>
    <t>yubercastro@gmail.com</t>
  </si>
  <si>
    <t>no logre culminar el proceso de trabajo de grado y sustentacion</t>
  </si>
  <si>
    <t>Diego</t>
  </si>
  <si>
    <t>Malagón</t>
  </si>
  <si>
    <t>Márquez</t>
  </si>
  <si>
    <t>3133376495__</t>
  </si>
  <si>
    <t>Pérdida de calidad de estudiante por tiempo máximo de permanencia. Tuve una situación de calamidad domestica familiar que por fuerza mayor me llevo a distanciarme de la culminación de mi posgrado y dejar de lado mi proyecto de grado en curso. Al momento de la pérdida de calidad de estudiante me encontraba en modalidad de investigación con proyecto de grado aprobado, y pendiente solo de la culminación de este para sustentación y cumplimiento de requisitos para aprobación de espacio académico de Tesis 2. Cuando quise retomar el proyecto de grado este ya se encontraba vencido y solo me quedaba un semestre por tiempo máximo de permanencia, por lo que mis posibilidades eran mínimas para culminar mi maestría en condiciones normales.
En realidad, me gustaría poder culminar la maestría, incluso si ello implica tener que presentar un nuevo proyecto para terminar de la mejor manera, sustentar y cumplir con los requisitos correspondientes. Agradezco el estudio de mi caso y las posibilidades que pueda tener.</t>
  </si>
  <si>
    <t>MAURICIO</t>
  </si>
  <si>
    <t>GONZALEZ</t>
  </si>
  <si>
    <t>BUITRAGO</t>
  </si>
  <si>
    <t>3143059033__</t>
  </si>
  <si>
    <t>Sobrecarga laboral, falta de diversidad en materias.</t>
  </si>
  <si>
    <t>Erika</t>
  </si>
  <si>
    <t>Junnieth</t>
  </si>
  <si>
    <t>Daza</t>
  </si>
  <si>
    <t>Narvaez</t>
  </si>
  <si>
    <t>3207553745__</t>
  </si>
  <si>
    <t>La universidad me retiro porque ya cumplí el tiempo máximo en la maestría. Pero ya solo me falta presentar la tesis y el articulo</t>
  </si>
  <si>
    <t>Jerson</t>
  </si>
  <si>
    <t>Fernando</t>
  </si>
  <si>
    <t>Perez</t>
  </si>
  <si>
    <t>Cristancho</t>
  </si>
  <si>
    <t>3204754652__</t>
  </si>
  <si>
    <t>injerson@gmail.com</t>
  </si>
  <si>
    <t>Por temas laborales tuve que aplazar varios periodos y no logre cumplir los requisitos de la tesis dentro de los tiempos establecidos por la universidad. Muchas gracias por la oportunidad.</t>
  </si>
  <si>
    <t>Carlos</t>
  </si>
  <si>
    <t>Ivan</t>
  </si>
  <si>
    <t>Obregón</t>
  </si>
  <si>
    <t>Barrera</t>
  </si>
  <si>
    <t>3103056785__</t>
  </si>
  <si>
    <t>Durante la pandemia por COVID-19 tuve que trasladar mi residencia a la ciudad de Bucaramanga, lo que implicó cambios importantes en mi entorno laboral y familiar. Adicionalmente, al haber optado por la modalidad de investigación, el desarrollo del trabajo de grado demandaba una dedicación que en ese momento no me fue posible asumir debido a dichas responsabilidades. Aunque culminé y aprobé todas las asignaturas del plan de estudios, así como el Proyecto de Grado I correspondiente a la formulación y aprobación de la propuesta de investigación, las circunstancias mencionadas me llevaron a suspender el proceso y, posteriormente, a perder la calidad de estudiante. Actualmente cuento con la disposición y el compromiso para culminar los requisitos académicos pendientes y obtener el título de maestría.</t>
  </si>
  <si>
    <t>REVISAR PAGO</t>
  </si>
  <si>
    <t>Laurencio</t>
  </si>
  <si>
    <t>Silva</t>
  </si>
  <si>
    <t>Acosta</t>
  </si>
  <si>
    <t>3002151038__</t>
  </si>
  <si>
    <t>laurenciosilvaa@gmail.com</t>
  </si>
  <si>
    <t>Un viaje a Europa y un Infarto</t>
  </si>
  <si>
    <t>Ricaurte</t>
  </si>
  <si>
    <t>Cortes</t>
  </si>
  <si>
    <t>Fonseca</t>
  </si>
  <si>
    <t>3057498061__</t>
  </si>
  <si>
    <t>davidcortesfonseca@gmail.com</t>
  </si>
  <si>
    <t>Falta de continuidad pos pandemia</t>
  </si>
  <si>
    <t>Andrés</t>
  </si>
  <si>
    <t>Mauricio</t>
  </si>
  <si>
    <t>Barragán</t>
  </si>
  <si>
    <t>Sarmiento</t>
  </si>
  <si>
    <t>3138730050__</t>
  </si>
  <si>
    <t>No alcancé a recibir la carta de aceptación de publicación de mi artículo, lo cual era requerido en la modalidad que estaba (investigación) para poder radicar todos los componentes solicitados para poder asignar jurados para la respectiva sustentación.</t>
  </si>
  <si>
    <t>Hector</t>
  </si>
  <si>
    <t>Hernando</t>
  </si>
  <si>
    <t>Villa</t>
  </si>
  <si>
    <t>Vargas</t>
  </si>
  <si>
    <t>3003002717__</t>
  </si>
  <si>
    <t>Tuve que suspender dos semestres porque en ese momento, la carga laboral estaba muy alta y no podía comprometerme con el proyecto de maestría.</t>
  </si>
  <si>
    <t>C.E.</t>
  </si>
  <si>
    <t>Andres</t>
  </si>
  <si>
    <t>Uriza</t>
  </si>
  <si>
    <t>Fontecha</t>
  </si>
  <si>
    <t>3175442376__</t>
  </si>
  <si>
    <t>La maestría la curse en modalidad de presencial remota - por coincidencia de tiempo durante la pandemia, luego se redujo mi Disponibilidad de tiempo asociada a cambio de rol laboral.</t>
  </si>
  <si>
    <t>NO PAGO EL VALOR TOTAL, RESPONDER CORREO</t>
  </si>
  <si>
    <t>Alfonso</t>
  </si>
  <si>
    <t>3112069800__</t>
  </si>
  <si>
    <t>phonck@gmail.com</t>
  </si>
  <si>
    <t>Pérdida de la condición de estudiante, la totalidad del caso fue expuesta al consejo de carrera en varias oportunidades incluido el señor coordinador de su tiempo el Ing. Leonardo plazas Nossa donde faltando 1 mes para terminar ese último periodo académico me notificaron la aceptación de la renuncia como director del proyecto al profesor Miguel Ávila. Y ya ahí no habría tiempo de conseguir otro e iniciar todo el proceso.</t>
  </si>
  <si>
    <t>Leonardo</t>
  </si>
  <si>
    <t>Dallos</t>
  </si>
  <si>
    <t>Parra</t>
  </si>
  <si>
    <t>3175621610__</t>
  </si>
  <si>
    <t>leonardodallos@hotmail.com</t>
  </si>
  <si>
    <t>Cuando terminé las materias empecé una etapa laboral marcada por muchos cambios tanto en el ámbito profesional como el personal, estuve viviendo un par de años fuera de la ciudad y me desentendí de mi proyecto de grado, luego retomar fue muy difícil porque había perdido la conexión con la idea y la comunicación con mi director. Si vuelvo a entrar me gustaría empezar un nuevo trabajo de grado con una idea diferente que se alinee con mis proyectos profesionales actuales y la motivación y disciplina que tengo en este momento.</t>
  </si>
  <si>
    <t>RESPONER EL CORREO PORQUE SE ENVIO MAL DESDE LA ORCA</t>
  </si>
  <si>
    <t>Karen</t>
  </si>
  <si>
    <t>Andrea</t>
  </si>
  <si>
    <t>Huertas</t>
  </si>
  <si>
    <t>3204431938__</t>
  </si>
  <si>
    <t>Solo pendiente el trabajo de grado:"Culminé y aprobé la totalidad de los espacios académicos de mi plan de estudios en el periodo 2021-I. Me encontraba pendiente únicamente de culminar mi trabajo de grado, específicamente la sustentación y publicación en una revista indexada y la ponencia derivada del trabajo de investigación, aunque ya habia publicado por retraso debo volver a publicar requisito que no logré finalizar a tiempo por la carga laboral en la que me encontraba en ese momento.</t>
  </si>
  <si>
    <t>Samuel</t>
  </si>
  <si>
    <t>Páez</t>
  </si>
  <si>
    <t>Pisco</t>
  </si>
  <si>
    <t>3132096670__</t>
  </si>
  <si>
    <t>samuel.paez@fiscalia.gov.co</t>
  </si>
  <si>
    <t>Inviabilidad de desarrollo de proyecto de tesis en la Entidad donde laboro y nuevas posibilidades para desarrollo de proyecto en Arquitectura empresarial orientada a Ciberseguridad.</t>
  </si>
  <si>
    <t>Michelle</t>
  </si>
  <si>
    <t>Correa</t>
  </si>
  <si>
    <t>Alba</t>
  </si>
  <si>
    <t>3102035724__</t>
  </si>
  <si>
    <t>karencorrea93@hotmail.com</t>
  </si>
  <si>
    <t>Tuve que abandonar los estudios porque la carga laboral incrementó, la empresa cambió la sede a Medellín entonces tuve que trasladarme un tiempo, lo que me impidió continuar con la tesis que fue lo que me quedó pendiente.</t>
  </si>
  <si>
    <t>william</t>
  </si>
  <si>
    <t>garnica</t>
  </si>
  <si>
    <t>parada</t>
  </si>
  <si>
    <t>3137529727__</t>
  </si>
  <si>
    <t>wgarnicaw@gmail.com</t>
  </si>
  <si>
    <t>dificultades de ambito economico, y por poca dispocision de tiempo debido proncipalmente al nacimiento de mi hijo</t>
  </si>
  <si>
    <t>3166272894__</t>
  </si>
  <si>
    <t>cdaza1@outlook.com</t>
  </si>
  <si>
    <t>Culminacion de la totalidad de las materias, pendiente el desarrollo y sustentacion del trabajo de grado</t>
  </si>
  <si>
    <t>1012423093__</t>
  </si>
  <si>
    <t>José</t>
  </si>
  <si>
    <t>Sebastian</t>
  </si>
  <si>
    <t>Cañon</t>
  </si>
  <si>
    <t>Moreno</t>
  </si>
  <si>
    <t>3015659444__</t>
  </si>
  <si>
    <t>sebas951995@hotmail.com</t>
  </si>
  <si>
    <t>Abandoné mis estudios por una suma de circunstancias personales y laborales que en ese momento no me permitieron sostener la dedicación que exige la maestría. En lo laboral asumí un nuevo cargo en una nueva empresa,  con una carga y una curva de aprendizaje que absorbieron por completo mi disponibilidad; en lo personal, coincidió con el nacimiento de mi hijo Emmanuel, lo que reorganizó de manera significativa mis responsabilidades y organización de tiempo.</t>
  </si>
  <si>
    <t>84456696____</t>
  </si>
  <si>
    <t>Gerardo</t>
  </si>
  <si>
    <t>Alberto</t>
  </si>
  <si>
    <t>Orozco</t>
  </si>
  <si>
    <t>Serrano</t>
  </si>
  <si>
    <t>3008373895__</t>
  </si>
  <si>
    <t>gerardorozco@hotmail.com</t>
  </si>
  <si>
    <t>Elección indebida del tema de tesis no acorde a mis fundamentos teoricos (IA), de ser posible afinar o cambiar el tema para enfocarlo de acuerdo a mi experiencia y especialidad.</t>
  </si>
  <si>
    <t>1015405675__</t>
  </si>
  <si>
    <t>John</t>
  </si>
  <si>
    <t>Fredy</t>
  </si>
  <si>
    <t>Piñeros</t>
  </si>
  <si>
    <t>Hernández</t>
  </si>
  <si>
    <t>3202038936__</t>
  </si>
  <si>
    <t>jfpinerosh@udistrital.edu.co</t>
  </si>
  <si>
    <t>Tiempo para finalizar la tesis y presentar artículo. Modalidad investigación</t>
  </si>
  <si>
    <t>1032458000__</t>
  </si>
  <si>
    <t xml:space="preserve">José </t>
  </si>
  <si>
    <t>Manuel</t>
  </si>
  <si>
    <t>Montero</t>
  </si>
  <si>
    <t>3213209050__</t>
  </si>
  <si>
    <t>jmvm1313@gmail.com</t>
  </si>
  <si>
    <t xml:space="preserve">Conflictos con el proceso de graduación </t>
  </si>
  <si>
    <t>1019098016__</t>
  </si>
  <si>
    <t>Laura</t>
  </si>
  <si>
    <t>Camila</t>
  </si>
  <si>
    <t>Scarpetta</t>
  </si>
  <si>
    <t xml:space="preserve">Rodriguez </t>
  </si>
  <si>
    <t>3195266374__</t>
  </si>
  <si>
    <t>lcscarpettar@gmail.com</t>
  </si>
  <si>
    <t>91478823____</t>
  </si>
  <si>
    <t>Edgar</t>
  </si>
  <si>
    <t>Trujillo</t>
  </si>
  <si>
    <t xml:space="preserve">Garcia </t>
  </si>
  <si>
    <t>3107634304__</t>
  </si>
  <si>
    <t xml:space="preserve">Yo no pude realizar el proyecto de grado. en ese momento no contaba con un tema definido para desarrollar un proyecto ... adicionalmente  atravesé diversas circunstancias personales relacionadas con mi salud, la pandemia y responsabilidades laborales, lo que me dificultó disponer de tiempo y condiciones necesarias para llevarlo a cabo. </t>
  </si>
  <si>
    <t>88226473____</t>
  </si>
  <si>
    <t>Federico</t>
  </si>
  <si>
    <t>Alexander</t>
  </si>
  <si>
    <t>Escobar</t>
  </si>
  <si>
    <t>3192573784__</t>
  </si>
  <si>
    <t>fedealex65@hotmail.com</t>
  </si>
  <si>
    <t>Pendiente proyecto de grado.</t>
  </si>
  <si>
    <t>80223922____</t>
  </si>
  <si>
    <t>LUIS</t>
  </si>
  <si>
    <t>EDUARDO</t>
  </si>
  <si>
    <t xml:space="preserve">BECERRA </t>
  </si>
  <si>
    <t>LOPEZ</t>
  </si>
  <si>
    <t>3118365651__</t>
  </si>
  <si>
    <t>luis_e_becerra@hotmail.com</t>
  </si>
  <si>
    <t xml:space="preserve">Falta de recursos para el pago </t>
  </si>
  <si>
    <t>80926416____</t>
  </si>
  <si>
    <t>Molina</t>
  </si>
  <si>
    <t>Mongui</t>
  </si>
  <si>
    <t>3103009560__</t>
  </si>
  <si>
    <t xml:space="preserve">La comunicación con el asesor no fue la adecuada.  </t>
  </si>
  <si>
    <t>80852726____</t>
  </si>
  <si>
    <t>Rubio</t>
  </si>
  <si>
    <t>Ramos</t>
  </si>
  <si>
    <t>18702040847_</t>
  </si>
  <si>
    <t>diegoalejandro.rubio@gmail.com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</si>
</sst>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name val="Carlito"/>
    </font>
    <font>
      <b/>
      <sz val="10"/>
      <color rgb="FFFFFFFF"/>
      <name val="Carlito"/>
    </font>
    <font>
      <sz val="11"/>
      <name val="Carlito"/>
    </font>
    <font>
      <u/>
      <sz val="11"/>
      <color theme="10"/>
      <name val="Carlito"/>
    </font>
    <font>
      <sz val="8"/>
      <name val="Carlito"/>
    </font>
    <font>
      <b/>
      <sz val="10"/>
      <color rgb="FF000000"/>
      <name val="Arial"/>
      <family val="2"/>
    </font>
    <font>
      <b/>
      <i/>
      <sz val="10"/>
      <color rgb="FFFFFFFF"/>
      <name val="Arial"/>
      <family val="2"/>
    </font>
    <font>
      <sz val="10"/>
      <color rgb="FF000000"/>
      <name val="Arial"/>
      <family val="2"/>
    </font>
  </fonts>
  <fills count="11">
    <fill>
      <patternFill patternType="none"/>
    </fill>
    <fill>
      <patternFill patternType="gray125"/>
    </fill>
    <fill>
      <patternFill patternType="solid">
        <fgColor rgb="FF2F75B5"/>
      </patternFill>
    </fill>
    <fill>
      <patternFill patternType="solid">
        <fgColor rgb="FFFFFF00"/>
        <bgColor indexed="64"/>
      </patternFill>
    </fill>
    <fill>
      <patternFill patternType="solid">
        <fgColor rgb="FF92D050"/>
        <bgColor indexed="64"/>
      </patternFill>
    </fill>
    <fill>
      <patternFill patternType="solid">
        <fgColor rgb="FFF1A983"/>
        <bgColor rgb="FF000000"/>
      </patternFill>
    </fill>
    <fill>
      <patternFill patternType="solid">
        <fgColor rgb="FF00B0F0"/>
        <bgColor indexed="64"/>
      </patternFill>
    </fill>
    <fill>
      <patternFill patternType="solid">
        <fgColor rgb="FFFFC000"/>
        <bgColor indexed="64"/>
      </patternFill>
    </fill>
    <fill>
      <patternFill patternType="solid">
        <fgColor rgb="FFEEEEFF"/>
        <bgColor indexed="64"/>
      </patternFill>
    </fill>
    <fill>
      <patternFill patternType="solid">
        <fgColor rgb="FF999999"/>
        <bgColor indexed="64"/>
      </patternFill>
    </fill>
    <fill>
      <patternFill patternType="solid">
        <fgColor rgb="FFDDDDFF"/>
        <bgColor indexed="64"/>
      </patternFill>
    </fill>
  </fills>
  <borders count="3">
    <border>
      <left/>
      <right/>
      <top/>
      <bottom/>
      <diagonal/>
    </border>
    <border>
      <left/>
      <right/>
      <top style="medium">
        <color rgb="FFDDDDFF"/>
      </top>
      <bottom/>
      <diagonal/>
    </border>
    <border>
      <left/>
      <right/>
      <top/>
      <bottom style="medium">
        <color rgb="FF000000"/>
      </bottom>
      <diagonal/>
    </border>
  </borders>
  <cellStyleXfs count="4">
    <xf numFmtId="0" fontId="0" fillId="0" borderId="0"/>
    <xf numFmtId="9" fontId="2" fillId="0" borderId="0" applyFon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cellStyleXfs>
  <cellXfs count="47">
    <xf numFmtId="0" fontId="0" fillId="0" borderId="0" xfId="0"/>
    <xf numFmtId="0" fontId="1" fillId="2" borderId="0" xfId="0" applyFont="1" applyFill="1" applyAlignment="1">
      <alignment horizontal="center" vertical="center" wrapText="1"/>
    </xf>
    <xf numFmtId="0" fontId="1" fillId="2" borderId="0" xfId="0" applyFont="1" applyFill="1" applyAlignment="1">
      <alignment vertical="center" wrapText="1"/>
    </xf>
    <xf numFmtId="0" fontId="0" fillId="0" borderId="0" xfId="0" applyAlignment="1">
      <alignment vertical="center"/>
    </xf>
    <xf numFmtId="0" fontId="0" fillId="0" borderId="0" xfId="0" applyAlignment="1">
      <alignment horizontal="center"/>
    </xf>
    <xf numFmtId="0" fontId="0" fillId="4" borderId="0" xfId="0" applyFill="1" applyAlignment="1">
      <alignment vertical="top" wrapText="1"/>
    </xf>
    <xf numFmtId="49" fontId="0" fillId="4" borderId="0" xfId="0" applyNumberFormat="1" applyFill="1" applyAlignment="1">
      <alignment vertical="top" wrapText="1"/>
    </xf>
    <xf numFmtId="0" fontId="0" fillId="4" borderId="0" xfId="0" applyFill="1" applyAlignment="1">
      <alignment horizontal="center" vertical="top" wrapText="1"/>
    </xf>
    <xf numFmtId="0" fontId="0" fillId="4" borderId="0" xfId="0" applyFill="1" applyAlignment="1">
      <alignment vertical="center" wrapText="1"/>
    </xf>
    <xf numFmtId="0" fontId="0" fillId="4" borderId="0" xfId="0" applyFill="1" applyAlignment="1">
      <alignment horizontal="center"/>
    </xf>
    <xf numFmtId="0" fontId="0" fillId="4" borderId="0" xfId="0" applyFill="1"/>
    <xf numFmtId="0" fontId="0" fillId="3" borderId="0" xfId="0" applyFill="1" applyAlignment="1">
      <alignment horizontal="center"/>
    </xf>
    <xf numFmtId="0" fontId="0" fillId="3" borderId="0" xfId="0" applyFill="1"/>
    <xf numFmtId="0" fontId="2" fillId="3" borderId="0" xfId="0" applyFont="1" applyFill="1" applyAlignment="1">
      <alignment vertical="top" wrapText="1"/>
    </xf>
    <xf numFmtId="49" fontId="2" fillId="3" borderId="0" xfId="0" applyNumberFormat="1" applyFont="1" applyFill="1" applyAlignment="1">
      <alignment vertical="top" wrapText="1"/>
    </xf>
    <xf numFmtId="0" fontId="2" fillId="4" borderId="0" xfId="0" applyFont="1" applyFill="1" applyAlignment="1">
      <alignment vertical="top" wrapText="1"/>
    </xf>
    <xf numFmtId="49" fontId="2" fillId="4" borderId="0" xfId="0" applyNumberFormat="1" applyFont="1" applyFill="1" applyAlignment="1">
      <alignment vertical="top" wrapText="1"/>
    </xf>
    <xf numFmtId="0" fontId="2" fillId="4" borderId="0" xfId="0" applyFont="1" applyFill="1" applyAlignment="1">
      <alignment horizontal="center" vertical="top" wrapText="1"/>
    </xf>
    <xf numFmtId="0" fontId="2" fillId="4" borderId="0" xfId="0" applyFont="1" applyFill="1" applyAlignment="1">
      <alignment vertical="center" wrapText="1"/>
    </xf>
    <xf numFmtId="0" fontId="2" fillId="3" borderId="0" xfId="0" applyFont="1" applyFill="1" applyAlignment="1">
      <alignment horizontal="center" vertical="top" wrapText="1"/>
    </xf>
    <xf numFmtId="0" fontId="2" fillId="3" borderId="0" xfId="0" applyFont="1" applyFill="1" applyAlignment="1">
      <alignment vertical="center" wrapText="1"/>
    </xf>
    <xf numFmtId="0" fontId="0" fillId="4" borderId="0" xfId="0" applyFill="1" applyAlignment="1">
      <alignment vertical="center"/>
    </xf>
    <xf numFmtId="0" fontId="0" fillId="0" borderId="0" xfId="1" applyNumberFormat="1" applyFont="1" applyAlignment="1">
      <alignment horizontal="center"/>
    </xf>
    <xf numFmtId="0" fontId="0" fillId="4" borderId="0" xfId="1" applyNumberFormat="1" applyFont="1" applyFill="1" applyAlignment="1">
      <alignment horizontal="center"/>
    </xf>
    <xf numFmtId="0" fontId="0" fillId="5" borderId="0" xfId="0" applyFill="1" applyAlignment="1">
      <alignment horizontal="center"/>
    </xf>
    <xf numFmtId="0" fontId="3" fillId="3" borderId="0" xfId="2" applyFill="1" applyAlignment="1">
      <alignment vertical="top" wrapText="1"/>
    </xf>
    <xf numFmtId="0" fontId="0" fillId="5" borderId="0" xfId="0" applyFill="1" applyAlignment="1">
      <alignment horizontal="center" wrapText="1"/>
    </xf>
    <xf numFmtId="0" fontId="0" fillId="6" borderId="0" xfId="0" applyFill="1" applyAlignment="1">
      <alignment horizontal="center"/>
    </xf>
    <xf numFmtId="0" fontId="3" fillId="4" borderId="0" xfId="3" applyFill="1" applyAlignment="1">
      <alignment vertical="top" wrapText="1"/>
    </xf>
    <xf numFmtId="49" fontId="0" fillId="7" borderId="0" xfId="0" applyNumberFormat="1" applyFill="1" applyAlignment="1">
      <alignment vertical="top" wrapText="1"/>
    </xf>
    <xf numFmtId="49" fontId="0" fillId="3" borderId="0" xfId="0" applyNumberFormat="1" applyFill="1" applyAlignment="1">
      <alignment vertical="top" wrapText="1"/>
    </xf>
    <xf numFmtId="49" fontId="2" fillId="7" borderId="0" xfId="0" applyNumberFormat="1" applyFont="1" applyFill="1" applyAlignment="1">
      <alignment vertical="top" wrapText="1"/>
    </xf>
    <xf numFmtId="0" fontId="0" fillId="0" borderId="0" xfId="0" applyAlignment="1">
      <alignment horizontal="left"/>
    </xf>
    <xf numFmtId="0" fontId="5" fillId="8" borderId="0" xfId="0" applyFont="1" applyFill="1" applyAlignment="1">
      <alignment horizontal="left" vertical="center" wrapText="1" indent="1"/>
    </xf>
    <xf numFmtId="0" fontId="5" fillId="8" borderId="0" xfId="0" applyFont="1" applyFill="1" applyAlignment="1">
      <alignment horizontal="left" vertical="center" wrapText="1"/>
    </xf>
    <xf numFmtId="22" fontId="5" fillId="8" borderId="0" xfId="0" applyNumberFormat="1" applyFont="1" applyFill="1" applyAlignment="1">
      <alignment horizontal="left" vertical="center" wrapText="1"/>
    </xf>
    <xf numFmtId="0" fontId="5" fillId="8" borderId="1" xfId="0" applyFont="1" applyFill="1" applyBorder="1" applyAlignment="1">
      <alignment horizontal="left" vertical="center" wrapText="1" indent="1"/>
    </xf>
    <xf numFmtId="0" fontId="5" fillId="8" borderId="1" xfId="0" applyFont="1" applyFill="1" applyBorder="1" applyAlignment="1">
      <alignment horizontal="left" vertical="center" wrapText="1"/>
    </xf>
    <xf numFmtId="0" fontId="6" fillId="9" borderId="2" xfId="0" applyFont="1" applyFill="1" applyBorder="1" applyAlignment="1">
      <alignment horizontal="right" vertical="center" wrapText="1"/>
    </xf>
    <xf numFmtId="0" fontId="6" fillId="9" borderId="2" xfId="0" applyFont="1" applyFill="1" applyBorder="1" applyAlignment="1">
      <alignment horizontal="left" vertical="center" wrapText="1"/>
    </xf>
    <xf numFmtId="0" fontId="6" fillId="9" borderId="2" xfId="0" applyFont="1" applyFill="1" applyBorder="1" applyAlignment="1">
      <alignment horizontal="center" vertical="center" wrapText="1"/>
    </xf>
    <xf numFmtId="0" fontId="7" fillId="8" borderId="0" xfId="0" applyFont="1" applyFill="1" applyAlignment="1">
      <alignment horizontal="right" vertical="center" wrapText="1"/>
    </xf>
    <xf numFmtId="0" fontId="7" fillId="8" borderId="0" xfId="0" applyFont="1" applyFill="1" applyAlignment="1">
      <alignment horizontal="left" vertical="center" wrapText="1"/>
    </xf>
    <xf numFmtId="0" fontId="7" fillId="8" borderId="0" xfId="0" applyFont="1" applyFill="1" applyAlignment="1">
      <alignment horizontal="center" vertical="center" wrapText="1"/>
    </xf>
    <xf numFmtId="0" fontId="7" fillId="10" borderId="0" xfId="0" applyFont="1" applyFill="1" applyAlignment="1">
      <alignment horizontal="right" vertical="center" wrapText="1"/>
    </xf>
    <xf numFmtId="0" fontId="7" fillId="10" borderId="0" xfId="0" applyFont="1" applyFill="1" applyAlignment="1">
      <alignment horizontal="left" vertical="center" wrapText="1"/>
    </xf>
    <xf numFmtId="0" fontId="7" fillId="10" borderId="0" xfId="0" applyFont="1" applyFill="1" applyAlignment="1">
      <alignment horizontal="center" vertical="center" wrapText="1"/>
    </xf>
  </cellXfs>
  <cellStyles count="4">
    <cellStyle name="Hipervínculo" xfId="2" builtinId="8"/>
    <cellStyle name="Hyperlink" xfId="3" xr:uid="{00000000-000B-0000-0000-000008000000}"/>
    <cellStyle name="Normal" xfId="0" builtinId="0"/>
    <cellStyle name="Porcentaje" xfId="1" builtinId="5"/>
  </cellStyles>
  <dxfs count="48">
    <dxf>
      <numFmt numFmtId="0" formatCode="General"/>
      <fill>
        <patternFill patternType="solid">
          <fgColor rgb="FF000000"/>
          <bgColor rgb="FFF1A983"/>
        </patternFill>
      </fill>
      <alignment horizontal="center"/>
    </dxf>
    <dxf>
      <numFmt numFmtId="0" formatCode="General"/>
      <fill>
        <patternFill patternType="solid">
          <fgColor rgb="FF000000"/>
          <bgColor rgb="FFF1A983"/>
        </patternFill>
      </fill>
      <alignment horizontal="center"/>
    </dxf>
    <dxf>
      <numFmt numFmtId="0" formatCode="General"/>
      <fill>
        <patternFill patternType="solid">
          <fgColor indexed="64"/>
          <bgColor theme="5" tint="0.39997558519241921"/>
        </patternFill>
      </fill>
      <alignment horizontal="center"/>
    </dxf>
    <dxf>
      <numFmt numFmtId="0" formatCode="General"/>
      <fill>
        <patternFill patternType="solid">
          <fgColor indexed="64"/>
          <bgColor theme="5" tint="0.39997558519241921"/>
        </patternFill>
      </fill>
      <alignment horizontal="center"/>
    </dxf>
    <dxf>
      <numFmt numFmtId="0" formatCode="General"/>
      <fill>
        <patternFill patternType="solid">
          <fgColor indexed="64"/>
          <bgColor theme="5" tint="0.39997558519241921"/>
        </patternFill>
      </fill>
      <alignment horizontal="center"/>
    </dxf>
    <dxf>
      <fill>
        <patternFill patternType="solid">
          <fgColor indexed="64"/>
          <bgColor theme="5" tint="0.39997558519241921"/>
        </patternFill>
      </fill>
      <alignment horizontal="center"/>
    </dxf>
    <dxf>
      <numFmt numFmtId="0" formatCode="General"/>
      <fill>
        <patternFill patternType="solid">
          <fgColor indexed="64"/>
          <bgColor theme="5" tint="0.39997558519241921"/>
        </patternFill>
      </fill>
      <alignment horizontal="center"/>
    </dxf>
    <dxf>
      <numFmt numFmtId="0" formatCode="General"/>
      <fill>
        <patternFill patternType="solid">
          <fgColor indexed="64"/>
          <bgColor theme="5" tint="0.39997558519241921"/>
        </patternFill>
      </fill>
      <alignment horizontal="center"/>
    </dxf>
    <dxf>
      <fill>
        <patternFill patternType="solid">
          <fgColor indexed="64"/>
          <bgColor theme="5" tint="0.39997558519241921"/>
        </patternFill>
      </fill>
      <alignment horizontal="center"/>
    </dxf>
    <dxf>
      <numFmt numFmtId="0" formatCode="General"/>
      <fill>
        <patternFill patternType="solid">
          <fgColor indexed="64"/>
          <bgColor theme="5" tint="0.39997558519241921"/>
        </patternFill>
      </fill>
      <alignment horizontal="center"/>
    </dxf>
    <dxf>
      <fill>
        <patternFill patternType="solid">
          <fgColor indexed="64"/>
          <bgColor theme="5" tint="0.39997558519241921"/>
        </patternFill>
      </fill>
      <alignment horizontal="center"/>
    </dxf>
    <dxf>
      <fill>
        <patternFill patternType="solid">
          <fgColor indexed="64"/>
          <bgColor theme="5" tint="0.39997558519241921"/>
        </patternFill>
      </fill>
      <alignment horizontal="center"/>
    </dxf>
    <dxf>
      <fill>
        <patternFill patternType="solid">
          <fgColor indexed="64"/>
          <bgColor theme="5" tint="0.39997558519241921"/>
        </patternFill>
      </fill>
      <alignment horizontal="general" vertical="center"/>
    </dxf>
    <dxf>
      <fill>
        <patternFill patternType="solid">
          <fgColor indexed="64"/>
          <bgColor theme="5" tint="0.39997558519241921"/>
        </patternFill>
      </fill>
    </dxf>
    <dxf>
      <fill>
        <patternFill patternType="solid">
          <fgColor indexed="64"/>
          <bgColor theme="5" tint="0.39997558519241921"/>
        </patternFill>
      </fill>
      <alignment horizontal="center"/>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rgb="FF000000"/>
          <bgColor rgb="FFF1A983"/>
        </patternFill>
      </fill>
    </dxf>
    <dxf>
      <numFmt numFmtId="0" formatCode="General"/>
      <fill>
        <patternFill patternType="solid">
          <fgColor rgb="FF000000"/>
          <bgColor rgb="FFF1A983"/>
        </patternFill>
      </fill>
      <alignment horizontal="center"/>
    </dxf>
    <dxf>
      <numFmt numFmtId="0" formatCode="General"/>
      <fill>
        <patternFill patternType="solid">
          <fgColor rgb="FF000000"/>
          <bgColor rgb="FFF1A983"/>
        </patternFill>
      </fill>
      <alignment horizontal="center"/>
    </dxf>
    <dxf>
      <numFmt numFmtId="0" formatCode="General"/>
      <fill>
        <patternFill patternType="solid">
          <fgColor rgb="FF000000"/>
          <bgColor rgb="FFF1A983"/>
        </patternFill>
      </fill>
      <alignment horizontal="center"/>
    </dxf>
    <dxf>
      <numFmt numFmtId="0" formatCode="General"/>
      <fill>
        <patternFill patternType="solid">
          <fgColor rgb="FF000000"/>
          <bgColor rgb="FFF1A983"/>
        </patternFill>
      </fill>
      <alignment horizontal="center"/>
    </dxf>
    <dxf>
      <numFmt numFmtId="0" formatCode="General"/>
      <fill>
        <patternFill patternType="solid">
          <fgColor rgb="FF000000"/>
          <bgColor rgb="FFF1A983"/>
        </patternFill>
      </fill>
      <alignment horizontal="center"/>
    </dxf>
    <dxf>
      <numFmt numFmtId="0" formatCode="General"/>
      <fill>
        <patternFill patternType="solid">
          <fgColor rgb="FF000000"/>
          <bgColor rgb="FFF1A983"/>
        </patternFill>
      </fill>
      <alignment horizontal="center"/>
    </dxf>
    <dxf>
      <numFmt numFmtId="0" formatCode="General"/>
      <fill>
        <patternFill patternType="solid">
          <fgColor rgb="FF000000"/>
          <bgColor rgb="FFF1A983"/>
        </patternFill>
      </fill>
      <alignment horizontal="center"/>
    </dxf>
    <dxf>
      <numFmt numFmtId="0" formatCode="General"/>
      <fill>
        <patternFill patternType="solid">
          <fgColor indexed="64"/>
          <bgColor theme="5" tint="0.39997558519241921"/>
        </patternFill>
      </fill>
      <alignment horizontal="center"/>
    </dxf>
    <dxf>
      <numFmt numFmtId="0" formatCode="General"/>
      <fill>
        <patternFill patternType="solid">
          <fgColor indexed="64"/>
          <bgColor theme="5" tint="0.39997558519241921"/>
        </patternFill>
      </fill>
      <alignment horizontal="center"/>
    </dxf>
    <dxf>
      <fill>
        <patternFill patternType="solid">
          <fgColor indexed="64"/>
          <bgColor theme="5" tint="0.39997558519241921"/>
        </patternFill>
      </fill>
      <alignment horizontal="center"/>
    </dxf>
    <dxf>
      <numFmt numFmtId="0" formatCode="General"/>
      <fill>
        <patternFill patternType="solid">
          <fgColor indexed="64"/>
          <bgColor theme="5" tint="0.39997558519241921"/>
        </patternFill>
      </fill>
      <alignment horizontal="center"/>
    </dxf>
    <dxf>
      <numFmt numFmtId="0" formatCode="General"/>
      <fill>
        <patternFill patternType="solid">
          <fgColor indexed="64"/>
          <bgColor rgb="FF92D050"/>
        </patternFill>
      </fill>
      <alignment horizontal="center" vertical="bottom" textRotation="0" wrapText="0" indent="0" justifyLastLine="0" shrinkToFit="0" readingOrder="0"/>
    </dxf>
    <dxf>
      <fill>
        <patternFill patternType="solid">
          <fgColor indexed="64"/>
          <bgColor theme="5" tint="0.39997558519241921"/>
        </patternFill>
      </fill>
      <alignment horizontal="center"/>
    </dxf>
    <dxf>
      <fill>
        <patternFill patternType="solid">
          <fgColor indexed="64"/>
          <bgColor theme="5" tint="0.39997558519241921"/>
        </patternFill>
      </fill>
      <alignment horizontal="center"/>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rgb="FF000000"/>
          <bgColor rgb="FFF1A983"/>
        </patternFill>
      </fill>
    </dxf>
    <dxf>
      <alignment horizontal="left" vertical="bottom" textRotation="0" wrapText="0" indent="0" justifyLastLine="0" shrinkToFit="0" readingOrder="0"/>
    </dxf>
    <dxf>
      <alignment horizontal="lef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21BE020-CA02-4110-A458-D1F5F9BB31CC}" name="Tabla4" displayName="Tabla4" ref="A1:P27" totalsRowShown="0">
  <autoFilter ref="A1:P27" xr:uid="{621BE020-CA02-4110-A458-D1F5F9BB31CC}">
    <filterColumn colId="14">
      <filters>
        <filter val="Matriculado"/>
      </filters>
    </filterColumn>
  </autoFilter>
  <tableColumns count="16">
    <tableColumn id="1" xr3:uid="{9D8C1485-A38A-480B-85EA-FFA5B79AB5D3}" name="NÚMERO DE IDENTIFICACIÓN" dataDxfId="47"/>
    <tableColumn id="2" xr3:uid="{1BB64C20-F323-4DEF-8AAB-0AF620453DA1}" name="CÓDIGO ESTUDIANTIL"/>
    <tableColumn id="3" xr3:uid="{9D36826A-C2DA-47FB-82E9-E583953799F6}" name="ÚLTIMO PERIODO ACADÉMICO ACTIVO" dataDxfId="46"/>
    <tableColumn id="4" xr3:uid="{312C5264-5DE1-409F-BF9A-B49C4604C6BC}" name="PLAN DE ESTUDIOS "/>
    <tableColumn id="5" xr3:uid="{B51464AC-5E42-4984-9A40-4A23BA25C2A9}" name="Nombre Completo"/>
    <tableColumn id="6" xr3:uid="{973E1537-516B-49AE-B4C7-BD8847DE062C}" name="Plan Vigente"/>
    <tableColumn id="7" xr3:uid="{D01BA167-3049-49C0-A6BE-A99DDD844E52}" name="Num Creditos"/>
    <tableColumn id="8" xr3:uid="{EE38989B-B6CE-4146-95BD-0246F7C6AAA6}" name="Num Periodos"/>
    <tableColumn id="9" xr3:uid="{94699BAF-73D7-4334-8C72-3D4A85C8675C}" name="Num Matriculas"/>
    <tableColumn id="10" xr3:uid="{106EA18E-9112-428F-92D3-719CBE9D8CC9}" name="Columna1"/>
    <tableColumn id="11" xr3:uid="{D8B47DBF-12F8-4B2F-8F84-5761C49D38A1}" name="PAGO "/>
    <tableColumn id="12" xr3:uid="{00200AAC-58D5-44A6-A55F-41C88620B4EE}" name="2026-3"/>
    <tableColumn id="13" xr3:uid="{27630F12-7F15-42ED-A4D6-6B36B07C03EE}" name="2027-1"/>
    <tableColumn id="14" xr3:uid="{16BB349E-9B83-4CD5-8B04-F450DAFFA688}" name="2027-3"/>
    <tableColumn id="15" xr3:uid="{E9C359CB-1012-47A7-8FA9-3DF63E23F555}" name="Estado"/>
    <tableColumn id="16" xr3:uid="{8F5E54E6-4F99-4120-A4BB-982DFF5DC74C}" name="Estado Ultimo Recibo"/>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8396DC0-DEA9-4378-A834-82B0F7CE01BE}" name="Aspirantes_1123" displayName="Aspirantes_1123" ref="A1:P36" dataDxfId="45">
  <autoFilter ref="A1:P36" xr:uid="{00000000-000C-0000-FFFF-FFFF0A000000}">
    <filterColumn colId="10">
      <filters>
        <filter val="SI"/>
      </filters>
    </filterColumn>
  </autoFilter>
  <tableColumns count="16">
    <tableColumn id="2" xr3:uid="{8AB1085A-D512-47E0-A381-D0B4C6960D7C}" name="NÚMERO DE IDENTIFICACIÓN" dataDxfId="44"/>
    <tableColumn id="13" xr3:uid="{A728FD3B-DDCA-4CD8-937E-B8C9542240C3}" name="CÓDIGO ESTUDIANTIL" dataDxfId="43"/>
    <tableColumn id="14" xr3:uid="{7CFC6467-8D6A-464D-AD19-C1DAC7A075B1}" name="ÚLTIMO PERIODO ACADÉMICO ACTIVO" dataDxfId="42"/>
    <tableColumn id="18" xr3:uid="{D49C7202-0FEC-488D-A58A-2188BB3802B3}" name="PLAN DE ESTUDIOS " dataDxfId="41"/>
    <tableColumn id="20" xr3:uid="{B52DFA68-D59E-42BE-B18C-CE7D1CACD0B9}" name="Nombre Completo" dataDxfId="40">
      <calculatedColumnFormula>_xlfn.CONCAT(Aspirantes_112[[#This Row],[PRIMER NOMBRE]]," ",Aspirantes_112[[#This Row],[SEGUNDO NOMBRE]]," ",Aspirantes_112[[#This Row],[PRIMER APELLIDO]]," ",Aspirantes_112[[#This Row],[SEGUNDO APELLIDO]])</calculatedColumnFormula>
    </tableColumn>
    <tableColumn id="23" xr3:uid="{8609373F-E2F5-4429-AECE-3EDF4B45ED39}" name="Plan Vigente" dataDxfId="39"/>
    <tableColumn id="24" xr3:uid="{5747E6CD-44F3-4B51-A6E3-2607256471DF}" name="Num Creditos" dataDxfId="38"/>
    <tableColumn id="25" xr3:uid="{7DAC1AA2-C210-42EB-89C4-C0359BD3D68B}" name="Num Periodos" dataDxfId="37">
      <calculatedColumnFormula>IF(ROUNDUP(Aspirantes_1123[[#This Row],[Num Creditos]]/16,0)&lt;3,3,ROUNDUP(Aspirantes_1123[[#This Row],[Num Creditos]]/16,0))</calculatedColumnFormula>
    </tableColumn>
    <tableColumn id="22" xr3:uid="{EE58FB69-90A1-4656-AE7C-CB020BAC333C}" name="Num Matriculas" dataDxfId="36">
      <calculatedColumnFormula>ROUNDUP(Aspirantes_1123[[#This Row],[Num Periodos]]*1.5,0)</calculatedColumnFormula>
    </tableColumn>
    <tableColumn id="27" xr3:uid="{3F812789-4017-4B91-BF01-D734F904B48B}" name="Columna1" dataDxfId="35"/>
    <tableColumn id="28" xr3:uid="{40F2DA3F-4576-4048-A79A-94143F7FE366}" name="PAGO " dataDxfId="34"/>
    <tableColumn id="29" xr3:uid="{D18DD5BB-438D-4B0D-BD23-17140AEBBF8A}" name="2026-3" dataDxfId="33"/>
    <tableColumn id="30" xr3:uid="{0E7E5686-0DB6-4E82-8B35-204E7C8BAF11}" name="2027-1" dataDxfId="32"/>
    <tableColumn id="31" xr3:uid="{1C867C4B-FD69-4584-AAEA-31C501C8BC52}" name="2027-3" dataDxfId="31"/>
    <tableColumn id="1" xr3:uid="{D19CD923-0FDB-46A6-A35B-53C6165EB292}" name="Estado" dataDxfId="30"/>
    <tableColumn id="3" xr3:uid="{DAAC88CA-F487-4073-914A-6E562A99F141}" name="Estado Ultimo Recibo" dataDxfId="29"/>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78A3CCB-3D81-4F99-A8D6-058B2BA89BBB}" name="Aspirantes_112" displayName="Aspirantes_112" ref="A1:AB36" dataDxfId="28">
  <autoFilter ref="A1:AB36" xr:uid="{00000000-000C-0000-FFFF-FFFF0A000000}"/>
  <tableColumns count="28">
    <tableColumn id="1" xr3:uid="{CD99091E-8A06-4FD0-B20A-29E6CF9BF40E}" name="TIPO DE IDENTIFICACIÓN" dataDxfId="27"/>
    <tableColumn id="2" xr3:uid="{0F5D4CBB-0332-4F15-A7BE-360D50FC45DB}" name="NÚMERO DE IDENTIFICACIÓN" dataDxfId="26"/>
    <tableColumn id="3" xr3:uid="{92E1149F-617B-451B-9C5C-933ED15136BA}" name="PRIMER NOMBRE" dataDxfId="25"/>
    <tableColumn id="4" xr3:uid="{F5C4FCA2-4B73-429C-A139-C09280BE795B}" name="SEGUNDO NOMBRE" dataDxfId="24"/>
    <tableColumn id="5" xr3:uid="{7DB9A92D-C6DB-4739-B508-E1B6A023A997}" name="PRIMER APELLIDO" dataDxfId="23"/>
    <tableColumn id="6" xr3:uid="{1CF7401A-ED5A-4E96-9062-6CA5FA2DF669}" name="SEGUNDO APELLIDO" dataDxfId="22"/>
    <tableColumn id="7" xr3:uid="{BF1BF5F1-E4E6-400A-AA91-CB76CE241F71}" name="NÚMERO DE CELULAR" dataDxfId="21"/>
    <tableColumn id="8" xr3:uid="{EB19819A-4FED-4237-936A-E875D9DC0529}" name="CORREO ELECTRÓNICO" dataDxfId="20"/>
    <tableColumn id="9" xr3:uid="{BB6B330F-DC43-439C-B501-7E36FF51E7F6}" name="FACULTAD SEGÚN REFERENCIA" dataDxfId="19"/>
    <tableColumn id="10" xr3:uid="{AFCED65A-0A9B-48B2-8C2B-C5E5B6E8F369}" name="FACULTAD REPORTADA" dataDxfId="18"/>
    <tableColumn id="11" xr3:uid="{E4C3C874-D11C-4317-9AF5-B43D4A8BD749}" name="NIVEL ACADÉMICO" dataDxfId="17"/>
    <tableColumn id="12" xr3:uid="{054DF514-05E4-4B9D-A574-B967CBEDB7E5}" name="PROGRAMA ACADÉMICO" dataDxfId="16"/>
    <tableColumn id="13" xr3:uid="{8A8FE9F9-13E5-4659-8EFE-00429E07A110}" name="CÓDIGO ESTUDIANTIL" dataDxfId="15"/>
    <tableColumn id="14" xr3:uid="{518411EA-8C84-402A-9A55-A952C823E6F5}" name="ÚLTIMO PERIODO ACADÉMICO ACTIVO" dataDxfId="14"/>
    <tableColumn id="15" xr3:uid="{5ED173C7-D927-420D-94C7-81DF14A08825}" name="MOTIVO DEL ABANDONO DE SUS ESTUDIOS" dataDxfId="13"/>
    <tableColumn id="16" xr3:uid="{1CB9CC08-6C82-4F58-8624-53A2569CF9CF}" name="TRABAJA ACTUALMENTE" dataDxfId="12"/>
    <tableColumn id="17" xr3:uid="{D695438C-204D-4CC2-A9E5-35FBD6068AE0}" name="SITUACIÓN" dataDxfId="11"/>
    <tableColumn id="18" xr3:uid="{37BD826F-0243-40FF-BC07-1E62176295A2}" name="PLAN DE ESTUDIOS " dataDxfId="10"/>
    <tableColumn id="19" xr3:uid="{C32C83F0-072C-484F-8E20-315D17E13D68}" name="% de avance" dataDxfId="9" dataCellStyle="Porcentaje"/>
    <tableColumn id="21" xr3:uid="{6FF563C8-E676-431E-ACD0-0B3FC33198EC}" name="TESIS I " dataDxfId="8"/>
    <tableColumn id="20" xr3:uid="{69652E77-1076-41AE-B0C5-9884F86C5C2A}" name="Nombre Completo" dataDxfId="7">
      <calculatedColumnFormula>_xlfn.CONCAT(Aspirantes_112[[#This Row],[PRIMER NOMBRE]]," ",Aspirantes_112[[#This Row],[SEGUNDO NOMBRE]]," ",Aspirantes_112[[#This Row],[PRIMER APELLIDO]]," ",Aspirantes_112[[#This Row],[SEGUNDO APELLIDO]])</calculatedColumnFormula>
    </tableColumn>
    <tableColumn id="23" xr3:uid="{69C7CB23-7DD8-4943-9BD3-B333560CCEF7}" name="Plan Vigente" dataDxfId="6">
      <calculatedColumnFormula>IF(OR(Aspirantes_112[[#This Row],[TESIS I ]]="SI",Aspirantes_112[[#This Row],[TESIS I ]]="NO APROBO"),"695-1","595-1")</calculatedColumnFormula>
    </tableColumn>
    <tableColumn id="24" xr3:uid="{0F115A1C-CB70-41A8-9EB0-EEB6EDE2C5AA}" name="Num Creditos" dataDxfId="5"/>
    <tableColumn id="25" xr3:uid="{1F5A4238-1E9D-4B50-AACC-7855A7CD454E}" name="Num Periodos" dataDxfId="4">
      <calculatedColumnFormula>IF(ROUNDUP(Aspirantes_112[[#This Row],[Num Creditos]]/16,0)&lt;3,3,ROUNDUP(Aspirantes_112[[#This Row],[Num Creditos]]/16,0))</calculatedColumnFormula>
    </tableColumn>
    <tableColumn id="22" xr3:uid="{556C9DAE-11A4-4E36-BB03-439DB75B8EAE}" name="Num Matriculas" dataDxfId="3">
      <calculatedColumnFormula>ROUNDUP(Aspirantes_112[[#This Row],[Num Periodos]]*1.5,0)</calculatedColumnFormula>
    </tableColumn>
    <tableColumn id="26" xr3:uid="{E91B85DF-F6F7-46E9-9746-D1DB0BCF4A85}" name="SNIES" dataDxfId="2">
      <calculatedColumnFormula>IF(MID(Aspirantes_112[[#This Row],[Plan Vigente]],1,3)="595","Resolución 16163 del 5 de septiembre de 2023","Resolución 9925 del 21 de junio de 2023")</calculatedColumnFormula>
    </tableColumn>
    <tableColumn id="27" xr3:uid="{D174CCEE-1C29-422D-97C2-F911F6D0D946}" name="Columna1" dataDxfId="1"/>
    <tableColumn id="28" xr3:uid="{3E967B03-7465-495F-9D19-68EC815BD61D}" name="PAGO " dataDxfId="0"/>
  </tableColumns>
  <tableStyleInfo name="TableStyleLight8"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hyperlink" Target="mailto:sebas951995@hotmail.com" TargetMode="External"/><Relationship Id="rId2" Type="http://schemas.openxmlformats.org/officeDocument/2006/relationships/hyperlink" Target="mailto:cdaza1@outlook.com" TargetMode="External"/><Relationship Id="rId1" Type="http://schemas.openxmlformats.org/officeDocument/2006/relationships/hyperlink" Target="mailto:maomolina@hotmail.com" TargetMode="External"/><Relationship Id="rId4"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2793C7-BCAB-4B89-AC6F-B2BF647353F3}">
  <dimension ref="A1:P27"/>
  <sheetViews>
    <sheetView tabSelected="1" workbookViewId="0">
      <selection activeCell="O34" sqref="O34"/>
    </sheetView>
  </sheetViews>
  <sheetFormatPr defaultColWidth="8.625" defaultRowHeight="14.25"/>
  <cols>
    <col min="1" max="1" width="30" style="32" customWidth="1"/>
    <col min="2" max="2" width="23.375" customWidth="1"/>
    <col min="3" max="3" width="10.375" style="32" hidden="1" customWidth="1"/>
    <col min="4" max="4" width="21.5" hidden="1" customWidth="1"/>
    <col min="5" max="5" width="31.5" bestFit="1" customWidth="1"/>
    <col min="6" max="6" width="13.875" hidden="1" customWidth="1"/>
    <col min="7" max="7" width="14.875" hidden="1" customWidth="1"/>
    <col min="8" max="8" width="15.25" hidden="1" customWidth="1"/>
    <col min="9" max="9" width="16.375" hidden="1" customWidth="1"/>
    <col min="10" max="10" width="46.125" hidden="1" customWidth="1"/>
    <col min="11" max="11" width="8.625" hidden="1" customWidth="1"/>
    <col min="12" max="12" width="33.75" hidden="1" customWidth="1"/>
    <col min="13" max="13" width="46" hidden="1" customWidth="1"/>
    <col min="14" max="14" width="21.125" hidden="1" customWidth="1"/>
    <col min="15" max="15" width="39.125" bestFit="1" customWidth="1"/>
    <col min="16" max="16" width="21.75" customWidth="1"/>
  </cols>
  <sheetData>
    <row r="1" spans="1:16">
      <c r="A1" s="32" t="s">
        <v>0</v>
      </c>
      <c r="B1" t="s">
        <v>1</v>
      </c>
      <c r="C1" s="32" t="s">
        <v>2</v>
      </c>
      <c r="D1" t="s">
        <v>3</v>
      </c>
      <c r="E1" t="s">
        <v>4</v>
      </c>
      <c r="F1" t="s">
        <v>5</v>
      </c>
      <c r="G1" t="s">
        <v>6</v>
      </c>
      <c r="H1" t="s">
        <v>7</v>
      </c>
      <c r="I1" t="s">
        <v>8</v>
      </c>
      <c r="J1" t="s">
        <v>9</v>
      </c>
      <c r="K1" t="s">
        <v>10</v>
      </c>
      <c r="L1" t="s">
        <v>11</v>
      </c>
      <c r="M1" t="s">
        <v>12</v>
      </c>
      <c r="N1" t="s">
        <v>13</v>
      </c>
      <c r="O1" t="s">
        <v>14</v>
      </c>
      <c r="P1" t="s">
        <v>15</v>
      </c>
    </row>
    <row r="2" spans="1:16">
      <c r="A2" s="32">
        <v>1010216119</v>
      </c>
      <c r="B2" t="s">
        <v>16</v>
      </c>
      <c r="C2" s="32" t="s">
        <v>17</v>
      </c>
      <c r="D2" t="s">
        <v>18</v>
      </c>
      <c r="E2" t="s">
        <v>19</v>
      </c>
      <c r="F2" t="s">
        <v>20</v>
      </c>
      <c r="G2">
        <v>16</v>
      </c>
      <c r="H2">
        <v>3</v>
      </c>
      <c r="I2">
        <v>5</v>
      </c>
      <c r="J2" t="s">
        <v>21</v>
      </c>
      <c r="K2" t="s">
        <v>22</v>
      </c>
      <c r="L2" t="s">
        <v>23</v>
      </c>
      <c r="M2" t="s">
        <v>24</v>
      </c>
      <c r="N2" t="s">
        <v>25</v>
      </c>
      <c r="O2" t="s">
        <v>26</v>
      </c>
      <c r="P2" t="s">
        <v>27</v>
      </c>
    </row>
    <row r="3" spans="1:16">
      <c r="A3" s="32">
        <v>1026295788</v>
      </c>
      <c r="B3" t="s">
        <v>28</v>
      </c>
      <c r="C3" s="32" t="s">
        <v>29</v>
      </c>
      <c r="D3" t="s">
        <v>18</v>
      </c>
      <c r="E3" t="s">
        <v>30</v>
      </c>
      <c r="F3" t="s">
        <v>20</v>
      </c>
      <c r="G3">
        <v>16</v>
      </c>
      <c r="H3">
        <v>3</v>
      </c>
      <c r="I3">
        <v>5</v>
      </c>
      <c r="J3" t="s">
        <v>21</v>
      </c>
      <c r="K3" t="s">
        <v>22</v>
      </c>
      <c r="L3" t="s">
        <v>23</v>
      </c>
      <c r="M3" t="s">
        <v>24</v>
      </c>
      <c r="N3" t="s">
        <v>25</v>
      </c>
      <c r="O3" t="s">
        <v>26</v>
      </c>
      <c r="P3" t="s">
        <v>27</v>
      </c>
    </row>
    <row r="4" spans="1:16">
      <c r="A4" s="32">
        <v>80817300</v>
      </c>
      <c r="B4" t="s">
        <v>31</v>
      </c>
      <c r="C4" s="32" t="s">
        <v>32</v>
      </c>
      <c r="D4" t="s">
        <v>18</v>
      </c>
      <c r="E4" t="s">
        <v>33</v>
      </c>
      <c r="F4" t="s">
        <v>20</v>
      </c>
      <c r="G4">
        <v>16</v>
      </c>
      <c r="H4">
        <v>3</v>
      </c>
      <c r="I4">
        <v>5</v>
      </c>
      <c r="J4" t="s">
        <v>21</v>
      </c>
      <c r="K4" t="s">
        <v>22</v>
      </c>
      <c r="L4" t="s">
        <v>23</v>
      </c>
      <c r="M4" t="s">
        <v>24</v>
      </c>
      <c r="N4" t="s">
        <v>25</v>
      </c>
      <c r="O4" t="s">
        <v>26</v>
      </c>
      <c r="P4" t="s">
        <v>27</v>
      </c>
    </row>
    <row r="5" spans="1:16">
      <c r="A5" s="32">
        <v>53153876</v>
      </c>
      <c r="B5" t="s">
        <v>34</v>
      </c>
      <c r="C5" s="32" t="s">
        <v>29</v>
      </c>
      <c r="D5" t="s">
        <v>18</v>
      </c>
      <c r="E5" t="s">
        <v>35</v>
      </c>
      <c r="F5" t="s">
        <v>20</v>
      </c>
      <c r="G5">
        <v>16</v>
      </c>
      <c r="H5">
        <v>3</v>
      </c>
      <c r="I5">
        <v>5</v>
      </c>
      <c r="J5" t="s">
        <v>36</v>
      </c>
      <c r="K5" t="s">
        <v>22</v>
      </c>
      <c r="L5" t="s">
        <v>23</v>
      </c>
      <c r="M5" t="s">
        <v>24</v>
      </c>
      <c r="N5" t="s">
        <v>25</v>
      </c>
      <c r="O5" t="s">
        <v>26</v>
      </c>
      <c r="P5" t="s">
        <v>37</v>
      </c>
    </row>
    <row r="6" spans="1:16">
      <c r="A6" s="32">
        <v>1022395401</v>
      </c>
      <c r="B6" t="s">
        <v>38</v>
      </c>
      <c r="C6" s="32" t="s">
        <v>39</v>
      </c>
      <c r="D6" t="s">
        <v>40</v>
      </c>
      <c r="E6" t="s">
        <v>41</v>
      </c>
      <c r="F6" t="s">
        <v>20</v>
      </c>
      <c r="G6">
        <v>20</v>
      </c>
      <c r="H6">
        <v>3</v>
      </c>
      <c r="I6">
        <v>5</v>
      </c>
      <c r="J6" t="s">
        <v>42</v>
      </c>
      <c r="K6" t="s">
        <v>43</v>
      </c>
      <c r="L6" t="s">
        <v>44</v>
      </c>
      <c r="M6" t="s">
        <v>45</v>
      </c>
      <c r="N6" t="s">
        <v>25</v>
      </c>
      <c r="O6" t="s">
        <v>26</v>
      </c>
      <c r="P6" t="s">
        <v>27</v>
      </c>
    </row>
    <row r="7" spans="1:16">
      <c r="A7" s="32">
        <v>79859667</v>
      </c>
      <c r="B7" t="s">
        <v>46</v>
      </c>
      <c r="C7" s="32" t="s">
        <v>47</v>
      </c>
      <c r="D7" t="s">
        <v>18</v>
      </c>
      <c r="E7" t="s">
        <v>48</v>
      </c>
      <c r="F7" t="s">
        <v>20</v>
      </c>
      <c r="G7">
        <v>20</v>
      </c>
      <c r="H7">
        <v>3</v>
      </c>
      <c r="I7">
        <v>5</v>
      </c>
      <c r="J7" t="s">
        <v>21</v>
      </c>
      <c r="K7" t="s">
        <v>22</v>
      </c>
      <c r="L7" t="s">
        <v>23</v>
      </c>
      <c r="M7" t="s">
        <v>49</v>
      </c>
      <c r="N7" t="s">
        <v>25</v>
      </c>
      <c r="O7" t="s">
        <v>26</v>
      </c>
      <c r="P7" t="s">
        <v>27</v>
      </c>
    </row>
    <row r="8" spans="1:16">
      <c r="A8" s="32">
        <v>1018460864</v>
      </c>
      <c r="B8" t="s">
        <v>50</v>
      </c>
      <c r="C8" s="32">
        <v>202503</v>
      </c>
      <c r="D8" t="s">
        <v>18</v>
      </c>
      <c r="E8" t="s">
        <v>51</v>
      </c>
      <c r="F8" t="s">
        <v>52</v>
      </c>
      <c r="G8">
        <v>12</v>
      </c>
      <c r="H8">
        <v>3</v>
      </c>
      <c r="I8">
        <v>5</v>
      </c>
      <c r="J8" t="s">
        <v>53</v>
      </c>
      <c r="K8" t="s">
        <v>22</v>
      </c>
      <c r="L8" t="s">
        <v>23</v>
      </c>
      <c r="O8" t="s">
        <v>26</v>
      </c>
      <c r="P8" t="s">
        <v>37</v>
      </c>
    </row>
    <row r="9" spans="1:16">
      <c r="A9" s="32" t="s">
        <v>54</v>
      </c>
      <c r="B9" t="s">
        <v>55</v>
      </c>
      <c r="C9" s="32" t="s">
        <v>56</v>
      </c>
      <c r="D9" t="s">
        <v>18</v>
      </c>
      <c r="E9" t="s">
        <v>57</v>
      </c>
      <c r="F9" t="s">
        <v>52</v>
      </c>
      <c r="G9">
        <v>12</v>
      </c>
      <c r="H9">
        <v>3</v>
      </c>
      <c r="I9">
        <v>5</v>
      </c>
      <c r="J9" t="s">
        <v>42</v>
      </c>
      <c r="K9" t="s">
        <v>43</v>
      </c>
      <c r="O9" t="s">
        <v>26</v>
      </c>
      <c r="P9" t="s">
        <v>27</v>
      </c>
    </row>
    <row r="10" spans="1:16" hidden="1">
      <c r="A10" s="32">
        <v>4999503</v>
      </c>
      <c r="B10" t="s">
        <v>58</v>
      </c>
      <c r="C10" s="32" t="s">
        <v>59</v>
      </c>
      <c r="E10" t="s">
        <v>60</v>
      </c>
      <c r="F10" t="s">
        <v>20</v>
      </c>
      <c r="G10">
        <v>16</v>
      </c>
      <c r="H10">
        <v>3</v>
      </c>
      <c r="I10">
        <v>5</v>
      </c>
      <c r="J10" t="s">
        <v>21</v>
      </c>
      <c r="K10" t="s">
        <v>43</v>
      </c>
      <c r="O10" t="s">
        <v>61</v>
      </c>
      <c r="P10" t="s">
        <v>62</v>
      </c>
    </row>
    <row r="11" spans="1:16">
      <c r="A11" s="32">
        <v>1110537094</v>
      </c>
      <c r="B11" t="s">
        <v>63</v>
      </c>
      <c r="C11" s="32" t="s">
        <v>32</v>
      </c>
      <c r="D11" t="s">
        <v>18</v>
      </c>
      <c r="E11" t="s">
        <v>64</v>
      </c>
      <c r="F11" t="s">
        <v>20</v>
      </c>
      <c r="G11">
        <v>16</v>
      </c>
      <c r="H11">
        <v>3</v>
      </c>
      <c r="I11">
        <v>5</v>
      </c>
      <c r="J11" t="s">
        <v>42</v>
      </c>
      <c r="K11" t="s">
        <v>22</v>
      </c>
      <c r="L11" t="s">
        <v>65</v>
      </c>
      <c r="M11" t="s">
        <v>24</v>
      </c>
      <c r="N11" t="s">
        <v>25</v>
      </c>
      <c r="O11" t="s">
        <v>26</v>
      </c>
      <c r="P11" t="s">
        <v>37</v>
      </c>
    </row>
    <row r="12" spans="1:16">
      <c r="A12" s="32">
        <v>79754976</v>
      </c>
      <c r="B12" t="s">
        <v>66</v>
      </c>
      <c r="C12" s="32" t="s">
        <v>67</v>
      </c>
      <c r="D12" t="s">
        <v>18</v>
      </c>
      <c r="E12" t="s">
        <v>68</v>
      </c>
      <c r="F12" t="s">
        <v>20</v>
      </c>
      <c r="G12">
        <v>20</v>
      </c>
      <c r="H12">
        <v>3</v>
      </c>
      <c r="I12">
        <v>5</v>
      </c>
      <c r="J12" t="s">
        <v>69</v>
      </c>
      <c r="K12" t="s">
        <v>22</v>
      </c>
      <c r="L12" t="s">
        <v>23</v>
      </c>
      <c r="O12" t="s">
        <v>26</v>
      </c>
      <c r="P12" t="s">
        <v>27</v>
      </c>
    </row>
    <row r="13" spans="1:16">
      <c r="A13" s="32" t="s">
        <v>70</v>
      </c>
      <c r="B13" t="s">
        <v>71</v>
      </c>
      <c r="C13" s="32" t="s">
        <v>32</v>
      </c>
      <c r="D13" t="s">
        <v>18</v>
      </c>
      <c r="E13" t="s">
        <v>72</v>
      </c>
      <c r="F13" t="s">
        <v>20</v>
      </c>
      <c r="G13">
        <v>16</v>
      </c>
      <c r="H13">
        <v>3</v>
      </c>
      <c r="I13">
        <v>5</v>
      </c>
      <c r="J13" t="s">
        <v>21</v>
      </c>
      <c r="K13" t="s">
        <v>22</v>
      </c>
      <c r="O13" t="s">
        <v>26</v>
      </c>
      <c r="P13" t="s">
        <v>37</v>
      </c>
    </row>
    <row r="14" spans="1:16" hidden="1">
      <c r="A14" s="32">
        <v>79854687</v>
      </c>
      <c r="B14" t="s">
        <v>73</v>
      </c>
      <c r="C14" s="32" t="s">
        <v>74</v>
      </c>
      <c r="D14" t="s">
        <v>40</v>
      </c>
      <c r="E14" t="s">
        <v>75</v>
      </c>
      <c r="F14" t="s">
        <v>52</v>
      </c>
      <c r="G14">
        <v>8</v>
      </c>
      <c r="H14">
        <v>2</v>
      </c>
      <c r="I14">
        <v>3</v>
      </c>
      <c r="J14" t="s">
        <v>76</v>
      </c>
      <c r="K14" t="s">
        <v>22</v>
      </c>
      <c r="L14" t="s">
        <v>23</v>
      </c>
      <c r="O14" t="s">
        <v>77</v>
      </c>
      <c r="P14" t="s">
        <v>27</v>
      </c>
    </row>
    <row r="15" spans="1:16" hidden="1">
      <c r="A15" s="32">
        <v>1015460560</v>
      </c>
      <c r="B15" t="s">
        <v>78</v>
      </c>
      <c r="C15" s="32" t="s">
        <v>79</v>
      </c>
      <c r="D15" t="s">
        <v>18</v>
      </c>
      <c r="E15" t="s">
        <v>80</v>
      </c>
      <c r="F15" t="s">
        <v>20</v>
      </c>
      <c r="G15">
        <v>16</v>
      </c>
      <c r="H15">
        <v>3</v>
      </c>
      <c r="I15">
        <v>5</v>
      </c>
      <c r="J15" t="s">
        <v>21</v>
      </c>
      <c r="K15" t="s">
        <v>43</v>
      </c>
      <c r="L15" t="s">
        <v>23</v>
      </c>
      <c r="M15" t="s">
        <v>24</v>
      </c>
      <c r="N15" t="s">
        <v>25</v>
      </c>
      <c r="O15" t="s">
        <v>77</v>
      </c>
      <c r="P15" t="s">
        <v>27</v>
      </c>
    </row>
    <row r="16" spans="1:16">
      <c r="A16" s="32" t="s">
        <v>81</v>
      </c>
      <c r="B16" t="s">
        <v>82</v>
      </c>
      <c r="C16" s="32" t="s">
        <v>83</v>
      </c>
      <c r="D16" t="s">
        <v>40</v>
      </c>
      <c r="E16" t="s">
        <v>84</v>
      </c>
      <c r="F16" t="s">
        <v>20</v>
      </c>
      <c r="G16">
        <v>16</v>
      </c>
      <c r="H16">
        <v>3</v>
      </c>
      <c r="I16">
        <v>5</v>
      </c>
      <c r="J16" t="s">
        <v>85</v>
      </c>
      <c r="K16" t="s">
        <v>43</v>
      </c>
      <c r="O16" t="s">
        <v>26</v>
      </c>
      <c r="P16" t="s">
        <v>27</v>
      </c>
    </row>
    <row r="17" spans="1:16" hidden="1">
      <c r="A17" s="32">
        <v>1026285169</v>
      </c>
      <c r="B17" t="s">
        <v>86</v>
      </c>
      <c r="C17" s="32" t="s">
        <v>87</v>
      </c>
      <c r="D17" t="s">
        <v>18</v>
      </c>
      <c r="E17" t="s">
        <v>88</v>
      </c>
      <c r="F17" t="s">
        <v>20</v>
      </c>
      <c r="G17">
        <v>16</v>
      </c>
      <c r="H17">
        <v>3</v>
      </c>
      <c r="I17">
        <v>5</v>
      </c>
      <c r="J17" t="s">
        <v>21</v>
      </c>
      <c r="K17" t="s">
        <v>22</v>
      </c>
      <c r="L17" t="s">
        <v>23</v>
      </c>
      <c r="M17" t="s">
        <v>24</v>
      </c>
      <c r="N17" t="s">
        <v>25</v>
      </c>
      <c r="O17" t="s">
        <v>77</v>
      </c>
      <c r="P17" t="s">
        <v>27</v>
      </c>
    </row>
    <row r="18" spans="1:16">
      <c r="A18" s="32">
        <v>1094161993</v>
      </c>
      <c r="B18" t="s">
        <v>89</v>
      </c>
      <c r="C18" s="32" t="s">
        <v>90</v>
      </c>
      <c r="D18" t="s">
        <v>18</v>
      </c>
      <c r="E18" t="s">
        <v>91</v>
      </c>
      <c r="F18" t="s">
        <v>20</v>
      </c>
      <c r="G18">
        <v>16</v>
      </c>
      <c r="H18">
        <v>3</v>
      </c>
      <c r="I18">
        <v>5</v>
      </c>
      <c r="J18" t="s">
        <v>21</v>
      </c>
      <c r="K18" t="s">
        <v>22</v>
      </c>
      <c r="L18" t="s">
        <v>23</v>
      </c>
      <c r="M18" t="s">
        <v>24</v>
      </c>
      <c r="N18" t="s">
        <v>25</v>
      </c>
      <c r="O18" t="s">
        <v>26</v>
      </c>
      <c r="P18" t="s">
        <v>27</v>
      </c>
    </row>
    <row r="19" spans="1:16" hidden="1">
      <c r="A19" s="32">
        <v>1033698113</v>
      </c>
      <c r="B19" t="s">
        <v>92</v>
      </c>
      <c r="C19" s="32" t="s">
        <v>74</v>
      </c>
      <c r="D19" t="s">
        <v>18</v>
      </c>
      <c r="E19" t="s">
        <v>93</v>
      </c>
      <c r="F19" t="s">
        <v>52</v>
      </c>
      <c r="G19">
        <v>16</v>
      </c>
      <c r="H19">
        <v>3</v>
      </c>
      <c r="I19">
        <v>5</v>
      </c>
      <c r="J19" t="s">
        <v>69</v>
      </c>
      <c r="K19" t="s">
        <v>22</v>
      </c>
      <c r="L19" t="s">
        <v>23</v>
      </c>
      <c r="O19" t="s">
        <v>77</v>
      </c>
      <c r="P19" t="s">
        <v>27</v>
      </c>
    </row>
    <row r="20" spans="1:16">
      <c r="A20" s="32" t="s">
        <v>94</v>
      </c>
      <c r="B20" t="s">
        <v>95</v>
      </c>
      <c r="C20" s="32" t="s">
        <v>32</v>
      </c>
      <c r="D20" t="s">
        <v>18</v>
      </c>
      <c r="E20" s="12" t="s">
        <v>96</v>
      </c>
      <c r="F20" t="s">
        <v>52</v>
      </c>
      <c r="G20">
        <v>12</v>
      </c>
      <c r="H20">
        <v>3</v>
      </c>
      <c r="I20">
        <v>5</v>
      </c>
      <c r="J20" t="s">
        <v>21</v>
      </c>
      <c r="K20" t="s">
        <v>22</v>
      </c>
      <c r="L20" t="s">
        <v>23</v>
      </c>
      <c r="M20" t="s">
        <v>97</v>
      </c>
      <c r="O20" t="s">
        <v>26</v>
      </c>
      <c r="P20" t="s">
        <v>37</v>
      </c>
    </row>
    <row r="21" spans="1:16">
      <c r="A21" s="32" t="s">
        <v>98</v>
      </c>
      <c r="B21" t="s">
        <v>99</v>
      </c>
      <c r="C21" s="32" t="s">
        <v>39</v>
      </c>
      <c r="D21" t="s">
        <v>20</v>
      </c>
      <c r="E21" s="12" t="s">
        <v>100</v>
      </c>
      <c r="F21" t="s">
        <v>20</v>
      </c>
      <c r="G21">
        <v>16</v>
      </c>
      <c r="H21">
        <v>3</v>
      </c>
      <c r="I21">
        <v>5</v>
      </c>
      <c r="J21" t="s">
        <v>101</v>
      </c>
      <c r="K21" t="s">
        <v>22</v>
      </c>
      <c r="L21" t="s">
        <v>23</v>
      </c>
      <c r="O21" t="s">
        <v>26</v>
      </c>
      <c r="P21" t="s">
        <v>27</v>
      </c>
    </row>
    <row r="22" spans="1:16">
      <c r="A22" s="32">
        <v>1032458000</v>
      </c>
      <c r="B22" t="s">
        <v>102</v>
      </c>
      <c r="C22" s="32" t="s">
        <v>103</v>
      </c>
      <c r="D22" t="s">
        <v>52</v>
      </c>
      <c r="E22" s="12" t="s">
        <v>104</v>
      </c>
      <c r="F22" t="s">
        <v>52</v>
      </c>
      <c r="G22">
        <v>8</v>
      </c>
      <c r="H22">
        <v>2</v>
      </c>
      <c r="I22">
        <v>3</v>
      </c>
      <c r="J22" t="s">
        <v>69</v>
      </c>
      <c r="K22" t="s">
        <v>43</v>
      </c>
      <c r="L22" t="s">
        <v>23</v>
      </c>
      <c r="O22" t="s">
        <v>26</v>
      </c>
      <c r="P22" t="s">
        <v>27</v>
      </c>
    </row>
    <row r="23" spans="1:16">
      <c r="A23" s="32" t="s">
        <v>105</v>
      </c>
      <c r="B23" t="s">
        <v>106</v>
      </c>
      <c r="C23" s="32" t="s">
        <v>107</v>
      </c>
      <c r="D23" t="s">
        <v>52</v>
      </c>
      <c r="E23" s="12" t="s">
        <v>108</v>
      </c>
      <c r="F23" t="s">
        <v>52</v>
      </c>
      <c r="G23">
        <v>8</v>
      </c>
      <c r="H23">
        <v>2</v>
      </c>
      <c r="I23">
        <v>3</v>
      </c>
      <c r="J23" t="s">
        <v>21</v>
      </c>
      <c r="K23" t="s">
        <v>22</v>
      </c>
      <c r="L23" t="s">
        <v>23</v>
      </c>
      <c r="M23" t="s">
        <v>109</v>
      </c>
      <c r="O23" t="s">
        <v>26</v>
      </c>
      <c r="P23" t="s">
        <v>27</v>
      </c>
    </row>
    <row r="24" spans="1:16">
      <c r="A24" s="32" t="s">
        <v>110</v>
      </c>
      <c r="B24" t="s">
        <v>111</v>
      </c>
      <c r="C24" s="32" t="s">
        <v>47</v>
      </c>
      <c r="D24" t="s">
        <v>18</v>
      </c>
      <c r="E24" t="s">
        <v>112</v>
      </c>
      <c r="F24" t="s">
        <v>52</v>
      </c>
      <c r="G24">
        <v>8</v>
      </c>
      <c r="H24">
        <v>2</v>
      </c>
      <c r="I24">
        <v>3</v>
      </c>
      <c r="J24" t="s">
        <v>113</v>
      </c>
      <c r="K24" t="s">
        <v>22</v>
      </c>
      <c r="L24" t="s">
        <v>23</v>
      </c>
      <c r="M24" t="s">
        <v>114</v>
      </c>
      <c r="O24" t="s">
        <v>26</v>
      </c>
      <c r="P24" t="s">
        <v>27</v>
      </c>
    </row>
    <row r="25" spans="1:16">
      <c r="A25" s="32" t="s">
        <v>115</v>
      </c>
      <c r="B25" t="s">
        <v>116</v>
      </c>
      <c r="C25" s="32" t="s">
        <v>32</v>
      </c>
      <c r="D25" t="s">
        <v>20</v>
      </c>
      <c r="E25" s="12" t="s">
        <v>117</v>
      </c>
      <c r="F25" t="s">
        <v>20</v>
      </c>
      <c r="G25">
        <v>16</v>
      </c>
      <c r="H25">
        <v>3</v>
      </c>
      <c r="I25">
        <v>5</v>
      </c>
      <c r="J25" t="s">
        <v>21</v>
      </c>
      <c r="K25" t="s">
        <v>22</v>
      </c>
      <c r="L25" t="s">
        <v>23</v>
      </c>
      <c r="M25" t="s">
        <v>24</v>
      </c>
      <c r="N25" t="s">
        <v>25</v>
      </c>
      <c r="O25" t="s">
        <v>26</v>
      </c>
      <c r="P25" t="s">
        <v>27</v>
      </c>
    </row>
    <row r="26" spans="1:16">
      <c r="A26" s="32" t="s">
        <v>118</v>
      </c>
      <c r="B26" t="s">
        <v>119</v>
      </c>
      <c r="C26" s="32" t="s">
        <v>120</v>
      </c>
      <c r="E26" t="s">
        <v>121</v>
      </c>
      <c r="F26" t="s">
        <v>52</v>
      </c>
      <c r="G26">
        <v>8</v>
      </c>
      <c r="H26">
        <v>2</v>
      </c>
      <c r="I26">
        <v>3</v>
      </c>
      <c r="J26" t="s">
        <v>122</v>
      </c>
      <c r="K26" t="s">
        <v>43</v>
      </c>
      <c r="O26" t="s">
        <v>26</v>
      </c>
      <c r="P26" t="s">
        <v>123</v>
      </c>
    </row>
    <row r="27" spans="1:16" hidden="1">
      <c r="A27" s="32" t="s">
        <v>124</v>
      </c>
      <c r="B27" t="s">
        <v>125</v>
      </c>
      <c r="C27" s="32" t="s">
        <v>126</v>
      </c>
      <c r="D27" t="s">
        <v>20</v>
      </c>
      <c r="E27" s="12" t="s">
        <v>127</v>
      </c>
      <c r="F27" t="s">
        <v>20</v>
      </c>
      <c r="G27">
        <v>16</v>
      </c>
      <c r="H27">
        <v>3</v>
      </c>
      <c r="I27">
        <v>5</v>
      </c>
      <c r="J27" t="s">
        <v>21</v>
      </c>
      <c r="K27" t="s">
        <v>22</v>
      </c>
      <c r="L27" t="s">
        <v>23</v>
      </c>
      <c r="M27" t="s">
        <v>24</v>
      </c>
      <c r="N27" t="s">
        <v>25</v>
      </c>
      <c r="O27" t="s">
        <v>77</v>
      </c>
      <c r="P27" t="s">
        <v>27</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BF96A3-8008-45D8-A523-AB9BCB869833}">
  <dimension ref="B1:K27"/>
  <sheetViews>
    <sheetView topLeftCell="A24" workbookViewId="0">
      <selection activeCell="C13" sqref="C13:D27"/>
    </sheetView>
  </sheetViews>
  <sheetFormatPr defaultColWidth="11" defaultRowHeight="14.25"/>
  <cols>
    <col min="3" max="3" width="13.375" bestFit="1" customWidth="1"/>
    <col min="11" max="11" width="22" customWidth="1"/>
  </cols>
  <sheetData>
    <row r="1" spans="2:11" ht="15" thickBot="1"/>
    <row r="2" spans="2:11">
      <c r="B2" s="36" t="s">
        <v>128</v>
      </c>
      <c r="C2" s="37" t="s">
        <v>11</v>
      </c>
    </row>
    <row r="3" spans="2:11" ht="15" thickBot="1">
      <c r="B3" s="33" t="s">
        <v>129</v>
      </c>
      <c r="C3" s="35">
        <v>46282.416666666664</v>
      </c>
    </row>
    <row r="4" spans="2:11" ht="102.75" thickBot="1">
      <c r="B4" s="36" t="s">
        <v>130</v>
      </c>
      <c r="C4" s="37" t="s">
        <v>131</v>
      </c>
    </row>
    <row r="5" spans="2:11" ht="64.5" thickBot="1">
      <c r="B5" s="36" t="s">
        <v>132</v>
      </c>
      <c r="C5" s="37" t="s">
        <v>133</v>
      </c>
    </row>
    <row r="6" spans="2:11">
      <c r="B6" s="36" t="s">
        <v>134</v>
      </c>
      <c r="C6" s="37" t="s">
        <v>135</v>
      </c>
    </row>
    <row r="7" spans="2:11" ht="51">
      <c r="B7" s="33" t="s">
        <v>136</v>
      </c>
      <c r="C7" s="34" t="s">
        <v>137</v>
      </c>
    </row>
    <row r="8" spans="2:11" ht="39" thickBot="1">
      <c r="B8" s="33" t="s">
        <v>138</v>
      </c>
      <c r="C8" s="34">
        <v>79367935</v>
      </c>
    </row>
    <row r="9" spans="2:11">
      <c r="B9" s="36" t="s">
        <v>134</v>
      </c>
      <c r="C9" s="37" t="s">
        <v>135</v>
      </c>
    </row>
    <row r="10" spans="2:11" ht="51">
      <c r="B10" s="33" t="s">
        <v>136</v>
      </c>
      <c r="C10" s="34" t="s">
        <v>137</v>
      </c>
    </row>
    <row r="11" spans="2:11" ht="38.25">
      <c r="B11" s="33" t="s">
        <v>138</v>
      </c>
      <c r="C11" s="34">
        <v>79367935</v>
      </c>
    </row>
    <row r="12" spans="2:11" ht="39" thickBot="1">
      <c r="B12" s="38" t="s">
        <v>139</v>
      </c>
      <c r="C12" s="39" t="s">
        <v>140</v>
      </c>
      <c r="D12" s="39" t="s">
        <v>141</v>
      </c>
      <c r="E12" s="39" t="s">
        <v>142</v>
      </c>
      <c r="F12" s="40" t="s">
        <v>143</v>
      </c>
      <c r="G12" s="39" t="s">
        <v>144</v>
      </c>
      <c r="H12" s="39" t="s">
        <v>145</v>
      </c>
      <c r="I12" s="39" t="s">
        <v>146</v>
      </c>
      <c r="J12" s="39" t="s">
        <v>147</v>
      </c>
      <c r="K12" s="39" t="s">
        <v>148</v>
      </c>
    </row>
    <row r="13" spans="2:11" ht="102">
      <c r="B13" s="41">
        <v>1</v>
      </c>
      <c r="C13" s="42">
        <v>20102195004</v>
      </c>
      <c r="D13" s="42" t="s">
        <v>149</v>
      </c>
      <c r="E13" s="42">
        <v>80926416</v>
      </c>
      <c r="F13" s="43" t="s">
        <v>150</v>
      </c>
      <c r="G13" s="42" t="s">
        <v>151</v>
      </c>
      <c r="H13" s="42" t="s">
        <v>152</v>
      </c>
      <c r="I13" s="42">
        <v>195</v>
      </c>
      <c r="J13" s="42" t="s">
        <v>153</v>
      </c>
      <c r="K13" s="42" t="s">
        <v>154</v>
      </c>
    </row>
    <row r="14" spans="2:11" ht="114.75">
      <c r="B14" s="44">
        <v>2</v>
      </c>
      <c r="C14" s="45">
        <v>20172495006</v>
      </c>
      <c r="D14" s="45" t="s">
        <v>155</v>
      </c>
      <c r="E14" s="45">
        <v>91478822</v>
      </c>
      <c r="F14" s="46" t="s">
        <v>150</v>
      </c>
      <c r="G14" s="45" t="s">
        <v>156</v>
      </c>
      <c r="H14" s="45" t="s">
        <v>157</v>
      </c>
      <c r="I14" s="45">
        <v>495</v>
      </c>
      <c r="J14" s="45" t="s">
        <v>158</v>
      </c>
      <c r="K14" s="45" t="s">
        <v>154</v>
      </c>
    </row>
    <row r="15" spans="2:11" ht="114.75">
      <c r="B15" s="41">
        <v>3</v>
      </c>
      <c r="C15" s="42">
        <v>20181495001</v>
      </c>
      <c r="D15" s="42" t="s">
        <v>159</v>
      </c>
      <c r="E15" s="42">
        <v>53153876</v>
      </c>
      <c r="F15" s="43" t="s">
        <v>150</v>
      </c>
      <c r="G15" s="42" t="s">
        <v>160</v>
      </c>
      <c r="H15" s="42" t="s">
        <v>161</v>
      </c>
      <c r="I15" s="42">
        <v>495</v>
      </c>
      <c r="J15" s="42" t="s">
        <v>158</v>
      </c>
      <c r="K15" s="42" t="s">
        <v>154</v>
      </c>
    </row>
    <row r="16" spans="2:11" ht="114.75">
      <c r="B16" s="44">
        <v>4</v>
      </c>
      <c r="C16" s="45">
        <v>20182495004</v>
      </c>
      <c r="D16" s="45" t="s">
        <v>162</v>
      </c>
      <c r="E16" s="45">
        <v>1110537094</v>
      </c>
      <c r="F16" s="46" t="s">
        <v>150</v>
      </c>
      <c r="G16" s="45" t="s">
        <v>163</v>
      </c>
      <c r="H16" s="45" t="s">
        <v>164</v>
      </c>
      <c r="I16" s="45">
        <v>495</v>
      </c>
      <c r="J16" s="45" t="s">
        <v>158</v>
      </c>
      <c r="K16" s="45" t="s">
        <v>154</v>
      </c>
    </row>
    <row r="17" spans="2:11" ht="114.75">
      <c r="B17" s="41">
        <v>5</v>
      </c>
      <c r="C17" s="42">
        <v>20182495007</v>
      </c>
      <c r="D17" s="42" t="s">
        <v>165</v>
      </c>
      <c r="E17" s="42">
        <v>1094161993</v>
      </c>
      <c r="F17" s="43" t="s">
        <v>150</v>
      </c>
      <c r="G17" s="42" t="s">
        <v>166</v>
      </c>
      <c r="H17" s="42" t="s">
        <v>167</v>
      </c>
      <c r="I17" s="42">
        <v>495</v>
      </c>
      <c r="J17" s="42" t="s">
        <v>158</v>
      </c>
      <c r="K17" s="42" t="s">
        <v>154</v>
      </c>
    </row>
    <row r="18" spans="2:11" ht="114.75">
      <c r="B18" s="44">
        <v>6</v>
      </c>
      <c r="C18" s="45">
        <v>20191495003</v>
      </c>
      <c r="D18" s="45" t="s">
        <v>168</v>
      </c>
      <c r="E18" s="45">
        <v>1026295788</v>
      </c>
      <c r="F18" s="46" t="s">
        <v>150</v>
      </c>
      <c r="G18" s="45" t="s">
        <v>169</v>
      </c>
      <c r="H18" s="45" t="s">
        <v>170</v>
      </c>
      <c r="I18" s="45">
        <v>495</v>
      </c>
      <c r="J18" s="45" t="s">
        <v>158</v>
      </c>
      <c r="K18" s="45" t="s">
        <v>154</v>
      </c>
    </row>
    <row r="19" spans="2:11" ht="114.75">
      <c r="B19" s="41">
        <v>7</v>
      </c>
      <c r="C19" s="42">
        <v>20191495007</v>
      </c>
      <c r="D19" s="42" t="s">
        <v>171</v>
      </c>
      <c r="E19" s="42">
        <v>80817300</v>
      </c>
      <c r="F19" s="43" t="s">
        <v>150</v>
      </c>
      <c r="G19" s="42" t="s">
        <v>172</v>
      </c>
      <c r="H19" s="42" t="s">
        <v>173</v>
      </c>
      <c r="I19" s="42">
        <v>495</v>
      </c>
      <c r="J19" s="42" t="s">
        <v>158</v>
      </c>
      <c r="K19" s="42" t="s">
        <v>154</v>
      </c>
    </row>
    <row r="20" spans="2:11" ht="114.75">
      <c r="B20" s="44">
        <v>8</v>
      </c>
      <c r="C20" s="45">
        <v>20191495018</v>
      </c>
      <c r="D20" s="45" t="s">
        <v>174</v>
      </c>
      <c r="E20" s="45">
        <v>1098675575</v>
      </c>
      <c r="F20" s="46" t="s">
        <v>150</v>
      </c>
      <c r="G20" s="45" t="s">
        <v>175</v>
      </c>
      <c r="H20" s="45" t="s">
        <v>176</v>
      </c>
      <c r="I20" s="45">
        <v>495</v>
      </c>
      <c r="J20" s="45" t="s">
        <v>158</v>
      </c>
      <c r="K20" s="45" t="s">
        <v>154</v>
      </c>
    </row>
    <row r="21" spans="2:11" ht="114.75">
      <c r="B21" s="41">
        <v>9</v>
      </c>
      <c r="C21" s="42">
        <v>20192395007</v>
      </c>
      <c r="D21" s="42" t="s">
        <v>177</v>
      </c>
      <c r="E21" s="42">
        <v>1022395401</v>
      </c>
      <c r="F21" s="43" t="s">
        <v>150</v>
      </c>
      <c r="G21" s="42" t="s">
        <v>178</v>
      </c>
      <c r="H21" s="42" t="s">
        <v>179</v>
      </c>
      <c r="I21" s="42">
        <v>395</v>
      </c>
      <c r="J21" s="42" t="s">
        <v>180</v>
      </c>
      <c r="K21" s="42" t="s">
        <v>154</v>
      </c>
    </row>
    <row r="22" spans="2:11" ht="114.75">
      <c r="B22" s="44">
        <v>10</v>
      </c>
      <c r="C22" s="45">
        <v>20192395008</v>
      </c>
      <c r="D22" s="45" t="s">
        <v>181</v>
      </c>
      <c r="E22" s="45">
        <v>1023923782</v>
      </c>
      <c r="F22" s="46" t="s">
        <v>150</v>
      </c>
      <c r="G22" s="45" t="s">
        <v>182</v>
      </c>
      <c r="H22" s="45" t="s">
        <v>183</v>
      </c>
      <c r="I22" s="45">
        <v>395</v>
      </c>
      <c r="J22" s="45" t="s">
        <v>180</v>
      </c>
      <c r="K22" s="45" t="s">
        <v>154</v>
      </c>
    </row>
    <row r="23" spans="2:11" ht="114.75">
      <c r="B23" s="41">
        <v>11</v>
      </c>
      <c r="C23" s="42">
        <v>20192495005</v>
      </c>
      <c r="D23" s="42" t="s">
        <v>184</v>
      </c>
      <c r="E23" s="42">
        <v>1018460864</v>
      </c>
      <c r="F23" s="43" t="s">
        <v>150</v>
      </c>
      <c r="G23" s="42" t="s">
        <v>185</v>
      </c>
      <c r="H23" s="42" t="s">
        <v>186</v>
      </c>
      <c r="I23" s="42">
        <v>495</v>
      </c>
      <c r="J23" s="42" t="s">
        <v>158</v>
      </c>
      <c r="K23" s="42" t="s">
        <v>154</v>
      </c>
    </row>
    <row r="24" spans="2:11" ht="114.75">
      <c r="B24" s="44">
        <v>12</v>
      </c>
      <c r="C24" s="45">
        <v>20201495005</v>
      </c>
      <c r="D24" s="45" t="s">
        <v>187</v>
      </c>
      <c r="E24" s="45">
        <v>1010216119</v>
      </c>
      <c r="F24" s="46" t="s">
        <v>150</v>
      </c>
      <c r="G24" s="45" t="s">
        <v>188</v>
      </c>
      <c r="H24" s="45" t="s">
        <v>189</v>
      </c>
      <c r="I24" s="45">
        <v>495</v>
      </c>
      <c r="J24" s="45" t="s">
        <v>158</v>
      </c>
      <c r="K24" s="45" t="s">
        <v>154</v>
      </c>
    </row>
    <row r="25" spans="2:11" ht="114.75">
      <c r="B25" s="41">
        <v>13</v>
      </c>
      <c r="C25" s="42">
        <v>20202495010</v>
      </c>
      <c r="D25" s="42" t="s">
        <v>190</v>
      </c>
      <c r="E25" s="42">
        <v>79859667</v>
      </c>
      <c r="F25" s="43" t="s">
        <v>150</v>
      </c>
      <c r="G25" s="42" t="s">
        <v>191</v>
      </c>
      <c r="H25" s="42" t="s">
        <v>192</v>
      </c>
      <c r="I25" s="42">
        <v>495</v>
      </c>
      <c r="J25" s="42" t="s">
        <v>158</v>
      </c>
      <c r="K25" s="42" t="s">
        <v>154</v>
      </c>
    </row>
    <row r="26" spans="2:11" ht="114.75">
      <c r="B26" s="44">
        <v>14</v>
      </c>
      <c r="C26" s="45">
        <v>20202495021</v>
      </c>
      <c r="D26" s="45" t="s">
        <v>193</v>
      </c>
      <c r="E26" s="45">
        <v>79754976</v>
      </c>
      <c r="F26" s="46" t="s">
        <v>150</v>
      </c>
      <c r="G26" s="45" t="s">
        <v>194</v>
      </c>
      <c r="H26" s="45" t="s">
        <v>195</v>
      </c>
      <c r="I26" s="45">
        <v>495</v>
      </c>
      <c r="J26" s="45" t="s">
        <v>158</v>
      </c>
      <c r="K26" s="45" t="s">
        <v>154</v>
      </c>
    </row>
    <row r="27" spans="2:11" ht="114.75">
      <c r="B27" s="41">
        <v>15</v>
      </c>
      <c r="C27" s="42">
        <v>20211495015</v>
      </c>
      <c r="D27" s="42" t="s">
        <v>196</v>
      </c>
      <c r="E27" s="42">
        <v>80188625</v>
      </c>
      <c r="F27" s="43" t="s">
        <v>150</v>
      </c>
      <c r="G27" s="42" t="s">
        <v>197</v>
      </c>
      <c r="H27" s="42" t="s">
        <v>198</v>
      </c>
      <c r="I27" s="42">
        <v>495</v>
      </c>
      <c r="J27" s="42" t="s">
        <v>158</v>
      </c>
      <c r="K27" s="42" t="s">
        <v>154</v>
      </c>
    </row>
  </sheetData>
  <pageMargins left="0.7" right="0.7" top="0.75" bottom="0.75" header="0.3" footer="0.3"/>
  <pageSetup paperSize="9" orientation="portrait" horizontalDpi="4294967295" verticalDpi="4294967295"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FAAF6-5261-497B-A1CE-36E20C41AF9E}">
  <dimension ref="A1:P36"/>
  <sheetViews>
    <sheetView workbookViewId="0">
      <selection activeCell="A10" sqref="A10"/>
    </sheetView>
  </sheetViews>
  <sheetFormatPr defaultColWidth="8.625" defaultRowHeight="14.25"/>
  <cols>
    <col min="1" max="1" width="11" customWidth="1"/>
    <col min="2" max="2" width="20" customWidth="1"/>
    <col min="3" max="3" width="29.125" customWidth="1"/>
    <col min="4" max="4" width="5.75" style="4" customWidth="1"/>
    <col min="5" max="5" width="33.125" customWidth="1"/>
    <col min="6" max="6" width="12" customWidth="1"/>
    <col min="7" max="7" width="13" customWidth="1"/>
    <col min="8" max="8" width="14.5" customWidth="1"/>
    <col min="9" max="9" width="13.375" customWidth="1"/>
    <col min="10" max="10" width="45.375" customWidth="1"/>
    <col min="12" max="12" width="22.5" customWidth="1"/>
    <col min="13" max="13" width="24.125" bestFit="1" customWidth="1"/>
    <col min="14" max="14" width="22.375" customWidth="1"/>
    <col min="15" max="15" width="40.375" bestFit="1" customWidth="1"/>
    <col min="16" max="16" width="20.125" bestFit="1" customWidth="1"/>
  </cols>
  <sheetData>
    <row r="1" spans="1:16" ht="25.35" customHeight="1">
      <c r="A1" s="1" t="s">
        <v>0</v>
      </c>
      <c r="B1" s="1" t="s">
        <v>1</v>
      </c>
      <c r="C1" s="2" t="s">
        <v>2</v>
      </c>
      <c r="D1" s="4" t="s">
        <v>3</v>
      </c>
      <c r="E1" t="s">
        <v>4</v>
      </c>
      <c r="F1" t="s">
        <v>5</v>
      </c>
      <c r="G1" t="s">
        <v>6</v>
      </c>
      <c r="H1" t="s">
        <v>7</v>
      </c>
      <c r="I1" t="s">
        <v>8</v>
      </c>
      <c r="J1" t="s">
        <v>9</v>
      </c>
      <c r="K1" t="s">
        <v>10</v>
      </c>
      <c r="L1" t="s">
        <v>11</v>
      </c>
      <c r="M1" t="s">
        <v>12</v>
      </c>
      <c r="N1" t="s">
        <v>13</v>
      </c>
      <c r="O1" t="s">
        <v>14</v>
      </c>
      <c r="P1" t="s">
        <v>15</v>
      </c>
    </row>
    <row r="2" spans="1:16" s="10" customFormat="1" ht="28.5" hidden="1" customHeight="1">
      <c r="A2" s="6" t="s">
        <v>199</v>
      </c>
      <c r="B2" s="6" t="s">
        <v>200</v>
      </c>
      <c r="C2" s="7" t="s">
        <v>90</v>
      </c>
      <c r="D2" s="9" t="s">
        <v>201</v>
      </c>
      <c r="E2" s="9" t="str">
        <f>_xlfn.CONCAT(Aspirantes_112[[#This Row],[PRIMER NOMBRE]]," ",Aspirantes_112[[#This Row],[SEGUNDO NOMBRE]]," ",Aspirantes_112[[#This Row],[PRIMER APELLIDO]]," ",Aspirantes_112[[#This Row],[SEGUNDO APELLIDO]])</f>
        <v>Adrian Alejandro Gonzalez Rodriguez</v>
      </c>
      <c r="F2" s="9" t="s">
        <v>20</v>
      </c>
      <c r="G2" s="9">
        <v>16</v>
      </c>
      <c r="H2" s="9">
        <v>3</v>
      </c>
      <c r="I2" s="9">
        <f>ROUNDUP(Aspirantes_1123[[#This Row],[Num Periodos]]*1.5,0)</f>
        <v>5</v>
      </c>
      <c r="J2" s="24" t="s">
        <v>202</v>
      </c>
      <c r="K2" s="24"/>
      <c r="L2" s="24"/>
      <c r="M2" s="24"/>
      <c r="N2" s="24"/>
      <c r="O2" s="24" t="s">
        <v>25</v>
      </c>
      <c r="P2" s="24" t="s">
        <v>25</v>
      </c>
    </row>
    <row r="3" spans="1:16" s="10" customFormat="1" ht="21.4" customHeight="1">
      <c r="A3" s="6">
        <v>1010216119</v>
      </c>
      <c r="B3" s="29" t="s">
        <v>16</v>
      </c>
      <c r="C3" s="7" t="s">
        <v>17</v>
      </c>
      <c r="D3" s="9" t="s">
        <v>18</v>
      </c>
      <c r="E3" s="9" t="str">
        <f>_xlfn.CONCAT(Aspirantes_112[[#This Row],[PRIMER NOMBRE]]," ",Aspirantes_112[[#This Row],[SEGUNDO NOMBRE]]," ",Aspirantes_112[[#This Row],[PRIMER APELLIDO]]," ",Aspirantes_112[[#This Row],[SEGUNDO APELLIDO]])</f>
        <v>David Guillermo Galvis Espitia</v>
      </c>
      <c r="F3" s="9" t="s">
        <v>20</v>
      </c>
      <c r="G3" s="9">
        <v>16</v>
      </c>
      <c r="H3" s="9">
        <f>IF(ROUNDUP(Aspirantes_1123[[#This Row],[Num Creditos]]/16,0)&lt;3,3,ROUNDUP(Aspirantes_1123[[#This Row],[Num Creditos]]/16,0))</f>
        <v>3</v>
      </c>
      <c r="I3" s="9">
        <f>ROUNDUP(Aspirantes_1123[[#This Row],[Num Periodos]]*1.5,0)</f>
        <v>5</v>
      </c>
      <c r="J3" s="24" t="s">
        <v>21</v>
      </c>
      <c r="K3" s="24" t="s">
        <v>22</v>
      </c>
      <c r="L3" s="24" t="s">
        <v>23</v>
      </c>
      <c r="M3" s="24" t="s">
        <v>24</v>
      </c>
      <c r="N3" s="24" t="s">
        <v>25</v>
      </c>
      <c r="O3" s="24" t="s">
        <v>26</v>
      </c>
      <c r="P3" s="24" t="s">
        <v>27</v>
      </c>
    </row>
    <row r="4" spans="1:16" s="10" customFormat="1" ht="21.4" hidden="1" customHeight="1">
      <c r="A4" s="6">
        <v>7545588</v>
      </c>
      <c r="B4" s="6" t="s">
        <v>203</v>
      </c>
      <c r="C4" s="7" t="s">
        <v>90</v>
      </c>
      <c r="D4" s="9"/>
      <c r="E4" s="9" t="str">
        <f>_xlfn.CONCAT(Aspirantes_112[[#This Row],[PRIMER NOMBRE]]," ",Aspirantes_112[[#This Row],[SEGUNDO NOMBRE]]," ",Aspirantes_112[[#This Row],[PRIMER APELLIDO]]," ",Aspirantes_112[[#This Row],[SEGUNDO APELLIDO]])</f>
        <v>Jorge  Rodríguez Rengifo</v>
      </c>
      <c r="F4" s="9" t="s">
        <v>52</v>
      </c>
      <c r="G4" s="9">
        <v>8</v>
      </c>
      <c r="H4" s="9">
        <v>2</v>
      </c>
      <c r="I4" s="9">
        <f>ROUNDUP(Aspirantes_1123[[#This Row],[Num Periodos]]*1.5,0)</f>
        <v>3</v>
      </c>
      <c r="J4" s="24" t="s">
        <v>204</v>
      </c>
      <c r="K4" s="24"/>
      <c r="L4" s="24"/>
      <c r="M4" s="24"/>
      <c r="N4" s="24"/>
      <c r="O4" s="24" t="s">
        <v>25</v>
      </c>
      <c r="P4" s="24" t="s">
        <v>25</v>
      </c>
    </row>
    <row r="5" spans="1:16" s="10" customFormat="1" ht="21.4" customHeight="1">
      <c r="A5" s="6">
        <v>1026295788</v>
      </c>
      <c r="B5" s="29" t="s">
        <v>28</v>
      </c>
      <c r="C5" s="7" t="s">
        <v>29</v>
      </c>
      <c r="D5" s="9" t="s">
        <v>18</v>
      </c>
      <c r="E5" s="9" t="str">
        <f>_xlfn.CONCAT(Aspirantes_112[[#This Row],[PRIMER NOMBRE]]," ",Aspirantes_112[[#This Row],[SEGUNDO NOMBRE]]," ",Aspirantes_112[[#This Row],[PRIMER APELLIDO]]," ",Aspirantes_112[[#This Row],[SEGUNDO APELLIDO]])</f>
        <v>Jose Augusto Carvajal Torres</v>
      </c>
      <c r="F5" s="9" t="s">
        <v>20</v>
      </c>
      <c r="G5" s="9">
        <v>16</v>
      </c>
      <c r="H5" s="9">
        <f>IF(ROUNDUP(Aspirantes_1123[[#This Row],[Num Creditos]]/16,0)&lt;3,3,ROUNDUP(Aspirantes_1123[[#This Row],[Num Creditos]]/16,0))</f>
        <v>3</v>
      </c>
      <c r="I5" s="9">
        <f>ROUNDUP(Aspirantes_1123[[#This Row],[Num Periodos]]*1.5,0)</f>
        <v>5</v>
      </c>
      <c r="J5" s="24" t="s">
        <v>21</v>
      </c>
      <c r="K5" s="24" t="s">
        <v>22</v>
      </c>
      <c r="L5" s="24" t="s">
        <v>23</v>
      </c>
      <c r="M5" s="24" t="s">
        <v>24</v>
      </c>
      <c r="N5" s="24" t="s">
        <v>25</v>
      </c>
      <c r="O5" s="24" t="s">
        <v>26</v>
      </c>
      <c r="P5" s="24" t="s">
        <v>27</v>
      </c>
    </row>
    <row r="6" spans="1:16" s="10" customFormat="1" ht="21.4" customHeight="1">
      <c r="A6" s="6">
        <v>80817300</v>
      </c>
      <c r="B6" s="29" t="s">
        <v>31</v>
      </c>
      <c r="C6" s="7" t="s">
        <v>32</v>
      </c>
      <c r="D6" s="9" t="s">
        <v>18</v>
      </c>
      <c r="E6" s="9" t="str">
        <f>_xlfn.CONCAT(Aspirantes_112[[#This Row],[PRIMER NOMBRE]]," ",Aspirantes_112[[#This Row],[SEGUNDO NOMBRE]]," ",Aspirantes_112[[#This Row],[PRIMER APELLIDO]]," ",Aspirantes_112[[#This Row],[SEGUNDO APELLIDO]])</f>
        <v>Julian Orlando Cuellar Mayorga</v>
      </c>
      <c r="F6" s="9" t="s">
        <v>20</v>
      </c>
      <c r="G6" s="9">
        <v>16</v>
      </c>
      <c r="H6" s="9">
        <f>IF(ROUNDUP(Aspirantes_1123[[#This Row],[Num Creditos]]/16,0)&lt;3,3,ROUNDUP(Aspirantes_1123[[#This Row],[Num Creditos]]/16,0))</f>
        <v>3</v>
      </c>
      <c r="I6" s="9">
        <f>ROUNDUP(Aspirantes_1123[[#This Row],[Num Periodos]]*1.5,0)</f>
        <v>5</v>
      </c>
      <c r="J6" s="24" t="s">
        <v>21</v>
      </c>
      <c r="K6" s="24" t="s">
        <v>22</v>
      </c>
      <c r="L6" s="24" t="s">
        <v>23</v>
      </c>
      <c r="M6" s="24" t="s">
        <v>24</v>
      </c>
      <c r="N6" s="24" t="s">
        <v>25</v>
      </c>
      <c r="O6" s="24" t="s">
        <v>26</v>
      </c>
      <c r="P6" s="24" t="s">
        <v>27</v>
      </c>
    </row>
    <row r="7" spans="1:16" s="10" customFormat="1" ht="21.4" hidden="1" customHeight="1">
      <c r="A7" s="6">
        <v>1015471512</v>
      </c>
      <c r="B7" s="6" t="s">
        <v>205</v>
      </c>
      <c r="C7" s="7" t="s">
        <v>29</v>
      </c>
      <c r="D7" s="9" t="s">
        <v>206</v>
      </c>
      <c r="E7" s="9" t="str">
        <f>_xlfn.CONCAT(Aspirantes_112[[#This Row],[PRIMER NOMBRE]]," ",Aspirantes_112[[#This Row],[SEGUNDO NOMBRE]]," ",Aspirantes_112[[#This Row],[PRIMER APELLIDO]]," ",Aspirantes_112[[#This Row],[SEGUNDO APELLIDO]])</f>
        <v>MARIA FERNANDA MARTINEZ GARZON</v>
      </c>
      <c r="F7" s="9" t="s">
        <v>20</v>
      </c>
      <c r="G7" s="9">
        <v>20</v>
      </c>
      <c r="H7" s="9">
        <f>IF(ROUNDUP(Aspirantes_1123[[#This Row],[Num Creditos]]/16,0)&lt;3,3,ROUNDUP(Aspirantes_1123[[#This Row],[Num Creditos]]/16,0))</f>
        <v>3</v>
      </c>
      <c r="I7" s="9">
        <f>ROUNDUP(Aspirantes_1123[[#This Row],[Num Periodos]]*1.5,0)</f>
        <v>5</v>
      </c>
      <c r="J7" s="24" t="s">
        <v>101</v>
      </c>
      <c r="K7" s="24"/>
      <c r="L7" s="24"/>
      <c r="M7" s="24"/>
      <c r="N7" s="24"/>
      <c r="O7" s="24" t="s">
        <v>25</v>
      </c>
      <c r="P7" s="24" t="s">
        <v>25</v>
      </c>
    </row>
    <row r="8" spans="1:16" s="10" customFormat="1" ht="21.4" customHeight="1">
      <c r="A8" s="6">
        <v>53153876</v>
      </c>
      <c r="B8" s="30" t="s">
        <v>34</v>
      </c>
      <c r="C8" s="7" t="s">
        <v>29</v>
      </c>
      <c r="D8" s="9" t="s">
        <v>18</v>
      </c>
      <c r="E8" s="9" t="str">
        <f>_xlfn.CONCAT(Aspirantes_112[[#This Row],[PRIMER NOMBRE]]," ",Aspirantes_112[[#This Row],[SEGUNDO NOMBRE]]," ",Aspirantes_112[[#This Row],[PRIMER APELLIDO]]," ",Aspirantes_112[[#This Row],[SEGUNDO APELLIDO]])</f>
        <v>Lady Mayerly Baron Jerez</v>
      </c>
      <c r="F8" s="9" t="s">
        <v>20</v>
      </c>
      <c r="G8" s="9">
        <v>16</v>
      </c>
      <c r="H8" s="9">
        <f>IF(ROUNDUP(Aspirantes_1123[[#This Row],[Num Creditos]]/16,0)&lt;3,3,ROUNDUP(Aspirantes_1123[[#This Row],[Num Creditos]]/16,0))</f>
        <v>3</v>
      </c>
      <c r="I8" s="9">
        <f>ROUNDUP(Aspirantes_1123[[#This Row],[Num Periodos]]*1.5,0)</f>
        <v>5</v>
      </c>
      <c r="J8" s="27" t="s">
        <v>36</v>
      </c>
      <c r="K8" s="27" t="s">
        <v>22</v>
      </c>
      <c r="L8" s="24" t="s">
        <v>23</v>
      </c>
      <c r="M8" s="24" t="s">
        <v>24</v>
      </c>
      <c r="N8" s="24" t="s">
        <v>25</v>
      </c>
      <c r="O8" s="24" t="s">
        <v>26</v>
      </c>
      <c r="P8" s="24" t="s">
        <v>37</v>
      </c>
    </row>
    <row r="9" spans="1:16" ht="21.4" hidden="1" customHeight="1">
      <c r="A9" s="6">
        <v>79532330</v>
      </c>
      <c r="B9" s="6" t="s">
        <v>207</v>
      </c>
      <c r="C9" s="7" t="s">
        <v>32</v>
      </c>
      <c r="D9" s="9" t="s">
        <v>208</v>
      </c>
      <c r="E9" s="9" t="str">
        <f>_xlfn.CONCAT(Aspirantes_112[[#This Row],[PRIMER NOMBRE]]," ",Aspirantes_112[[#This Row],[SEGUNDO NOMBRE]]," ",Aspirantes_112[[#This Row],[PRIMER APELLIDO]]," ",Aspirantes_112[[#This Row],[SEGUNDO APELLIDO]])</f>
        <v>Yuber Alfredo Castro Quiroga</v>
      </c>
      <c r="F9" s="9" t="s">
        <v>52</v>
      </c>
      <c r="G9" s="9">
        <v>8</v>
      </c>
      <c r="H9" s="9">
        <v>2</v>
      </c>
      <c r="I9" s="9">
        <f>ROUNDUP(Aspirantes_1123[[#This Row],[Num Periodos]]*1.5,0)</f>
        <v>3</v>
      </c>
      <c r="J9" s="24" t="s">
        <v>69</v>
      </c>
      <c r="K9" s="24"/>
      <c r="L9" s="24"/>
      <c r="M9" s="24"/>
      <c r="N9" s="24"/>
      <c r="O9" s="24"/>
      <c r="P9" s="24"/>
    </row>
    <row r="10" spans="1:16" s="10" customFormat="1" ht="37.5" customHeight="1">
      <c r="A10" s="6">
        <v>1022395401</v>
      </c>
      <c r="B10" s="29" t="s">
        <v>38</v>
      </c>
      <c r="C10" s="7" t="s">
        <v>39</v>
      </c>
      <c r="D10" s="9" t="s">
        <v>40</v>
      </c>
      <c r="E10" s="9" t="str">
        <f>_xlfn.CONCAT(Aspirantes_112[[#This Row],[PRIMER NOMBRE]]," ",Aspirantes_112[[#This Row],[SEGUNDO NOMBRE]]," ",Aspirantes_112[[#This Row],[PRIMER APELLIDO]]," ",Aspirantes_112[[#This Row],[SEGUNDO APELLIDO]])</f>
        <v>Diego Alejandro Malagón Márquez</v>
      </c>
      <c r="F10" s="9" t="s">
        <v>20</v>
      </c>
      <c r="G10" s="9">
        <v>20</v>
      </c>
      <c r="H10" s="9">
        <f>IF(ROUNDUP(Aspirantes_1123[[#This Row],[Num Creditos]]/16,0)&lt;3,3,ROUNDUP(Aspirantes_1123[[#This Row],[Num Creditos]]/16,0))</f>
        <v>3</v>
      </c>
      <c r="I10" s="9">
        <f>ROUNDUP(Aspirantes_1123[[#This Row],[Num Periodos]]*1.5,0)</f>
        <v>5</v>
      </c>
      <c r="J10" s="24" t="s">
        <v>42</v>
      </c>
      <c r="K10" s="24" t="s">
        <v>43</v>
      </c>
      <c r="L10" s="26" t="s">
        <v>44</v>
      </c>
      <c r="M10" s="26" t="s">
        <v>45</v>
      </c>
      <c r="N10" s="24" t="s">
        <v>25</v>
      </c>
      <c r="O10" s="24" t="s">
        <v>26</v>
      </c>
      <c r="P10" s="24" t="s">
        <v>27</v>
      </c>
    </row>
    <row r="11" spans="1:16" s="10" customFormat="1" ht="31.5" customHeight="1">
      <c r="A11" s="6">
        <v>79859667</v>
      </c>
      <c r="B11" s="30" t="s">
        <v>46</v>
      </c>
      <c r="C11" s="7" t="s">
        <v>47</v>
      </c>
      <c r="D11" s="9" t="s">
        <v>18</v>
      </c>
      <c r="E11" s="9" t="str">
        <f>_xlfn.CONCAT(Aspirantes_112[[#This Row],[PRIMER NOMBRE]]," ",Aspirantes_112[[#This Row],[SEGUNDO NOMBRE]]," ",Aspirantes_112[[#This Row],[PRIMER APELLIDO]]," ",Aspirantes_112[[#This Row],[SEGUNDO APELLIDO]])</f>
        <v>MAURICIO  GONZALEZ BUITRAGO</v>
      </c>
      <c r="F11" s="9" t="s">
        <v>20</v>
      </c>
      <c r="G11" s="9">
        <v>20</v>
      </c>
      <c r="H11" s="9">
        <f>IF(ROUNDUP(Aspirantes_1123[[#This Row],[Num Creditos]]/16,0)&lt;3,3,ROUNDUP(Aspirantes_1123[[#This Row],[Num Creditos]]/16,0))</f>
        <v>3</v>
      </c>
      <c r="I11" s="9">
        <f>ROUNDUP(Aspirantes_1123[[#This Row],[Num Periodos]]*1.5,0)</f>
        <v>5</v>
      </c>
      <c r="J11" s="24" t="s">
        <v>21</v>
      </c>
      <c r="K11" s="24" t="s">
        <v>22</v>
      </c>
      <c r="L11" s="24" t="s">
        <v>23</v>
      </c>
      <c r="M11" s="26" t="s">
        <v>49</v>
      </c>
      <c r="N11" s="24" t="s">
        <v>25</v>
      </c>
      <c r="O11" s="24" t="s">
        <v>26</v>
      </c>
      <c r="P11" s="24" t="s">
        <v>27</v>
      </c>
    </row>
    <row r="12" spans="1:16" s="10" customFormat="1" ht="21.4" customHeight="1">
      <c r="A12" s="6">
        <v>1018460864</v>
      </c>
      <c r="B12" s="29" t="s">
        <v>50</v>
      </c>
      <c r="C12" s="7">
        <v>202503</v>
      </c>
      <c r="D12" s="9" t="s">
        <v>18</v>
      </c>
      <c r="E12" s="9" t="str">
        <f>_xlfn.CONCAT(Aspirantes_112[[#This Row],[PRIMER NOMBRE]]," ",Aspirantes_112[[#This Row],[SEGUNDO NOMBRE]]," ",Aspirantes_112[[#This Row],[PRIMER APELLIDO]]," ",Aspirantes_112[[#This Row],[SEGUNDO APELLIDO]])</f>
        <v>Erika Junnieth Daza Narvaez</v>
      </c>
      <c r="F12" s="9" t="s">
        <v>52</v>
      </c>
      <c r="G12" s="9">
        <v>12</v>
      </c>
      <c r="H12" s="9">
        <f>IF(ROUNDUP(Aspirantes_1123[[#This Row],[Num Creditos]]/16,0)&lt;3,3,ROUNDUP(Aspirantes_1123[[#This Row],[Num Creditos]]/16,0))</f>
        <v>3</v>
      </c>
      <c r="I12" s="9">
        <f>ROUNDUP(Aspirantes_1123[[#This Row],[Num Periodos]]*1.5,0)</f>
        <v>5</v>
      </c>
      <c r="J12" s="27" t="s">
        <v>53</v>
      </c>
      <c r="K12" s="27" t="s">
        <v>22</v>
      </c>
      <c r="L12" s="24" t="s">
        <v>23</v>
      </c>
      <c r="M12" s="24"/>
      <c r="N12" s="24"/>
      <c r="O12" s="24" t="s">
        <v>26</v>
      </c>
      <c r="P12" s="24" t="s">
        <v>37</v>
      </c>
    </row>
    <row r="13" spans="1:16" s="10" customFormat="1" ht="21.4" hidden="1" customHeight="1">
      <c r="A13" s="6">
        <v>74327152</v>
      </c>
      <c r="B13" s="6" t="s">
        <v>209</v>
      </c>
      <c r="C13" s="7" t="s">
        <v>32</v>
      </c>
      <c r="D13" s="9" t="s">
        <v>206</v>
      </c>
      <c r="E13" s="9" t="str">
        <f>_xlfn.CONCAT(Aspirantes_112[[#This Row],[PRIMER NOMBRE]]," ",Aspirantes_112[[#This Row],[SEGUNDO NOMBRE]]," ",Aspirantes_112[[#This Row],[PRIMER APELLIDO]]," ",Aspirantes_112[[#This Row],[SEGUNDO APELLIDO]])</f>
        <v>Jerson Fernando Perez Cristancho</v>
      </c>
      <c r="F13" s="9" t="s">
        <v>20</v>
      </c>
      <c r="G13" s="9">
        <v>16</v>
      </c>
      <c r="H13" s="9">
        <f>IF(ROUNDUP(Aspirantes_1123[[#This Row],[Num Creditos]]/16,0)&lt;3,3,ROUNDUP(Aspirantes_1123[[#This Row],[Num Creditos]]/16,0))</f>
        <v>3</v>
      </c>
      <c r="I13" s="9">
        <f>ROUNDUP(Aspirantes_1123[[#This Row],[Num Periodos]]*1.5,0)</f>
        <v>5</v>
      </c>
      <c r="J13" s="24" t="s">
        <v>69</v>
      </c>
      <c r="K13" s="24"/>
      <c r="L13" s="24"/>
      <c r="M13" s="24"/>
      <c r="N13" s="24"/>
      <c r="O13" s="24"/>
      <c r="P13" s="24"/>
    </row>
    <row r="14" spans="1:16" s="10" customFormat="1" ht="21.4" customHeight="1">
      <c r="A14" s="6" t="s">
        <v>54</v>
      </c>
      <c r="B14" s="30" t="s">
        <v>55</v>
      </c>
      <c r="C14" s="7" t="s">
        <v>56</v>
      </c>
      <c r="D14" s="9" t="s">
        <v>18</v>
      </c>
      <c r="E14" s="9" t="str">
        <f>_xlfn.CONCAT(Aspirantes_112[[#This Row],[PRIMER NOMBRE]]," ",Aspirantes_112[[#This Row],[SEGUNDO NOMBRE]]," ",Aspirantes_112[[#This Row],[PRIMER APELLIDO]]," ",Aspirantes_112[[#This Row],[SEGUNDO APELLIDO]])</f>
        <v>Carlos Ivan Obregón Barrera</v>
      </c>
      <c r="F14" s="9" t="s">
        <v>52</v>
      </c>
      <c r="G14" s="9">
        <v>12</v>
      </c>
      <c r="H14" s="9">
        <f>IF(ROUNDUP(Aspirantes_1123[[#This Row],[Num Creditos]]/16,0)&lt;3,3,ROUNDUP(Aspirantes_1123[[#This Row],[Num Creditos]]/16,0))</f>
        <v>3</v>
      </c>
      <c r="I14" s="9">
        <f>ROUNDUP(Aspirantes_1123[[#This Row],[Num Periodos]]*1.5,0)</f>
        <v>5</v>
      </c>
      <c r="J14" s="11" t="s">
        <v>42</v>
      </c>
      <c r="K14" s="11" t="s">
        <v>43</v>
      </c>
      <c r="L14" s="24"/>
      <c r="M14" s="24"/>
      <c r="N14" s="24"/>
      <c r="O14" s="24" t="s">
        <v>26</v>
      </c>
      <c r="P14" s="24" t="s">
        <v>27</v>
      </c>
    </row>
    <row r="15" spans="1:16" s="10" customFormat="1" ht="21.4" customHeight="1">
      <c r="A15" s="6">
        <v>4999503</v>
      </c>
      <c r="B15" s="30" t="s">
        <v>58</v>
      </c>
      <c r="C15" s="7" t="s">
        <v>59</v>
      </c>
      <c r="D15" s="9"/>
      <c r="E15" s="9" t="str">
        <f>_xlfn.CONCAT(Aspirantes_112[[#This Row],[PRIMER NOMBRE]]," ",Aspirantes_112[[#This Row],[SEGUNDO NOMBRE]]," ",Aspirantes_112[[#This Row],[PRIMER APELLIDO]]," ",Aspirantes_112[[#This Row],[SEGUNDO APELLIDO]])</f>
        <v>Laurencio Jose Silva Acosta</v>
      </c>
      <c r="F15" s="9" t="s">
        <v>20</v>
      </c>
      <c r="G15" s="9">
        <v>16</v>
      </c>
      <c r="H15" s="9">
        <f>IF(ROUNDUP(Aspirantes_1123[[#This Row],[Num Creditos]]/16,0)&lt;3,3,ROUNDUP(Aspirantes_1123[[#This Row],[Num Creditos]]/16,0))</f>
        <v>3</v>
      </c>
      <c r="I15" s="9">
        <f>ROUNDUP(Aspirantes_1123[[#This Row],[Num Periodos]]*1.5,0)</f>
        <v>5</v>
      </c>
      <c r="J15" s="24" t="s">
        <v>21</v>
      </c>
      <c r="K15" s="24" t="s">
        <v>43</v>
      </c>
      <c r="L15" s="24"/>
      <c r="M15" s="24"/>
      <c r="N15" s="24"/>
      <c r="O15" s="24" t="s">
        <v>61</v>
      </c>
      <c r="P15" s="24" t="s">
        <v>62</v>
      </c>
    </row>
    <row r="16" spans="1:16" s="10" customFormat="1" ht="21.4" hidden="1" customHeight="1">
      <c r="A16" s="6" t="s">
        <v>210</v>
      </c>
      <c r="B16" s="6" t="s">
        <v>211</v>
      </c>
      <c r="C16" s="7">
        <v>2022</v>
      </c>
      <c r="D16" s="9" t="s">
        <v>206</v>
      </c>
      <c r="E16" s="9" t="str">
        <f>_xlfn.CONCAT(Aspirantes_112[[#This Row],[PRIMER NOMBRE]]," ",Aspirantes_112[[#This Row],[SEGUNDO NOMBRE]]," ",Aspirantes_112[[#This Row],[PRIMER APELLIDO]]," ",Aspirantes_112[[#This Row],[SEGUNDO APELLIDO]])</f>
        <v>David Ricaurte Cortes Fonseca</v>
      </c>
      <c r="F16" s="9" t="s">
        <v>20</v>
      </c>
      <c r="G16" s="9">
        <v>16</v>
      </c>
      <c r="H16" s="9">
        <f>IF(ROUNDUP(Aspirantes_1123[[#This Row],[Num Creditos]]/16,0)&lt;3,3,ROUNDUP(Aspirantes_1123[[#This Row],[Num Creditos]]/16,0))</f>
        <v>3</v>
      </c>
      <c r="I16" s="9">
        <f>ROUNDUP(Aspirantes_1123[[#This Row],[Num Periodos]]*1.5,0)</f>
        <v>5</v>
      </c>
      <c r="J16" s="24" t="s">
        <v>212</v>
      </c>
      <c r="K16" s="24"/>
      <c r="L16" s="24"/>
      <c r="M16" s="24"/>
      <c r="N16" s="24"/>
      <c r="O16" s="24"/>
      <c r="P16" s="24"/>
    </row>
    <row r="17" spans="1:16" s="10" customFormat="1" ht="21.4" customHeight="1">
      <c r="A17" s="6">
        <v>1110537094</v>
      </c>
      <c r="B17" s="29" t="s">
        <v>63</v>
      </c>
      <c r="C17" s="7" t="s">
        <v>32</v>
      </c>
      <c r="D17" s="9" t="s">
        <v>18</v>
      </c>
      <c r="E17" s="9" t="str">
        <f>_xlfn.CONCAT(Aspirantes_112[[#This Row],[PRIMER NOMBRE]]," ",Aspirantes_112[[#This Row],[SEGUNDO NOMBRE]]," ",Aspirantes_112[[#This Row],[PRIMER APELLIDO]]," ",Aspirantes_112[[#This Row],[SEGUNDO APELLIDO]])</f>
        <v>Andrés Mauricio Barragán Sarmiento</v>
      </c>
      <c r="F17" s="9" t="s">
        <v>20</v>
      </c>
      <c r="G17" s="9">
        <v>16</v>
      </c>
      <c r="H17" s="9">
        <f>IF(ROUNDUP(Aspirantes_1123[[#This Row],[Num Creditos]]/16,0)&lt;3,3,ROUNDUP(Aspirantes_1123[[#This Row],[Num Creditos]]/16,0))</f>
        <v>3</v>
      </c>
      <c r="I17" s="9">
        <f>ROUNDUP(Aspirantes_1123[[#This Row],[Num Periodos]]*1.5,0)</f>
        <v>5</v>
      </c>
      <c r="J17" s="27" t="s">
        <v>42</v>
      </c>
      <c r="K17" s="27" t="s">
        <v>22</v>
      </c>
      <c r="L17" s="24" t="s">
        <v>65</v>
      </c>
      <c r="M17" s="24" t="s">
        <v>24</v>
      </c>
      <c r="N17" s="24" t="s">
        <v>25</v>
      </c>
      <c r="O17" s="24" t="s">
        <v>26</v>
      </c>
      <c r="P17" s="24" t="s">
        <v>37</v>
      </c>
    </row>
    <row r="18" spans="1:16" s="10" customFormat="1" ht="21.4" customHeight="1">
      <c r="A18" s="6">
        <v>79754976</v>
      </c>
      <c r="B18" s="30" t="s">
        <v>66</v>
      </c>
      <c r="C18" s="7" t="s">
        <v>67</v>
      </c>
      <c r="D18" s="9" t="s">
        <v>18</v>
      </c>
      <c r="E18" s="9" t="str">
        <f>_xlfn.CONCAT(Aspirantes_112[[#This Row],[PRIMER NOMBRE]]," ",Aspirantes_112[[#This Row],[SEGUNDO NOMBRE]]," ",Aspirantes_112[[#This Row],[PRIMER APELLIDO]]," ",Aspirantes_112[[#This Row],[SEGUNDO APELLIDO]])</f>
        <v>Hector Hernando Villa Vargas</v>
      </c>
      <c r="F18" s="9" t="s">
        <v>20</v>
      </c>
      <c r="G18" s="9">
        <v>20</v>
      </c>
      <c r="H18" s="9">
        <f>IF(ROUNDUP(Aspirantes_1123[[#This Row],[Num Creditos]]/16,0)&lt;3,3,ROUNDUP(Aspirantes_1123[[#This Row],[Num Creditos]]/16,0))</f>
        <v>3</v>
      </c>
      <c r="I18" s="9">
        <f>ROUNDUP(Aspirantes_1123[[#This Row],[Num Periodos]]*1.5,0)</f>
        <v>5</v>
      </c>
      <c r="J18" s="27" t="s">
        <v>69</v>
      </c>
      <c r="K18" s="27" t="s">
        <v>22</v>
      </c>
      <c r="L18" s="24" t="s">
        <v>23</v>
      </c>
      <c r="M18" s="24"/>
      <c r="N18" s="24"/>
      <c r="O18" s="24" t="s">
        <v>26</v>
      </c>
      <c r="P18" s="24" t="s">
        <v>27</v>
      </c>
    </row>
    <row r="19" spans="1:16" s="10" customFormat="1" ht="21.4" customHeight="1">
      <c r="A19" s="6" t="s">
        <v>70</v>
      </c>
      <c r="B19" s="30" t="s">
        <v>71</v>
      </c>
      <c r="C19" s="7" t="s">
        <v>32</v>
      </c>
      <c r="D19" s="9" t="s">
        <v>18</v>
      </c>
      <c r="E19" s="9" t="str">
        <f>_xlfn.CONCAT(Aspirantes_112[[#This Row],[PRIMER NOMBRE]]," ",Aspirantes_112[[#This Row],[SEGUNDO NOMBRE]]," ",Aspirantes_112[[#This Row],[PRIMER APELLIDO]]," ",Aspirantes_112[[#This Row],[SEGUNDO APELLIDO]])</f>
        <v>Carlos Andres Uriza Fontecha</v>
      </c>
      <c r="F19" s="9" t="s">
        <v>20</v>
      </c>
      <c r="G19" s="9">
        <v>16</v>
      </c>
      <c r="H19" s="9">
        <f>IF(ROUNDUP(Aspirantes_1123[[#This Row],[Num Creditos]]/16,0)&lt;3,3,ROUNDUP(Aspirantes_1123[[#This Row],[Num Creditos]]/16,0))</f>
        <v>3</v>
      </c>
      <c r="I19" s="9">
        <f>ROUNDUP(Aspirantes_1123[[#This Row],[Num Periodos]]*1.5,0)</f>
        <v>5</v>
      </c>
      <c r="J19" s="27" t="s">
        <v>21</v>
      </c>
      <c r="K19" s="27" t="s">
        <v>22</v>
      </c>
      <c r="L19" s="24"/>
      <c r="M19" s="24"/>
      <c r="N19" s="24"/>
      <c r="O19" s="24" t="s">
        <v>26</v>
      </c>
      <c r="P19" s="24" t="s">
        <v>37</v>
      </c>
    </row>
    <row r="20" spans="1:16" s="10" customFormat="1" ht="21.4" customHeight="1">
      <c r="A20" s="6">
        <v>79854687</v>
      </c>
      <c r="B20" s="30" t="s">
        <v>73</v>
      </c>
      <c r="C20" s="7" t="s">
        <v>74</v>
      </c>
      <c r="D20" s="9" t="s">
        <v>40</v>
      </c>
      <c r="E20" s="9" t="str">
        <f>_xlfn.CONCAT(Aspirantes_112[[#This Row],[PRIMER NOMBRE]]," ",Aspirantes_112[[#This Row],[SEGUNDO NOMBRE]]," ",Aspirantes_112[[#This Row],[PRIMER APELLIDO]]," ",Aspirantes_112[[#This Row],[SEGUNDO APELLIDO]])</f>
        <v>Jorge Alfonso Fonseca Quiroga</v>
      </c>
      <c r="F20" s="9" t="s">
        <v>52</v>
      </c>
      <c r="G20" s="9">
        <v>8</v>
      </c>
      <c r="H20" s="9">
        <v>2</v>
      </c>
      <c r="I20" s="9">
        <f>ROUNDUP(Aspirantes_1123[[#This Row],[Num Periodos]]*1.5,0)</f>
        <v>3</v>
      </c>
      <c r="J20" s="27" t="s">
        <v>76</v>
      </c>
      <c r="K20" s="27" t="s">
        <v>22</v>
      </c>
      <c r="L20" s="24" t="s">
        <v>23</v>
      </c>
      <c r="M20" s="24"/>
      <c r="N20" s="24"/>
      <c r="O20" s="24" t="s">
        <v>77</v>
      </c>
      <c r="P20" s="24" t="s">
        <v>27</v>
      </c>
    </row>
    <row r="21" spans="1:16" s="10" customFormat="1" ht="21.4" customHeight="1">
      <c r="A21" s="6">
        <v>1015460560</v>
      </c>
      <c r="B21" s="30" t="s">
        <v>78</v>
      </c>
      <c r="C21" s="7" t="s">
        <v>79</v>
      </c>
      <c r="D21" s="9" t="s">
        <v>18</v>
      </c>
      <c r="E21" s="9" t="str">
        <f>_xlfn.CONCAT(Aspirantes_112[[#This Row],[PRIMER NOMBRE]]," ",Aspirantes_112[[#This Row],[SEGUNDO NOMBRE]]," ",Aspirantes_112[[#This Row],[PRIMER APELLIDO]]," ",Aspirantes_112[[#This Row],[SEGUNDO APELLIDO]])</f>
        <v>David Leonardo Dallos Parra</v>
      </c>
      <c r="F21" s="9" t="s">
        <v>20</v>
      </c>
      <c r="G21" s="9">
        <v>16</v>
      </c>
      <c r="H21" s="9">
        <f>IF(ROUNDUP(Aspirantes_1123[[#This Row],[Num Creditos]]/16,0)&lt;3,3,ROUNDUP(Aspirantes_1123[[#This Row],[Num Creditos]]/16,0))</f>
        <v>3</v>
      </c>
      <c r="I21" s="9">
        <f>ROUNDUP(Aspirantes_1123[[#This Row],[Num Periodos]]*1.5,0)</f>
        <v>5</v>
      </c>
      <c r="J21" s="24" t="s">
        <v>21</v>
      </c>
      <c r="K21" s="24" t="s">
        <v>43</v>
      </c>
      <c r="L21" s="24" t="s">
        <v>23</v>
      </c>
      <c r="M21" s="24" t="s">
        <v>24</v>
      </c>
      <c r="N21" s="24" t="s">
        <v>25</v>
      </c>
      <c r="O21" s="24" t="s">
        <v>77</v>
      </c>
      <c r="P21" s="24" t="s">
        <v>27</v>
      </c>
    </row>
    <row r="22" spans="1:16" s="10" customFormat="1" ht="21.4" customHeight="1">
      <c r="A22" s="6" t="s">
        <v>81</v>
      </c>
      <c r="B22" s="6" t="s">
        <v>82</v>
      </c>
      <c r="C22" s="7" t="s">
        <v>83</v>
      </c>
      <c r="D22" s="9" t="s">
        <v>40</v>
      </c>
      <c r="E22" s="9" t="str">
        <f>_xlfn.CONCAT(Aspirantes_112[[#This Row],[PRIMER NOMBRE]]," ",Aspirantes_112[[#This Row],[SEGUNDO NOMBRE]]," ",Aspirantes_112[[#This Row],[PRIMER APELLIDO]]," ",Aspirantes_112[[#This Row],[SEGUNDO APELLIDO]])</f>
        <v>Karen Andrea Huertas Vargas</v>
      </c>
      <c r="F22" s="9" t="s">
        <v>20</v>
      </c>
      <c r="G22" s="9">
        <v>16</v>
      </c>
      <c r="H22" s="9">
        <f>IF(ROUNDUP(Aspirantes_1123[[#This Row],[Num Creditos]]/16,0)&lt;3,3,ROUNDUP(Aspirantes_1123[[#This Row],[Num Creditos]]/16,0))</f>
        <v>3</v>
      </c>
      <c r="I22" s="9">
        <f>ROUNDUP(Aspirantes_1123[[#This Row],[Num Periodos]]*1.5,0)</f>
        <v>5</v>
      </c>
      <c r="J22" s="24" t="s">
        <v>85</v>
      </c>
      <c r="K22" s="24" t="s">
        <v>43</v>
      </c>
      <c r="L22" s="24"/>
      <c r="M22" s="24"/>
      <c r="N22" s="24"/>
      <c r="O22" s="24" t="s">
        <v>26</v>
      </c>
      <c r="P22" s="24" t="s">
        <v>27</v>
      </c>
    </row>
    <row r="23" spans="1:16" s="10" customFormat="1" ht="21.4" hidden="1" customHeight="1">
      <c r="A23" s="6">
        <v>79472385</v>
      </c>
      <c r="B23" s="6" t="s">
        <v>213</v>
      </c>
      <c r="C23" s="7">
        <v>44958</v>
      </c>
      <c r="D23" s="9"/>
      <c r="E23" s="9" t="str">
        <f>_xlfn.CONCAT(Aspirantes_112[[#This Row],[PRIMER NOMBRE]]," ",Aspirantes_112[[#This Row],[SEGUNDO NOMBRE]]," ",Aspirantes_112[[#This Row],[PRIMER APELLIDO]]," ",Aspirantes_112[[#This Row],[SEGUNDO APELLIDO]])</f>
        <v>Samuel  Páez Pisco</v>
      </c>
      <c r="F23" s="9" t="s">
        <v>52</v>
      </c>
      <c r="G23" s="9">
        <v>8</v>
      </c>
      <c r="H23" s="9">
        <v>2</v>
      </c>
      <c r="I23" s="9">
        <f>ROUNDUP(Aspirantes_1123[[#This Row],[Num Periodos]]*1.5,0)</f>
        <v>3</v>
      </c>
      <c r="J23" s="24" t="s">
        <v>69</v>
      </c>
      <c r="K23" s="24"/>
      <c r="L23" s="24"/>
      <c r="M23" s="24"/>
      <c r="N23" s="24"/>
      <c r="O23" s="24"/>
      <c r="P23" s="24"/>
    </row>
    <row r="24" spans="1:16" s="10" customFormat="1" ht="21.4" customHeight="1">
      <c r="A24" s="6">
        <v>1026285169</v>
      </c>
      <c r="B24" s="30" t="s">
        <v>86</v>
      </c>
      <c r="C24" s="7" t="s">
        <v>87</v>
      </c>
      <c r="D24" s="9" t="s">
        <v>18</v>
      </c>
      <c r="E24" s="9" t="str">
        <f>_xlfn.CONCAT(Aspirantes_112[[#This Row],[PRIMER NOMBRE]]," ",Aspirantes_112[[#This Row],[SEGUNDO NOMBRE]]," ",Aspirantes_112[[#This Row],[PRIMER APELLIDO]]," ",Aspirantes_112[[#This Row],[SEGUNDO APELLIDO]])</f>
        <v>Karen Michelle Correa Alba</v>
      </c>
      <c r="F24" s="9" t="s">
        <v>20</v>
      </c>
      <c r="G24" s="9">
        <v>16</v>
      </c>
      <c r="H24" s="9">
        <f>IF(ROUNDUP(Aspirantes_1123[[#This Row],[Num Creditos]]/16,0)&lt;3,3,ROUNDUP(Aspirantes_1123[[#This Row],[Num Creditos]]/16,0))</f>
        <v>3</v>
      </c>
      <c r="I24" s="9">
        <f>ROUNDUP(Aspirantes_1123[[#This Row],[Num Periodos]]*1.5,0)</f>
        <v>5</v>
      </c>
      <c r="J24" s="24" t="s">
        <v>21</v>
      </c>
      <c r="K24" s="24" t="s">
        <v>22</v>
      </c>
      <c r="L24" s="24" t="s">
        <v>23</v>
      </c>
      <c r="M24" s="24" t="s">
        <v>24</v>
      </c>
      <c r="N24" s="24" t="s">
        <v>25</v>
      </c>
      <c r="O24" s="24" t="s">
        <v>77</v>
      </c>
      <c r="P24" s="24" t="s">
        <v>27</v>
      </c>
    </row>
    <row r="25" spans="1:16" s="10" customFormat="1" ht="21.4" customHeight="1">
      <c r="A25" s="6">
        <v>1094161993</v>
      </c>
      <c r="B25" s="29" t="s">
        <v>89</v>
      </c>
      <c r="C25" s="7" t="s">
        <v>90</v>
      </c>
      <c r="D25" s="9" t="s">
        <v>18</v>
      </c>
      <c r="E25" s="9" t="str">
        <f>_xlfn.CONCAT(Aspirantes_112[[#This Row],[PRIMER NOMBRE]]," ",Aspirantes_112[[#This Row],[SEGUNDO NOMBRE]]," ",Aspirantes_112[[#This Row],[PRIMER APELLIDO]]," ",Aspirantes_112[[#This Row],[SEGUNDO APELLIDO]])</f>
        <v>william william garnica parada</v>
      </c>
      <c r="F25" s="9" t="s">
        <v>20</v>
      </c>
      <c r="G25" s="9">
        <v>16</v>
      </c>
      <c r="H25" s="9">
        <f>IF(ROUNDUP(Aspirantes_1123[[#This Row],[Num Creditos]]/16,0)&lt;3,3,ROUNDUP(Aspirantes_1123[[#This Row],[Num Creditos]]/16,0))</f>
        <v>3</v>
      </c>
      <c r="I25" s="9">
        <f>ROUNDUP(Aspirantes_1123[[#This Row],[Num Periodos]]*1.5,0)</f>
        <v>5</v>
      </c>
      <c r="J25" s="24" t="s">
        <v>21</v>
      </c>
      <c r="K25" s="24" t="s">
        <v>22</v>
      </c>
      <c r="L25" s="24" t="s">
        <v>23</v>
      </c>
      <c r="M25" s="24" t="s">
        <v>24</v>
      </c>
      <c r="N25" s="24" t="s">
        <v>25</v>
      </c>
      <c r="O25" s="24" t="s">
        <v>26</v>
      </c>
      <c r="P25" s="24" t="s">
        <v>27</v>
      </c>
    </row>
    <row r="26" spans="1:16" s="10" customFormat="1" ht="21.4" customHeight="1">
      <c r="A26" s="6">
        <v>1033698113</v>
      </c>
      <c r="B26" s="30" t="s">
        <v>92</v>
      </c>
      <c r="C26" s="7" t="s">
        <v>74</v>
      </c>
      <c r="D26" s="9" t="s">
        <v>18</v>
      </c>
      <c r="E26" s="9" t="str">
        <f>_xlfn.CONCAT(Aspirantes_112[[#This Row],[PRIMER NOMBRE]]," ",Aspirantes_112[[#This Row],[SEGUNDO NOMBRE]]," ",Aspirantes_112[[#This Row],[PRIMER APELLIDO]]," ",Aspirantes_112[[#This Row],[SEGUNDO APELLIDO]])</f>
        <v>Carlos Andres Daza Espitia</v>
      </c>
      <c r="F26" s="9" t="s">
        <v>52</v>
      </c>
      <c r="G26" s="9">
        <v>16</v>
      </c>
      <c r="H26" s="9">
        <f>IF(ROUNDUP(Aspirantes_1123[[#This Row],[Num Creditos]]/16,0)&lt;3,3,ROUNDUP(Aspirantes_1123[[#This Row],[Num Creditos]]/16,0))</f>
        <v>3</v>
      </c>
      <c r="I26" s="9">
        <f>ROUNDUP(Aspirantes_1123[[#This Row],[Num Periodos]]*1.5,0)</f>
        <v>5</v>
      </c>
      <c r="J26" s="27" t="s">
        <v>69</v>
      </c>
      <c r="K26" s="27" t="s">
        <v>22</v>
      </c>
      <c r="L26" s="24" t="s">
        <v>23</v>
      </c>
      <c r="M26" s="24"/>
      <c r="N26" s="24"/>
      <c r="O26" s="24" t="s">
        <v>77</v>
      </c>
      <c r="P26" s="24" t="s">
        <v>27</v>
      </c>
    </row>
    <row r="27" spans="1:16" s="10" customFormat="1" ht="25.5" customHeight="1">
      <c r="A27" s="16" t="s">
        <v>94</v>
      </c>
      <c r="B27" s="31" t="s">
        <v>95</v>
      </c>
      <c r="C27" s="17" t="s">
        <v>32</v>
      </c>
      <c r="D27" s="9" t="s">
        <v>18</v>
      </c>
      <c r="E27" s="9" t="str">
        <f>_xlfn.CONCAT(Aspirantes_112[[#This Row],[PRIMER NOMBRE]]," ",Aspirantes_112[[#This Row],[SEGUNDO NOMBRE]]," ",Aspirantes_112[[#This Row],[PRIMER APELLIDO]]," ",Aspirantes_112[[#This Row],[SEGUNDO APELLIDO]])</f>
        <v>José Sebastian Cañon Moreno</v>
      </c>
      <c r="F27" s="9" t="s">
        <v>52</v>
      </c>
      <c r="G27" s="9">
        <v>12</v>
      </c>
      <c r="H27" s="9">
        <f>IF(ROUNDUP(Aspirantes_1123[[#This Row],[Num Creditos]]/16,0)&lt;3,3,ROUNDUP(Aspirantes_1123[[#This Row],[Num Creditos]]/16,0))</f>
        <v>3</v>
      </c>
      <c r="I27" s="9">
        <f>ROUNDUP(Aspirantes_1123[[#This Row],[Num Periodos]]*1.5,0)</f>
        <v>5</v>
      </c>
      <c r="J27" s="24" t="s">
        <v>21</v>
      </c>
      <c r="K27" s="24" t="s">
        <v>22</v>
      </c>
      <c r="L27" s="24" t="s">
        <v>23</v>
      </c>
      <c r="M27" s="26" t="s">
        <v>97</v>
      </c>
      <c r="N27" s="24"/>
      <c r="O27" s="24" t="s">
        <v>26</v>
      </c>
      <c r="P27" s="24" t="s">
        <v>37</v>
      </c>
    </row>
    <row r="28" spans="1:16" s="10" customFormat="1" ht="22.5" hidden="1" customHeight="1">
      <c r="A28" s="16" t="s">
        <v>214</v>
      </c>
      <c r="B28" s="16" t="s">
        <v>215</v>
      </c>
      <c r="C28" s="17" t="s">
        <v>216</v>
      </c>
      <c r="D28" s="9" t="s">
        <v>18</v>
      </c>
      <c r="E28" s="9" t="str">
        <f>_xlfn.CONCAT(Aspirantes_112[[#This Row],[PRIMER NOMBRE]]," ",Aspirantes_112[[#This Row],[SEGUNDO NOMBRE]]," ",Aspirantes_112[[#This Row],[PRIMER APELLIDO]]," ",Aspirantes_112[[#This Row],[SEGUNDO APELLIDO]])</f>
        <v>Gerardo Alberto Orozco Serrano</v>
      </c>
      <c r="F28" s="9" t="s">
        <v>20</v>
      </c>
      <c r="G28" s="9">
        <v>16</v>
      </c>
      <c r="H28" s="9">
        <f>IF(ROUNDUP(Aspirantes_1123[[#This Row],[Num Creditos]]/16,0)&lt;3,3,ROUNDUP(Aspirantes_1123[[#This Row],[Num Creditos]]/16,0))</f>
        <v>3</v>
      </c>
      <c r="I28" s="9">
        <f>ROUNDUP(Aspirantes_1123[[#This Row],[Num Periodos]]*1.5,0)</f>
        <v>5</v>
      </c>
      <c r="J28" s="24" t="s">
        <v>69</v>
      </c>
      <c r="K28" s="24"/>
      <c r="L28" s="24"/>
      <c r="M28" s="24"/>
      <c r="N28" s="24"/>
      <c r="O28" s="24"/>
      <c r="P28" s="24"/>
    </row>
    <row r="29" spans="1:16" s="10" customFormat="1" ht="17.25" customHeight="1">
      <c r="A29" s="16" t="s">
        <v>98</v>
      </c>
      <c r="B29" s="14" t="s">
        <v>99</v>
      </c>
      <c r="C29" s="17" t="s">
        <v>39</v>
      </c>
      <c r="D29" s="9" t="s">
        <v>20</v>
      </c>
      <c r="E29" s="9" t="str">
        <f>_xlfn.CONCAT(Aspirantes_112[[#This Row],[PRIMER NOMBRE]]," ",Aspirantes_112[[#This Row],[SEGUNDO NOMBRE]]," ",Aspirantes_112[[#This Row],[PRIMER APELLIDO]]," ",Aspirantes_112[[#This Row],[SEGUNDO APELLIDO]])</f>
        <v>John Fredy Piñeros Hernández</v>
      </c>
      <c r="F29" s="9" t="s">
        <v>20</v>
      </c>
      <c r="G29" s="9">
        <v>16</v>
      </c>
      <c r="H29" s="9">
        <f>IF(ROUNDUP(Aspirantes_1123[[#This Row],[Num Creditos]]/16,0)&lt;3,3,ROUNDUP(Aspirantes_1123[[#This Row],[Num Creditos]]/16,0))</f>
        <v>3</v>
      </c>
      <c r="I29" s="9">
        <f>ROUNDUP(Aspirantes_1123[[#This Row],[Num Periodos]]*1.5,0)</f>
        <v>5</v>
      </c>
      <c r="J29" s="27" t="s">
        <v>101</v>
      </c>
      <c r="K29" s="27" t="s">
        <v>22</v>
      </c>
      <c r="L29" s="24" t="s">
        <v>23</v>
      </c>
      <c r="M29" s="24"/>
      <c r="N29" s="24"/>
      <c r="O29" s="24" t="s">
        <v>26</v>
      </c>
      <c r="P29" s="24" t="s">
        <v>27</v>
      </c>
    </row>
    <row r="30" spans="1:16" s="10" customFormat="1" ht="20.25" customHeight="1">
      <c r="A30" s="16" t="s">
        <v>217</v>
      </c>
      <c r="B30" s="31" t="s">
        <v>102</v>
      </c>
      <c r="C30" s="17" t="s">
        <v>103</v>
      </c>
      <c r="D30" s="9" t="s">
        <v>52</v>
      </c>
      <c r="E30" s="9" t="str">
        <f>_xlfn.CONCAT(Aspirantes_112[[#This Row],[PRIMER NOMBRE]]," ",Aspirantes_112[[#This Row],[SEGUNDO NOMBRE]]," ",Aspirantes_112[[#This Row],[PRIMER APELLIDO]]," ",Aspirantes_112[[#This Row],[SEGUNDO APELLIDO]])</f>
        <v>José  Manuel Vargas Montero</v>
      </c>
      <c r="F30" s="9" t="s">
        <v>52</v>
      </c>
      <c r="G30" s="9">
        <v>8</v>
      </c>
      <c r="H30" s="9">
        <v>2</v>
      </c>
      <c r="I30" s="9">
        <f>ROUNDUP(Aspirantes_1123[[#This Row],[Num Periodos]]*1.5,0)</f>
        <v>3</v>
      </c>
      <c r="J30" s="27" t="s">
        <v>69</v>
      </c>
      <c r="K30" s="27" t="s">
        <v>43</v>
      </c>
      <c r="L30" s="24" t="s">
        <v>23</v>
      </c>
      <c r="M30" s="24"/>
      <c r="N30" s="24"/>
      <c r="O30" s="24" t="s">
        <v>26</v>
      </c>
      <c r="P30" s="24" t="s">
        <v>27</v>
      </c>
    </row>
    <row r="31" spans="1:16" s="10" customFormat="1" ht="22.5" customHeight="1">
      <c r="A31" s="16" t="s">
        <v>105</v>
      </c>
      <c r="B31" s="14" t="s">
        <v>106</v>
      </c>
      <c r="C31" s="17" t="s">
        <v>107</v>
      </c>
      <c r="D31" s="9" t="s">
        <v>52</v>
      </c>
      <c r="E31" s="9" t="str">
        <f>_xlfn.CONCAT(Aspirantes_112[[#This Row],[PRIMER NOMBRE]]," ",Aspirantes_112[[#This Row],[SEGUNDO NOMBRE]]," ",Aspirantes_112[[#This Row],[PRIMER APELLIDO]]," ",Aspirantes_112[[#This Row],[SEGUNDO APELLIDO]])</f>
        <v xml:space="preserve">Laura Camila Scarpetta Rodriguez </v>
      </c>
      <c r="F31" s="9" t="s">
        <v>52</v>
      </c>
      <c r="G31" s="9">
        <v>8</v>
      </c>
      <c r="H31" s="9">
        <v>2</v>
      </c>
      <c r="I31" s="9">
        <f>ROUNDUP(Aspirantes_1123[[#This Row],[Num Periodos]]*1.5,0)</f>
        <v>3</v>
      </c>
      <c r="J31" s="24" t="s">
        <v>21</v>
      </c>
      <c r="K31" s="24" t="s">
        <v>22</v>
      </c>
      <c r="L31" s="24" t="s">
        <v>23</v>
      </c>
      <c r="M31" s="24" t="s">
        <v>109</v>
      </c>
      <c r="N31" s="24"/>
      <c r="O31" s="24" t="s">
        <v>26</v>
      </c>
      <c r="P31" s="24" t="s">
        <v>27</v>
      </c>
    </row>
    <row r="32" spans="1:16" s="10" customFormat="1" ht="19.5" customHeight="1">
      <c r="A32" s="16" t="s">
        <v>110</v>
      </c>
      <c r="B32" s="14" t="s">
        <v>111</v>
      </c>
      <c r="C32" s="17" t="s">
        <v>47</v>
      </c>
      <c r="D32" s="9" t="s">
        <v>18</v>
      </c>
      <c r="E32" s="9" t="str">
        <f>_xlfn.CONCAT(Aspirantes_112[[#This Row],[PRIMER NOMBRE]]," ",Aspirantes_112[[#This Row],[SEGUNDO NOMBRE]]," ",Aspirantes_112[[#This Row],[PRIMER APELLIDO]]," ",Aspirantes_112[[#This Row],[SEGUNDO APELLIDO]])</f>
        <v xml:space="preserve">Edgar  Trujillo Garcia </v>
      </c>
      <c r="F32" s="9" t="s">
        <v>52</v>
      </c>
      <c r="G32" s="9">
        <v>8</v>
      </c>
      <c r="H32" s="9">
        <v>2</v>
      </c>
      <c r="I32" s="9">
        <f>ROUNDUP(Aspirantes_1123[[#This Row],[Num Periodos]]*1.5,0)</f>
        <v>3</v>
      </c>
      <c r="J32" s="27" t="s">
        <v>113</v>
      </c>
      <c r="K32" s="27" t="s">
        <v>22</v>
      </c>
      <c r="L32" s="24" t="s">
        <v>23</v>
      </c>
      <c r="M32" s="24" t="s">
        <v>114</v>
      </c>
      <c r="N32" s="24"/>
      <c r="O32" s="24" t="s">
        <v>26</v>
      </c>
      <c r="P32" s="24" t="s">
        <v>27</v>
      </c>
    </row>
    <row r="33" spans="1:16" s="12" customFormat="1" hidden="1">
      <c r="A33" s="14" t="s">
        <v>218</v>
      </c>
      <c r="B33" s="14" t="s">
        <v>219</v>
      </c>
      <c r="C33" s="19" t="s">
        <v>220</v>
      </c>
      <c r="D33" s="11"/>
      <c r="E33" s="11" t="str">
        <f>_xlfn.CONCAT(Aspirantes_112[[#This Row],[PRIMER NOMBRE]]," ",Aspirantes_112[[#This Row],[SEGUNDO NOMBRE]]," ",Aspirantes_112[[#This Row],[PRIMER APELLIDO]]," ",Aspirantes_112[[#This Row],[SEGUNDO APELLIDO]])</f>
        <v>Federico Alexander Carvajal Escobar</v>
      </c>
      <c r="F33" s="11" t="s">
        <v>52</v>
      </c>
      <c r="G33" s="11">
        <v>8</v>
      </c>
      <c r="H33" s="11">
        <v>2</v>
      </c>
      <c r="I33" s="11">
        <f>ROUNDUP(Aspirantes_1123[[#This Row],[Num Periodos]]*1.5,0)</f>
        <v>3</v>
      </c>
      <c r="J33" s="24" t="s">
        <v>221</v>
      </c>
      <c r="K33" s="24"/>
      <c r="L33" s="24"/>
      <c r="M33" s="24"/>
      <c r="N33" s="24"/>
      <c r="O33" s="24"/>
      <c r="P33" s="24"/>
    </row>
    <row r="34" spans="1:16" s="10" customFormat="1" ht="19.5" customHeight="1">
      <c r="A34" s="16" t="s">
        <v>115</v>
      </c>
      <c r="B34" s="31" t="s">
        <v>116</v>
      </c>
      <c r="C34" s="17" t="s">
        <v>32</v>
      </c>
      <c r="D34" s="9" t="s">
        <v>20</v>
      </c>
      <c r="E34" s="9" t="str">
        <f>_xlfn.CONCAT(Aspirantes_112[[#This Row],[PRIMER NOMBRE]]," ",Aspirantes_112[[#This Row],[SEGUNDO NOMBRE]]," ",Aspirantes_112[[#This Row],[PRIMER APELLIDO]]," ",Aspirantes_112[[#This Row],[SEGUNDO APELLIDO]])</f>
        <v>LUIS EDUARDO BECERRA  LOPEZ</v>
      </c>
      <c r="F34" s="9" t="s">
        <v>20</v>
      </c>
      <c r="G34" s="9">
        <v>16</v>
      </c>
      <c r="H34" s="9">
        <f>IF(ROUNDUP(Aspirantes_1123[[#This Row],[Num Creditos]]/16,0)&lt;3,3,ROUNDUP(Aspirantes_1123[[#This Row],[Num Creditos]]/16,0))</f>
        <v>3</v>
      </c>
      <c r="I34" s="9">
        <f>ROUNDUP(Aspirantes_1123[[#This Row],[Num Periodos]]*1.5,0)</f>
        <v>5</v>
      </c>
      <c r="J34" s="24" t="s">
        <v>21</v>
      </c>
      <c r="K34" s="24" t="s">
        <v>22</v>
      </c>
      <c r="L34" s="24" t="s">
        <v>23</v>
      </c>
      <c r="M34" s="24" t="s">
        <v>24</v>
      </c>
      <c r="N34" s="24" t="s">
        <v>25</v>
      </c>
      <c r="O34" s="24" t="s">
        <v>26</v>
      </c>
      <c r="P34" s="24" t="s">
        <v>27</v>
      </c>
    </row>
    <row r="35" spans="1:16" s="12" customFormat="1">
      <c r="A35" s="14" t="s">
        <v>118</v>
      </c>
      <c r="B35" s="14" t="s">
        <v>119</v>
      </c>
      <c r="C35" s="19" t="s">
        <v>120</v>
      </c>
      <c r="D35" s="11"/>
      <c r="E35" s="11" t="str">
        <f>_xlfn.CONCAT(Aspirantes_112[[#This Row],[PRIMER NOMBRE]]," ",Aspirantes_112[[#This Row],[SEGUNDO NOMBRE]]," ",Aspirantes_112[[#This Row],[PRIMER APELLIDO]]," ",Aspirantes_112[[#This Row],[SEGUNDO APELLIDO]])</f>
        <v>Andrés Mauricio Molina Mongui</v>
      </c>
      <c r="F35" s="11" t="s">
        <v>52</v>
      </c>
      <c r="G35" s="11">
        <v>8</v>
      </c>
      <c r="H35" s="11">
        <v>2</v>
      </c>
      <c r="I35" s="11">
        <f>ROUNDUP(Aspirantes_1123[[#This Row],[Num Periodos]]*1.5,0)</f>
        <v>3</v>
      </c>
      <c r="J35" s="24" t="s">
        <v>122</v>
      </c>
      <c r="K35" s="24" t="s">
        <v>43</v>
      </c>
      <c r="L35" s="24"/>
      <c r="M35" s="24"/>
      <c r="N35" s="24"/>
      <c r="O35" s="24" t="s">
        <v>26</v>
      </c>
      <c r="P35" s="24" t="s">
        <v>123</v>
      </c>
    </row>
    <row r="36" spans="1:16" s="10" customFormat="1">
      <c r="A36" s="6" t="s">
        <v>124</v>
      </c>
      <c r="B36" s="30" t="s">
        <v>125</v>
      </c>
      <c r="C36" s="7" t="s">
        <v>126</v>
      </c>
      <c r="D36" s="9" t="s">
        <v>20</v>
      </c>
      <c r="E36" s="9" t="str">
        <f>_xlfn.CONCAT(Aspirantes_112[[#This Row],[PRIMER NOMBRE]]," ",Aspirantes_112[[#This Row],[SEGUNDO NOMBRE]]," ",Aspirantes_112[[#This Row],[PRIMER APELLIDO]]," ",Aspirantes_112[[#This Row],[SEGUNDO APELLIDO]])</f>
        <v>Diego Alejandro Rubio Ramos</v>
      </c>
      <c r="F36" s="9" t="s">
        <v>20</v>
      </c>
      <c r="G36" s="9">
        <v>16</v>
      </c>
      <c r="H36" s="9">
        <f>IF(ROUNDUP(Aspirantes_1123[[#This Row],[Num Creditos]]/16,0)&lt;3,3,ROUNDUP(Aspirantes_1123[[#This Row],[Num Creditos]]/16,0))</f>
        <v>3</v>
      </c>
      <c r="I36" s="9">
        <f>ROUNDUP(Aspirantes_1123[[#This Row],[Num Periodos]]*1.5,0)</f>
        <v>5</v>
      </c>
      <c r="J36" s="24" t="s">
        <v>21</v>
      </c>
      <c r="K36" s="24" t="s">
        <v>22</v>
      </c>
      <c r="L36" s="24" t="s">
        <v>23</v>
      </c>
      <c r="M36" s="24" t="s">
        <v>24</v>
      </c>
      <c r="N36" s="24" t="s">
        <v>25</v>
      </c>
      <c r="O36" s="24" t="s">
        <v>77</v>
      </c>
      <c r="P36" s="24" t="s">
        <v>27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51FCB-3CE6-4A4C-A079-AA442D9B5D26}">
  <dimension ref="A1:AB36"/>
  <sheetViews>
    <sheetView topLeftCell="A16" workbookViewId="0">
      <selection activeCell="D33" sqref="D33"/>
    </sheetView>
  </sheetViews>
  <sheetFormatPr defaultColWidth="8.625" defaultRowHeight="14.25"/>
  <cols>
    <col min="1" max="1" width="14.5" customWidth="1"/>
    <col min="2" max="2" width="11" customWidth="1"/>
    <col min="3" max="4" width="16" customWidth="1"/>
    <col min="5" max="7" width="18" customWidth="1"/>
    <col min="8" max="8" width="30" customWidth="1"/>
    <col min="9" max="9" width="34" customWidth="1"/>
    <col min="10" max="10" width="32" customWidth="1"/>
    <col min="11" max="11" width="14" customWidth="1"/>
    <col min="12" max="12" width="42" customWidth="1"/>
    <col min="13" max="13" width="20" customWidth="1"/>
    <col min="14" max="14" width="29.125" customWidth="1"/>
    <col min="15" max="15" width="5.875" customWidth="1"/>
    <col min="16" max="16" width="8.875" style="3" customWidth="1"/>
    <col min="17" max="17" width="12.875" style="4" customWidth="1"/>
    <col min="18" max="18" width="19.875" style="4" customWidth="1"/>
    <col min="19" max="19" width="12" style="22" customWidth="1"/>
    <col min="20" max="20" width="11.625" customWidth="1"/>
    <col min="21" max="21" width="33.125" bestFit="1" customWidth="1"/>
    <col min="22" max="22" width="12" customWidth="1"/>
    <col min="23" max="23" width="13" customWidth="1"/>
    <col min="24" max="24" width="14.5" customWidth="1"/>
    <col min="25" max="25" width="13.375" customWidth="1"/>
    <col min="26" max="26" width="39.625" customWidth="1"/>
    <col min="27" max="27" width="53.5" bestFit="1" customWidth="1"/>
  </cols>
  <sheetData>
    <row r="1" spans="1:28" ht="25.35" customHeight="1">
      <c r="A1" s="1" t="s">
        <v>222</v>
      </c>
      <c r="B1" s="1" t="s">
        <v>0</v>
      </c>
      <c r="C1" s="1" t="s">
        <v>223</v>
      </c>
      <c r="D1" s="1" t="s">
        <v>224</v>
      </c>
      <c r="E1" s="1" t="s">
        <v>225</v>
      </c>
      <c r="F1" s="1" t="s">
        <v>226</v>
      </c>
      <c r="G1" s="1" t="s">
        <v>227</v>
      </c>
      <c r="H1" s="1" t="s">
        <v>228</v>
      </c>
      <c r="I1" s="1" t="s">
        <v>229</v>
      </c>
      <c r="J1" s="1" t="s">
        <v>230</v>
      </c>
      <c r="K1" s="1" t="s">
        <v>231</v>
      </c>
      <c r="L1" s="1" t="s">
        <v>232</v>
      </c>
      <c r="M1" s="1" t="s">
        <v>1</v>
      </c>
      <c r="N1" s="2" t="s">
        <v>2</v>
      </c>
      <c r="O1" s="1" t="s">
        <v>233</v>
      </c>
      <c r="P1" s="2" t="s">
        <v>234</v>
      </c>
      <c r="Q1" s="4" t="s">
        <v>235</v>
      </c>
      <c r="R1" s="4" t="s">
        <v>3</v>
      </c>
      <c r="S1" s="22" t="s">
        <v>236</v>
      </c>
      <c r="T1" t="s">
        <v>237</v>
      </c>
      <c r="U1" t="s">
        <v>4</v>
      </c>
      <c r="V1" t="s">
        <v>5</v>
      </c>
      <c r="W1" t="s">
        <v>6</v>
      </c>
      <c r="X1" t="s">
        <v>7</v>
      </c>
      <c r="Y1" t="s">
        <v>8</v>
      </c>
      <c r="Z1" t="s">
        <v>238</v>
      </c>
      <c r="AA1" t="s">
        <v>9</v>
      </c>
      <c r="AB1" t="s">
        <v>10</v>
      </c>
    </row>
    <row r="2" spans="1:28" s="10" customFormat="1" ht="28.5" customHeight="1">
      <c r="A2" s="5" t="s">
        <v>239</v>
      </c>
      <c r="B2" s="6" t="s">
        <v>199</v>
      </c>
      <c r="C2" s="5" t="s">
        <v>240</v>
      </c>
      <c r="D2" s="5" t="s">
        <v>241</v>
      </c>
      <c r="E2" s="5" t="s">
        <v>242</v>
      </c>
      <c r="F2" s="5" t="s">
        <v>243</v>
      </c>
      <c r="G2" s="6" t="s">
        <v>244</v>
      </c>
      <c r="H2" s="5" t="s">
        <v>245</v>
      </c>
      <c r="I2" s="5" t="s">
        <v>246</v>
      </c>
      <c r="J2" s="5" t="s">
        <v>246</v>
      </c>
      <c r="K2" s="5" t="s">
        <v>247</v>
      </c>
      <c r="L2" s="5" t="s">
        <v>248</v>
      </c>
      <c r="M2" s="6" t="s">
        <v>200</v>
      </c>
      <c r="N2" s="7" t="s">
        <v>90</v>
      </c>
      <c r="O2" s="5" t="s">
        <v>249</v>
      </c>
      <c r="P2" s="8" t="s">
        <v>22</v>
      </c>
      <c r="Q2" s="9">
        <v>1</v>
      </c>
      <c r="R2" s="9" t="s">
        <v>201</v>
      </c>
      <c r="S2" s="23">
        <v>81.8</v>
      </c>
      <c r="T2" s="9" t="s">
        <v>250</v>
      </c>
      <c r="U2" s="9" t="str">
        <f>_xlfn.CONCAT(Aspirantes_112[[#This Row],[PRIMER NOMBRE]]," ",Aspirantes_112[[#This Row],[SEGUNDO NOMBRE]]," ",Aspirantes_112[[#This Row],[PRIMER APELLIDO]]," ",Aspirantes_112[[#This Row],[SEGUNDO APELLIDO]])</f>
        <v>Adrian Alejandro Gonzalez Rodriguez</v>
      </c>
      <c r="V2" s="9" t="str">
        <f>IF(OR(Aspirantes_112[[#This Row],[TESIS I ]]="SI",Aspirantes_112[[#This Row],[TESIS I ]]="NO APROBO"),"695-1","595-1")</f>
        <v>595-1</v>
      </c>
      <c r="W2" s="9">
        <v>16</v>
      </c>
      <c r="X2" s="9">
        <v>3</v>
      </c>
      <c r="Y2" s="9">
        <f>ROUNDUP(Aspirantes_112[[#This Row],[Num Periodos]]*1.5,0)</f>
        <v>5</v>
      </c>
      <c r="Z2" s="9" t="str">
        <f>IF(MID(Aspirantes_112[[#This Row],[Plan Vigente]],1,3)="595","Resolución 16163 del 5 de septiembre de 2023","Resolución 9925 del 21 de junio de 2023")</f>
        <v>Resolución 16163 del 5 de septiembre de 2023</v>
      </c>
      <c r="AA2" s="24" t="s">
        <v>251</v>
      </c>
      <c r="AB2" s="24"/>
    </row>
    <row r="3" spans="1:28" s="10" customFormat="1" ht="21.4" customHeight="1">
      <c r="A3" s="5" t="s">
        <v>239</v>
      </c>
      <c r="B3" s="6">
        <v>1010216119</v>
      </c>
      <c r="C3" s="5" t="s">
        <v>252</v>
      </c>
      <c r="D3" s="5" t="s">
        <v>253</v>
      </c>
      <c r="E3" s="5" t="s">
        <v>254</v>
      </c>
      <c r="F3" s="5" t="s">
        <v>255</v>
      </c>
      <c r="G3" s="6" t="s">
        <v>256</v>
      </c>
      <c r="H3" s="5" t="s">
        <v>188</v>
      </c>
      <c r="I3" s="5" t="s">
        <v>246</v>
      </c>
      <c r="J3" s="5" t="s">
        <v>246</v>
      </c>
      <c r="K3" s="5" t="s">
        <v>247</v>
      </c>
      <c r="L3" s="5" t="s">
        <v>248</v>
      </c>
      <c r="M3" s="6" t="s">
        <v>16</v>
      </c>
      <c r="N3" s="7" t="s">
        <v>17</v>
      </c>
      <c r="O3" s="5" t="s">
        <v>257</v>
      </c>
      <c r="P3" s="8" t="s">
        <v>22</v>
      </c>
      <c r="Q3" s="9">
        <v>1</v>
      </c>
      <c r="R3" s="9" t="s">
        <v>18</v>
      </c>
      <c r="S3" s="23">
        <v>81.8</v>
      </c>
      <c r="T3" s="9"/>
      <c r="U3" s="9" t="str">
        <f>_xlfn.CONCAT(Aspirantes_112[[#This Row],[PRIMER NOMBRE]]," ",Aspirantes_112[[#This Row],[SEGUNDO NOMBRE]]," ",Aspirantes_112[[#This Row],[PRIMER APELLIDO]]," ",Aspirantes_112[[#This Row],[SEGUNDO APELLIDO]])</f>
        <v>David Guillermo Galvis Espitia</v>
      </c>
      <c r="V3" s="9" t="str">
        <f>IF(OR(Aspirantes_112[[#This Row],[TESIS I ]]="SI",Aspirantes_112[[#This Row],[TESIS I ]]="NO APROBO"),"695-1","595-1")</f>
        <v>595-1</v>
      </c>
      <c r="W3" s="9">
        <v>16</v>
      </c>
      <c r="X3" s="9">
        <f>IF(ROUNDUP(Aspirantes_112[[#This Row],[Num Creditos]]/16,0)&lt;3,3,ROUNDUP(Aspirantes_112[[#This Row],[Num Creditos]]/16,0))</f>
        <v>3</v>
      </c>
      <c r="Y3" s="9">
        <f>ROUNDUP(Aspirantes_112[[#This Row],[Num Periodos]]*1.5,0)</f>
        <v>5</v>
      </c>
      <c r="Z3" s="9" t="str">
        <f>IF(MID(Aspirantes_112[[#This Row],[Plan Vigente]],1,3)="595","Resolución 16163 del 5 de septiembre de 2023","Resolución 9925 del 21 de junio de 2023")</f>
        <v>Resolución 16163 del 5 de septiembre de 2023</v>
      </c>
      <c r="AA3" s="24" t="s">
        <v>21</v>
      </c>
      <c r="AB3" s="24" t="s">
        <v>22</v>
      </c>
    </row>
    <row r="4" spans="1:28" s="10" customFormat="1" ht="21.4" customHeight="1">
      <c r="A4" s="5" t="s">
        <v>239</v>
      </c>
      <c r="B4" s="6">
        <v>7545588</v>
      </c>
      <c r="C4" s="5" t="s">
        <v>258</v>
      </c>
      <c r="D4" s="5"/>
      <c r="E4" s="5" t="s">
        <v>259</v>
      </c>
      <c r="F4" s="5" t="s">
        <v>260</v>
      </c>
      <c r="G4" s="6" t="s">
        <v>261</v>
      </c>
      <c r="H4" s="5" t="s">
        <v>262</v>
      </c>
      <c r="I4" s="5" t="s">
        <v>246</v>
      </c>
      <c r="J4" s="5" t="s">
        <v>246</v>
      </c>
      <c r="K4" s="5" t="s">
        <v>247</v>
      </c>
      <c r="L4" s="5" t="s">
        <v>248</v>
      </c>
      <c r="M4" s="6" t="s">
        <v>203</v>
      </c>
      <c r="N4" s="7" t="s">
        <v>90</v>
      </c>
      <c r="O4" s="5" t="s">
        <v>263</v>
      </c>
      <c r="P4" s="8" t="s">
        <v>264</v>
      </c>
      <c r="Q4" s="9"/>
      <c r="R4" s="9"/>
      <c r="S4" s="23">
        <v>81.8</v>
      </c>
      <c r="T4" s="9" t="s">
        <v>265</v>
      </c>
      <c r="U4" s="9" t="str">
        <f>_xlfn.CONCAT(Aspirantes_112[[#This Row],[PRIMER NOMBRE]]," ",Aspirantes_112[[#This Row],[SEGUNDO NOMBRE]]," ",Aspirantes_112[[#This Row],[PRIMER APELLIDO]]," ",Aspirantes_112[[#This Row],[SEGUNDO APELLIDO]])</f>
        <v>Jorge  Rodríguez Rengifo</v>
      </c>
      <c r="V4" s="9" t="str">
        <f>IF(OR(Aspirantes_112[[#This Row],[TESIS I ]]="SI",Aspirantes_112[[#This Row],[TESIS I ]]="NO APROBO"),"695-1","595-1")</f>
        <v>695-1</v>
      </c>
      <c r="W4" s="9">
        <v>8</v>
      </c>
      <c r="X4" s="9">
        <v>2</v>
      </c>
      <c r="Y4" s="9">
        <f>ROUNDUP(Aspirantes_112[[#This Row],[Num Periodos]]*1.5,0)</f>
        <v>3</v>
      </c>
      <c r="Z4" s="9" t="str">
        <f>IF(MID(Aspirantes_112[[#This Row],[Plan Vigente]],1,3)="595","Resolución 16163 del 5 de septiembre de 2023","Resolución 9925 del 21 de junio de 2023")</f>
        <v>Resolución 9925 del 21 de junio de 2023</v>
      </c>
      <c r="AA4" s="24" t="s">
        <v>204</v>
      </c>
      <c r="AB4" s="24"/>
    </row>
    <row r="5" spans="1:28" s="10" customFormat="1" ht="21.4" customHeight="1">
      <c r="A5" s="5" t="s">
        <v>239</v>
      </c>
      <c r="B5" s="6">
        <v>1026295788</v>
      </c>
      <c r="C5" s="5" t="s">
        <v>266</v>
      </c>
      <c r="D5" s="5" t="s">
        <v>267</v>
      </c>
      <c r="E5" s="5" t="s">
        <v>268</v>
      </c>
      <c r="F5" s="5" t="s">
        <v>269</v>
      </c>
      <c r="G5" s="6" t="s">
        <v>270</v>
      </c>
      <c r="H5" s="5" t="s">
        <v>271</v>
      </c>
      <c r="I5" s="5" t="s">
        <v>246</v>
      </c>
      <c r="J5" s="5" t="s">
        <v>246</v>
      </c>
      <c r="K5" s="5" t="s">
        <v>247</v>
      </c>
      <c r="L5" s="5" t="s">
        <v>248</v>
      </c>
      <c r="M5" s="6" t="s">
        <v>28</v>
      </c>
      <c r="N5" s="7" t="s">
        <v>29</v>
      </c>
      <c r="O5" s="5" t="s">
        <v>272</v>
      </c>
      <c r="P5" s="8" t="s">
        <v>22</v>
      </c>
      <c r="Q5" s="9">
        <v>1</v>
      </c>
      <c r="R5" s="9" t="s">
        <v>18</v>
      </c>
      <c r="S5" s="23">
        <v>81.8</v>
      </c>
      <c r="T5" s="9"/>
      <c r="U5" s="9" t="str">
        <f>_xlfn.CONCAT(Aspirantes_112[[#This Row],[PRIMER NOMBRE]]," ",Aspirantes_112[[#This Row],[SEGUNDO NOMBRE]]," ",Aspirantes_112[[#This Row],[PRIMER APELLIDO]]," ",Aspirantes_112[[#This Row],[SEGUNDO APELLIDO]])</f>
        <v>Jose Augusto Carvajal Torres</v>
      </c>
      <c r="V5" s="9" t="str">
        <f>IF(OR(Aspirantes_112[[#This Row],[TESIS I ]]="SI",Aspirantes_112[[#This Row],[TESIS I ]]="NO APROBO"),"695-1","595-1")</f>
        <v>595-1</v>
      </c>
      <c r="W5" s="9">
        <v>16</v>
      </c>
      <c r="X5" s="9">
        <f>IF(ROUNDUP(Aspirantes_112[[#This Row],[Num Creditos]]/16,0)&lt;3,3,ROUNDUP(Aspirantes_112[[#This Row],[Num Creditos]]/16,0))</f>
        <v>3</v>
      </c>
      <c r="Y5" s="9">
        <f>ROUNDUP(Aspirantes_112[[#This Row],[Num Periodos]]*1.5,0)</f>
        <v>5</v>
      </c>
      <c r="Z5" s="9" t="str">
        <f>IF(MID(Aspirantes_112[[#This Row],[Plan Vigente]],1,3)="595","Resolución 16163 del 5 de septiembre de 2023","Resolución 9925 del 21 de junio de 2023")</f>
        <v>Resolución 16163 del 5 de septiembre de 2023</v>
      </c>
      <c r="AA5" s="24" t="s">
        <v>21</v>
      </c>
      <c r="AB5" s="24" t="s">
        <v>22</v>
      </c>
    </row>
    <row r="6" spans="1:28" s="10" customFormat="1" ht="21.4" customHeight="1">
      <c r="A6" s="5" t="s">
        <v>239</v>
      </c>
      <c r="B6" s="6">
        <v>80817300</v>
      </c>
      <c r="C6" s="5" t="s">
        <v>273</v>
      </c>
      <c r="D6" s="5" t="s">
        <v>274</v>
      </c>
      <c r="E6" s="5" t="s">
        <v>275</v>
      </c>
      <c r="F6" s="5" t="s">
        <v>276</v>
      </c>
      <c r="G6" s="6" t="s">
        <v>277</v>
      </c>
      <c r="H6" s="5" t="s">
        <v>172</v>
      </c>
      <c r="I6" s="5" t="s">
        <v>246</v>
      </c>
      <c r="J6" s="5" t="s">
        <v>246</v>
      </c>
      <c r="K6" s="5" t="s">
        <v>247</v>
      </c>
      <c r="L6" s="5" t="s">
        <v>248</v>
      </c>
      <c r="M6" s="6" t="s">
        <v>31</v>
      </c>
      <c r="N6" s="7" t="s">
        <v>32</v>
      </c>
      <c r="O6" s="5" t="s">
        <v>278</v>
      </c>
      <c r="P6" s="8" t="s">
        <v>22</v>
      </c>
      <c r="Q6" s="9">
        <v>1</v>
      </c>
      <c r="R6" s="9" t="s">
        <v>18</v>
      </c>
      <c r="S6" s="23">
        <v>81.8</v>
      </c>
      <c r="T6" s="9"/>
      <c r="U6" s="9" t="str">
        <f>_xlfn.CONCAT(Aspirantes_112[[#This Row],[PRIMER NOMBRE]]," ",Aspirantes_112[[#This Row],[SEGUNDO NOMBRE]]," ",Aspirantes_112[[#This Row],[PRIMER APELLIDO]]," ",Aspirantes_112[[#This Row],[SEGUNDO APELLIDO]])</f>
        <v>Julian Orlando Cuellar Mayorga</v>
      </c>
      <c r="V6" s="9" t="str">
        <f>IF(OR(Aspirantes_112[[#This Row],[TESIS I ]]="SI",Aspirantes_112[[#This Row],[TESIS I ]]="NO APROBO"),"695-1","595-1")</f>
        <v>595-1</v>
      </c>
      <c r="W6" s="9">
        <v>16</v>
      </c>
      <c r="X6" s="9">
        <f>IF(ROUNDUP(Aspirantes_112[[#This Row],[Num Creditos]]/16,0)&lt;3,3,ROUNDUP(Aspirantes_112[[#This Row],[Num Creditos]]/16,0))</f>
        <v>3</v>
      </c>
      <c r="Y6" s="9">
        <f>ROUNDUP(Aspirantes_112[[#This Row],[Num Periodos]]*1.5,0)</f>
        <v>5</v>
      </c>
      <c r="Z6" s="9" t="str">
        <f>IF(MID(Aspirantes_112[[#This Row],[Plan Vigente]],1,3)="595","Resolución 16163 del 5 de septiembre de 2023","Resolución 9925 del 21 de junio de 2023")</f>
        <v>Resolución 16163 del 5 de septiembre de 2023</v>
      </c>
      <c r="AA6" s="24" t="s">
        <v>21</v>
      </c>
      <c r="AB6" s="24" t="s">
        <v>22</v>
      </c>
    </row>
    <row r="7" spans="1:28" s="10" customFormat="1" ht="21.4" customHeight="1">
      <c r="A7" s="5" t="s">
        <v>239</v>
      </c>
      <c r="B7" s="6">
        <v>1015471512</v>
      </c>
      <c r="C7" s="5" t="s">
        <v>279</v>
      </c>
      <c r="D7" s="5" t="s">
        <v>280</v>
      </c>
      <c r="E7" s="5" t="s">
        <v>281</v>
      </c>
      <c r="F7" s="5" t="s">
        <v>282</v>
      </c>
      <c r="G7" s="6" t="s">
        <v>283</v>
      </c>
      <c r="H7" s="5" t="s">
        <v>284</v>
      </c>
      <c r="I7" s="5" t="s">
        <v>246</v>
      </c>
      <c r="J7" s="5" t="s">
        <v>246</v>
      </c>
      <c r="K7" s="5" t="s">
        <v>247</v>
      </c>
      <c r="L7" s="5" t="s">
        <v>248</v>
      </c>
      <c r="M7" s="6" t="s">
        <v>205</v>
      </c>
      <c r="N7" s="7" t="s">
        <v>29</v>
      </c>
      <c r="O7" s="5" t="s">
        <v>285</v>
      </c>
      <c r="P7" s="8" t="s">
        <v>22</v>
      </c>
      <c r="Q7" s="9">
        <v>2</v>
      </c>
      <c r="R7" s="9" t="s">
        <v>206</v>
      </c>
      <c r="S7" s="23">
        <v>72.7</v>
      </c>
      <c r="T7" s="9"/>
      <c r="U7" s="9" t="str">
        <f>_xlfn.CONCAT(Aspirantes_112[[#This Row],[PRIMER NOMBRE]]," ",Aspirantes_112[[#This Row],[SEGUNDO NOMBRE]]," ",Aspirantes_112[[#This Row],[PRIMER APELLIDO]]," ",Aspirantes_112[[#This Row],[SEGUNDO APELLIDO]])</f>
        <v>MARIA FERNANDA MARTINEZ GARZON</v>
      </c>
      <c r="V7" s="9" t="str">
        <f>IF(OR(Aspirantes_112[[#This Row],[TESIS I ]]="SI",Aspirantes_112[[#This Row],[TESIS I ]]="NO APROBO"),"695-1","595-1")</f>
        <v>595-1</v>
      </c>
      <c r="W7" s="9">
        <v>20</v>
      </c>
      <c r="X7" s="9">
        <f>IF(ROUNDUP(Aspirantes_112[[#This Row],[Num Creditos]]/16,0)&lt;3,3,ROUNDUP(Aspirantes_112[[#This Row],[Num Creditos]]/16,0))</f>
        <v>3</v>
      </c>
      <c r="Y7" s="9">
        <f>ROUNDUP(Aspirantes_112[[#This Row],[Num Periodos]]*1.5,0)</f>
        <v>5</v>
      </c>
      <c r="Z7" s="9" t="str">
        <f>IF(MID(Aspirantes_112[[#This Row],[Plan Vigente]],1,3)="595","Resolución 16163 del 5 de septiembre de 2023","Resolución 9925 del 21 de junio de 2023")</f>
        <v>Resolución 16163 del 5 de septiembre de 2023</v>
      </c>
      <c r="AA7" s="24" t="s">
        <v>101</v>
      </c>
      <c r="AB7" s="24"/>
    </row>
    <row r="8" spans="1:28" s="10" customFormat="1" ht="21.4" customHeight="1">
      <c r="A8" s="5" t="s">
        <v>239</v>
      </c>
      <c r="B8" s="6">
        <v>53153876</v>
      </c>
      <c r="C8" s="5" t="s">
        <v>286</v>
      </c>
      <c r="D8" s="5" t="s">
        <v>287</v>
      </c>
      <c r="E8" s="5" t="s">
        <v>288</v>
      </c>
      <c r="F8" s="5" t="s">
        <v>289</v>
      </c>
      <c r="G8" s="6" t="s">
        <v>290</v>
      </c>
      <c r="H8" s="5" t="s">
        <v>160</v>
      </c>
      <c r="I8" s="5" t="s">
        <v>246</v>
      </c>
      <c r="J8" s="5" t="s">
        <v>246</v>
      </c>
      <c r="K8" s="5" t="s">
        <v>247</v>
      </c>
      <c r="L8" s="5" t="s">
        <v>248</v>
      </c>
      <c r="M8" s="6" t="s">
        <v>34</v>
      </c>
      <c r="N8" s="7" t="s">
        <v>29</v>
      </c>
      <c r="O8" s="5" t="s">
        <v>291</v>
      </c>
      <c r="P8" s="8" t="s">
        <v>22</v>
      </c>
      <c r="Q8" s="9">
        <v>2</v>
      </c>
      <c r="R8" s="9" t="s">
        <v>18</v>
      </c>
      <c r="S8" s="23">
        <v>81.8</v>
      </c>
      <c r="T8" s="9" t="s">
        <v>264</v>
      </c>
      <c r="U8" s="9" t="str">
        <f>_xlfn.CONCAT(Aspirantes_112[[#This Row],[PRIMER NOMBRE]]," ",Aspirantes_112[[#This Row],[SEGUNDO NOMBRE]]," ",Aspirantes_112[[#This Row],[PRIMER APELLIDO]]," ",Aspirantes_112[[#This Row],[SEGUNDO APELLIDO]])</f>
        <v>Lady Mayerly Baron Jerez</v>
      </c>
      <c r="V8" s="9" t="str">
        <f>IF(OR(Aspirantes_112[[#This Row],[TESIS I ]]="SI",Aspirantes_112[[#This Row],[TESIS I ]]="NO APROBO"),"695-1","595-1")</f>
        <v>595-1</v>
      </c>
      <c r="W8" s="9">
        <v>16</v>
      </c>
      <c r="X8" s="9">
        <f>IF(ROUNDUP(Aspirantes_112[[#This Row],[Num Creditos]]/16,0)&lt;3,3,ROUNDUP(Aspirantes_112[[#This Row],[Num Creditos]]/16,0))</f>
        <v>3</v>
      </c>
      <c r="Y8" s="9">
        <f>ROUNDUP(Aspirantes_112[[#This Row],[Num Periodos]]*1.5,0)</f>
        <v>5</v>
      </c>
      <c r="Z8" s="9" t="str">
        <f>IF(MID(Aspirantes_112[[#This Row],[Plan Vigente]],1,3)="595","Resolución 16163 del 5 de septiembre de 2023","Resolución 9925 del 21 de junio de 2023")</f>
        <v>Resolución 16163 del 5 de septiembre de 2023</v>
      </c>
      <c r="AA8" s="24" t="s">
        <v>292</v>
      </c>
      <c r="AB8" s="24" t="s">
        <v>22</v>
      </c>
    </row>
    <row r="9" spans="1:28" ht="21.4" customHeight="1">
      <c r="A9" s="5" t="s">
        <v>239</v>
      </c>
      <c r="B9" s="6">
        <v>79532330</v>
      </c>
      <c r="C9" s="5" t="s">
        <v>293</v>
      </c>
      <c r="D9" s="5" t="s">
        <v>294</v>
      </c>
      <c r="E9" s="5" t="s">
        <v>295</v>
      </c>
      <c r="F9" s="5" t="s">
        <v>296</v>
      </c>
      <c r="G9" s="6" t="s">
        <v>297</v>
      </c>
      <c r="H9" s="5" t="s">
        <v>298</v>
      </c>
      <c r="I9" s="5" t="s">
        <v>246</v>
      </c>
      <c r="J9" s="5" t="s">
        <v>246</v>
      </c>
      <c r="K9" s="5" t="s">
        <v>247</v>
      </c>
      <c r="L9" s="5" t="s">
        <v>248</v>
      </c>
      <c r="M9" s="6" t="s">
        <v>207</v>
      </c>
      <c r="N9" s="7" t="s">
        <v>32</v>
      </c>
      <c r="O9" s="5" t="s">
        <v>299</v>
      </c>
      <c r="P9" s="8" t="s">
        <v>22</v>
      </c>
      <c r="Q9" s="9">
        <v>1</v>
      </c>
      <c r="R9" s="9" t="s">
        <v>208</v>
      </c>
      <c r="S9" s="23">
        <v>90.9</v>
      </c>
      <c r="T9" s="9" t="s">
        <v>22</v>
      </c>
      <c r="U9" s="9" t="str">
        <f>_xlfn.CONCAT(Aspirantes_112[[#This Row],[PRIMER NOMBRE]]," ",Aspirantes_112[[#This Row],[SEGUNDO NOMBRE]]," ",Aspirantes_112[[#This Row],[PRIMER APELLIDO]]," ",Aspirantes_112[[#This Row],[SEGUNDO APELLIDO]])</f>
        <v>Yuber Alfredo Castro Quiroga</v>
      </c>
      <c r="V9" s="9" t="str">
        <f>IF(OR(Aspirantes_112[[#This Row],[TESIS I ]]="SI",Aspirantes_112[[#This Row],[TESIS I ]]="NO APROBO"),"695-1","595-1")</f>
        <v>695-1</v>
      </c>
      <c r="W9" s="9">
        <v>8</v>
      </c>
      <c r="X9" s="9">
        <v>2</v>
      </c>
      <c r="Y9" s="9">
        <f>ROUNDUP(Aspirantes_112[[#This Row],[Num Periodos]]*1.5,0)</f>
        <v>3</v>
      </c>
      <c r="Z9" s="9" t="str">
        <f>IF(MID(Aspirantes_112[[#This Row],[Plan Vigente]],1,3)="595","Resolución 16163 del 5 de septiembre de 2023","Resolución 9925 del 21 de junio de 2023")</f>
        <v>Resolución 9925 del 21 de junio de 2023</v>
      </c>
      <c r="AA9" s="24" t="s">
        <v>69</v>
      </c>
      <c r="AB9" s="24"/>
    </row>
    <row r="10" spans="1:28" s="10" customFormat="1" ht="21.4" customHeight="1">
      <c r="A10" s="5" t="s">
        <v>239</v>
      </c>
      <c r="B10" s="6">
        <v>1022395401</v>
      </c>
      <c r="C10" s="5" t="s">
        <v>300</v>
      </c>
      <c r="D10" s="5" t="s">
        <v>241</v>
      </c>
      <c r="E10" s="5" t="s">
        <v>301</v>
      </c>
      <c r="F10" s="5" t="s">
        <v>302</v>
      </c>
      <c r="G10" s="6" t="s">
        <v>303</v>
      </c>
      <c r="H10" s="5" t="s">
        <v>178</v>
      </c>
      <c r="I10" s="5" t="s">
        <v>246</v>
      </c>
      <c r="J10" s="5" t="s">
        <v>246</v>
      </c>
      <c r="K10" s="5" t="s">
        <v>247</v>
      </c>
      <c r="L10" s="5" t="s">
        <v>248</v>
      </c>
      <c r="M10" s="6" t="s">
        <v>38</v>
      </c>
      <c r="N10" s="7" t="s">
        <v>39</v>
      </c>
      <c r="O10" s="5" t="s">
        <v>304</v>
      </c>
      <c r="P10" s="8" t="s">
        <v>22</v>
      </c>
      <c r="Q10" s="9">
        <v>2</v>
      </c>
      <c r="R10" s="9" t="s">
        <v>40</v>
      </c>
      <c r="S10" s="23">
        <v>81.8</v>
      </c>
      <c r="T10" s="9" t="s">
        <v>264</v>
      </c>
      <c r="U10" s="9" t="str">
        <f>_xlfn.CONCAT(Aspirantes_112[[#This Row],[PRIMER NOMBRE]]," ",Aspirantes_112[[#This Row],[SEGUNDO NOMBRE]]," ",Aspirantes_112[[#This Row],[PRIMER APELLIDO]]," ",Aspirantes_112[[#This Row],[SEGUNDO APELLIDO]])</f>
        <v>Diego Alejandro Malagón Márquez</v>
      </c>
      <c r="V10" s="9" t="str">
        <f>IF(OR(Aspirantes_112[[#This Row],[TESIS I ]]="SI",Aspirantes_112[[#This Row],[TESIS I ]]="NO APROBO"),"695-1","595-1")</f>
        <v>595-1</v>
      </c>
      <c r="W10" s="9">
        <v>20</v>
      </c>
      <c r="X10" s="9">
        <f>IF(ROUNDUP(Aspirantes_112[[#This Row],[Num Creditos]]/16,0)&lt;3,3,ROUNDUP(Aspirantes_112[[#This Row],[Num Creditos]]/16,0))</f>
        <v>3</v>
      </c>
      <c r="Y10" s="9">
        <f>ROUNDUP(Aspirantes_112[[#This Row],[Num Periodos]]*1.5,0)</f>
        <v>5</v>
      </c>
      <c r="Z10" s="9" t="str">
        <f>IF(MID(Aspirantes_112[[#This Row],[Plan Vigente]],1,3)="595","Resolución 16163 del 5 de septiembre de 2023","Resolución 9925 del 21 de junio de 2023")</f>
        <v>Resolución 16163 del 5 de septiembre de 2023</v>
      </c>
      <c r="AA10" s="24" t="s">
        <v>69</v>
      </c>
      <c r="AB10" s="24"/>
    </row>
    <row r="11" spans="1:28" s="10" customFormat="1" ht="21.4" customHeight="1">
      <c r="A11" s="5" t="s">
        <v>239</v>
      </c>
      <c r="B11" s="6">
        <v>79859667</v>
      </c>
      <c r="C11" s="5" t="s">
        <v>305</v>
      </c>
      <c r="D11" s="5"/>
      <c r="E11" s="5" t="s">
        <v>306</v>
      </c>
      <c r="F11" s="5" t="s">
        <v>307</v>
      </c>
      <c r="G11" s="6" t="s">
        <v>308</v>
      </c>
      <c r="H11" s="5" t="s">
        <v>191</v>
      </c>
      <c r="I11" s="5" t="s">
        <v>246</v>
      </c>
      <c r="J11" s="5" t="s">
        <v>246</v>
      </c>
      <c r="K11" s="5" t="s">
        <v>247</v>
      </c>
      <c r="L11" s="5" t="s">
        <v>248</v>
      </c>
      <c r="M11" s="6" t="s">
        <v>46</v>
      </c>
      <c r="N11" s="7" t="s">
        <v>47</v>
      </c>
      <c r="O11" s="5" t="s">
        <v>309</v>
      </c>
      <c r="P11" s="8" t="s">
        <v>22</v>
      </c>
      <c r="Q11" s="9">
        <v>2</v>
      </c>
      <c r="R11" s="9" t="s">
        <v>18</v>
      </c>
      <c r="S11" s="23">
        <v>72.7</v>
      </c>
      <c r="T11" s="9" t="s">
        <v>250</v>
      </c>
      <c r="U11" s="9" t="str">
        <f>_xlfn.CONCAT(Aspirantes_112[[#This Row],[PRIMER NOMBRE]]," ",Aspirantes_112[[#This Row],[SEGUNDO NOMBRE]]," ",Aspirantes_112[[#This Row],[PRIMER APELLIDO]]," ",Aspirantes_112[[#This Row],[SEGUNDO APELLIDO]])</f>
        <v>MAURICIO  GONZALEZ BUITRAGO</v>
      </c>
      <c r="V11" s="9" t="str">
        <f>IF(OR(Aspirantes_112[[#This Row],[TESIS I ]]="SI",Aspirantes_112[[#This Row],[TESIS I ]]="NO APROBO"),"695-1","595-1")</f>
        <v>595-1</v>
      </c>
      <c r="W11" s="9">
        <v>20</v>
      </c>
      <c r="X11" s="9">
        <f>IF(ROUNDUP(Aspirantes_112[[#This Row],[Num Creditos]]/16,0)&lt;3,3,ROUNDUP(Aspirantes_112[[#This Row],[Num Creditos]]/16,0))</f>
        <v>3</v>
      </c>
      <c r="Y11" s="9">
        <f>ROUNDUP(Aspirantes_112[[#This Row],[Num Periodos]]*1.5,0)</f>
        <v>5</v>
      </c>
      <c r="Z11" s="9" t="str">
        <f>IF(MID(Aspirantes_112[[#This Row],[Plan Vigente]],1,3)="595","Resolución 16163 del 5 de septiembre de 2023","Resolución 9925 del 21 de junio de 2023")</f>
        <v>Resolución 16163 del 5 de septiembre de 2023</v>
      </c>
      <c r="AA11" s="24" t="s">
        <v>21</v>
      </c>
      <c r="AB11" s="24" t="s">
        <v>22</v>
      </c>
    </row>
    <row r="12" spans="1:28" s="10" customFormat="1" ht="21.4" customHeight="1">
      <c r="A12" s="5" t="s">
        <v>239</v>
      </c>
      <c r="B12" s="6">
        <v>1018460864</v>
      </c>
      <c r="C12" s="5" t="s">
        <v>310</v>
      </c>
      <c r="D12" s="5" t="s">
        <v>311</v>
      </c>
      <c r="E12" s="5" t="s">
        <v>312</v>
      </c>
      <c r="F12" s="5" t="s">
        <v>313</v>
      </c>
      <c r="G12" s="6" t="s">
        <v>314</v>
      </c>
      <c r="H12" s="5" t="s">
        <v>185</v>
      </c>
      <c r="I12" s="5" t="s">
        <v>246</v>
      </c>
      <c r="J12" s="5" t="s">
        <v>246</v>
      </c>
      <c r="K12" s="5" t="s">
        <v>247</v>
      </c>
      <c r="L12" s="5" t="s">
        <v>248</v>
      </c>
      <c r="M12" s="6" t="s">
        <v>50</v>
      </c>
      <c r="N12" s="7">
        <v>202503</v>
      </c>
      <c r="O12" s="5" t="s">
        <v>315</v>
      </c>
      <c r="P12" s="8" t="s">
        <v>22</v>
      </c>
      <c r="Q12" s="9"/>
      <c r="R12" s="9" t="s">
        <v>18</v>
      </c>
      <c r="S12" s="23">
        <v>90.9</v>
      </c>
      <c r="T12" s="9" t="s">
        <v>265</v>
      </c>
      <c r="U12" s="9" t="str">
        <f>_xlfn.CONCAT(Aspirantes_112[[#This Row],[PRIMER NOMBRE]]," ",Aspirantes_112[[#This Row],[SEGUNDO NOMBRE]]," ",Aspirantes_112[[#This Row],[PRIMER APELLIDO]]," ",Aspirantes_112[[#This Row],[SEGUNDO APELLIDO]])</f>
        <v>Erika Junnieth Daza Narvaez</v>
      </c>
      <c r="V12" s="9" t="str">
        <f>IF(OR(Aspirantes_112[[#This Row],[TESIS I ]]="SI",Aspirantes_112[[#This Row],[TESIS I ]]="NO APROBO"),"695-1","595-1")</f>
        <v>695-1</v>
      </c>
      <c r="W12" s="9">
        <v>12</v>
      </c>
      <c r="X12" s="9">
        <f>IF(ROUNDUP(Aspirantes_112[[#This Row],[Num Creditos]]/16,0)&lt;3,3,ROUNDUP(Aspirantes_112[[#This Row],[Num Creditos]]/16,0))</f>
        <v>3</v>
      </c>
      <c r="Y12" s="9">
        <f>ROUNDUP(Aspirantes_112[[#This Row],[Num Periodos]]*1.5,0)</f>
        <v>5</v>
      </c>
      <c r="Z12" s="9" t="str">
        <f>IF(MID(Aspirantes_112[[#This Row],[Plan Vigente]],1,3)="595","Resolución 16163 del 5 de septiembre de 2023","Resolución 9925 del 21 de junio de 2023")</f>
        <v>Resolución 9925 del 21 de junio de 2023</v>
      </c>
      <c r="AA12" s="24" t="s">
        <v>101</v>
      </c>
      <c r="AB12" s="24" t="s">
        <v>22</v>
      </c>
    </row>
    <row r="13" spans="1:28" s="10" customFormat="1" ht="21.4" customHeight="1">
      <c r="A13" s="5" t="s">
        <v>239</v>
      </c>
      <c r="B13" s="6">
        <v>74327152</v>
      </c>
      <c r="C13" s="5" t="s">
        <v>316</v>
      </c>
      <c r="D13" s="5" t="s">
        <v>317</v>
      </c>
      <c r="E13" s="5" t="s">
        <v>318</v>
      </c>
      <c r="F13" s="5" t="s">
        <v>319</v>
      </c>
      <c r="G13" s="6" t="s">
        <v>320</v>
      </c>
      <c r="H13" s="5" t="s">
        <v>321</v>
      </c>
      <c r="I13" s="5" t="s">
        <v>246</v>
      </c>
      <c r="J13" s="5" t="s">
        <v>246</v>
      </c>
      <c r="K13" s="5" t="s">
        <v>247</v>
      </c>
      <c r="L13" s="5" t="s">
        <v>248</v>
      </c>
      <c r="M13" s="6" t="s">
        <v>209</v>
      </c>
      <c r="N13" s="7" t="s">
        <v>32</v>
      </c>
      <c r="O13" s="5" t="s">
        <v>322</v>
      </c>
      <c r="P13" s="8" t="s">
        <v>22</v>
      </c>
      <c r="Q13" s="9">
        <v>1</v>
      </c>
      <c r="R13" s="9" t="s">
        <v>206</v>
      </c>
      <c r="S13" s="23">
        <v>81.8</v>
      </c>
      <c r="T13" s="9" t="s">
        <v>250</v>
      </c>
      <c r="U13" s="9" t="str">
        <f>_xlfn.CONCAT(Aspirantes_112[[#This Row],[PRIMER NOMBRE]]," ",Aspirantes_112[[#This Row],[SEGUNDO NOMBRE]]," ",Aspirantes_112[[#This Row],[PRIMER APELLIDO]]," ",Aspirantes_112[[#This Row],[SEGUNDO APELLIDO]])</f>
        <v>Jerson Fernando Perez Cristancho</v>
      </c>
      <c r="V13" s="9" t="str">
        <f>IF(OR(Aspirantes_112[[#This Row],[TESIS I ]]="SI",Aspirantes_112[[#This Row],[TESIS I ]]="NO APROBO"),"695-1","595-1")</f>
        <v>595-1</v>
      </c>
      <c r="W13" s="9">
        <v>16</v>
      </c>
      <c r="X13" s="9">
        <f>IF(ROUNDUP(Aspirantes_112[[#This Row],[Num Creditos]]/16,0)&lt;3,3,ROUNDUP(Aspirantes_112[[#This Row],[Num Creditos]]/16,0))</f>
        <v>3</v>
      </c>
      <c r="Y13" s="9">
        <f>ROUNDUP(Aspirantes_112[[#This Row],[Num Periodos]]*1.5,0)</f>
        <v>5</v>
      </c>
      <c r="Z13" s="9" t="str">
        <f>IF(MID(Aspirantes_112[[#This Row],[Plan Vigente]],1,3)="595","Resolución 16163 del 5 de septiembre de 2023","Resolución 9925 del 21 de junio de 2023")</f>
        <v>Resolución 16163 del 5 de septiembre de 2023</v>
      </c>
      <c r="AA13" s="24" t="s">
        <v>69</v>
      </c>
      <c r="AB13" s="24"/>
    </row>
    <row r="14" spans="1:28" s="10" customFormat="1" ht="21.4" customHeight="1">
      <c r="A14" s="5" t="s">
        <v>239</v>
      </c>
      <c r="B14" s="6" t="s">
        <v>54</v>
      </c>
      <c r="C14" s="5" t="s">
        <v>323</v>
      </c>
      <c r="D14" s="5" t="s">
        <v>324</v>
      </c>
      <c r="E14" s="5" t="s">
        <v>325</v>
      </c>
      <c r="F14" s="5" t="s">
        <v>326</v>
      </c>
      <c r="G14" s="6" t="s">
        <v>327</v>
      </c>
      <c r="H14" s="5" t="s">
        <v>175</v>
      </c>
      <c r="I14" s="5" t="s">
        <v>246</v>
      </c>
      <c r="J14" s="5" t="s">
        <v>246</v>
      </c>
      <c r="K14" s="5" t="s">
        <v>247</v>
      </c>
      <c r="L14" s="5" t="s">
        <v>248</v>
      </c>
      <c r="M14" s="6" t="s">
        <v>55</v>
      </c>
      <c r="N14" s="7" t="s">
        <v>56</v>
      </c>
      <c r="O14" s="5" t="s">
        <v>328</v>
      </c>
      <c r="P14" s="8" t="s">
        <v>22</v>
      </c>
      <c r="Q14" s="9">
        <v>2</v>
      </c>
      <c r="R14" s="9" t="s">
        <v>18</v>
      </c>
      <c r="S14" s="23">
        <v>90.9</v>
      </c>
      <c r="T14" s="9" t="s">
        <v>265</v>
      </c>
      <c r="U14" s="9" t="str">
        <f>_xlfn.CONCAT(Aspirantes_112[[#This Row],[PRIMER NOMBRE]]," ",Aspirantes_112[[#This Row],[SEGUNDO NOMBRE]]," ",Aspirantes_112[[#This Row],[PRIMER APELLIDO]]," ",Aspirantes_112[[#This Row],[SEGUNDO APELLIDO]])</f>
        <v>Carlos Ivan Obregón Barrera</v>
      </c>
      <c r="V14" s="9" t="str">
        <f>IF(OR(Aspirantes_112[[#This Row],[TESIS I ]]="SI",Aspirantes_112[[#This Row],[TESIS I ]]="NO APROBO"),"695-1","595-1")</f>
        <v>695-1</v>
      </c>
      <c r="W14" s="9">
        <v>12</v>
      </c>
      <c r="X14" s="9">
        <f>IF(ROUNDUP(Aspirantes_112[[#This Row],[Num Creditos]]/16,0)&lt;3,3,ROUNDUP(Aspirantes_112[[#This Row],[Num Creditos]]/16,0))</f>
        <v>3</v>
      </c>
      <c r="Y14" s="9">
        <f>ROUNDUP(Aspirantes_112[[#This Row],[Num Periodos]]*1.5,0)</f>
        <v>5</v>
      </c>
      <c r="Z14" s="9" t="str">
        <f>IF(MID(Aspirantes_112[[#This Row],[Plan Vigente]],1,3)="595","Resolución 16163 del 5 de septiembre de 2023","Resolución 9925 del 21 de junio de 2023")</f>
        <v>Resolución 9925 del 21 de junio de 2023</v>
      </c>
      <c r="AA14" s="24" t="s">
        <v>329</v>
      </c>
      <c r="AB14" s="24"/>
    </row>
    <row r="15" spans="1:28" s="10" customFormat="1" ht="21.4" customHeight="1">
      <c r="A15" s="5" t="s">
        <v>239</v>
      </c>
      <c r="B15" s="6">
        <v>4999503</v>
      </c>
      <c r="C15" s="5" t="s">
        <v>330</v>
      </c>
      <c r="D15" s="5" t="s">
        <v>266</v>
      </c>
      <c r="E15" s="5" t="s">
        <v>331</v>
      </c>
      <c r="F15" s="5" t="s">
        <v>332</v>
      </c>
      <c r="G15" s="6" t="s">
        <v>333</v>
      </c>
      <c r="H15" s="5" t="s">
        <v>334</v>
      </c>
      <c r="I15" s="5" t="s">
        <v>246</v>
      </c>
      <c r="J15" s="5" t="s">
        <v>246</v>
      </c>
      <c r="K15" s="5" t="s">
        <v>247</v>
      </c>
      <c r="L15" s="5" t="s">
        <v>248</v>
      </c>
      <c r="M15" s="6" t="s">
        <v>58</v>
      </c>
      <c r="N15" s="7" t="s">
        <v>59</v>
      </c>
      <c r="O15" s="5" t="s">
        <v>335</v>
      </c>
      <c r="P15" s="8" t="s">
        <v>264</v>
      </c>
      <c r="Q15" s="9"/>
      <c r="R15" s="9"/>
      <c r="S15" s="23">
        <v>81.8</v>
      </c>
      <c r="T15" s="9" t="s">
        <v>250</v>
      </c>
      <c r="U15" s="9" t="str">
        <f>_xlfn.CONCAT(Aspirantes_112[[#This Row],[PRIMER NOMBRE]]," ",Aspirantes_112[[#This Row],[SEGUNDO NOMBRE]]," ",Aspirantes_112[[#This Row],[PRIMER APELLIDO]]," ",Aspirantes_112[[#This Row],[SEGUNDO APELLIDO]])</f>
        <v>Laurencio Jose Silva Acosta</v>
      </c>
      <c r="V15" s="9" t="str">
        <f>IF(OR(Aspirantes_112[[#This Row],[TESIS I ]]="SI",Aspirantes_112[[#This Row],[TESIS I ]]="NO APROBO"),"695-1","595-1")</f>
        <v>595-1</v>
      </c>
      <c r="W15" s="9">
        <v>16</v>
      </c>
      <c r="X15" s="9">
        <f>IF(ROUNDUP(Aspirantes_112[[#This Row],[Num Creditos]]/16,0)&lt;3,3,ROUNDUP(Aspirantes_112[[#This Row],[Num Creditos]]/16,0))</f>
        <v>3</v>
      </c>
      <c r="Y15" s="9">
        <f>ROUNDUP(Aspirantes_112[[#This Row],[Num Periodos]]*1.5,0)</f>
        <v>5</v>
      </c>
      <c r="Z15" s="9" t="str">
        <f>IF(MID(Aspirantes_112[[#This Row],[Plan Vigente]],1,3)="595","Resolución 16163 del 5 de septiembre de 2023","Resolución 9925 del 21 de junio de 2023")</f>
        <v>Resolución 16163 del 5 de septiembre de 2023</v>
      </c>
      <c r="AA15" s="24" t="s">
        <v>69</v>
      </c>
      <c r="AB15" s="24"/>
    </row>
    <row r="16" spans="1:28" s="10" customFormat="1" ht="21.4" customHeight="1">
      <c r="A16" s="5" t="s">
        <v>239</v>
      </c>
      <c r="B16" s="6" t="s">
        <v>210</v>
      </c>
      <c r="C16" s="5" t="s">
        <v>252</v>
      </c>
      <c r="D16" s="5" t="s">
        <v>336</v>
      </c>
      <c r="E16" s="5" t="s">
        <v>337</v>
      </c>
      <c r="F16" s="5" t="s">
        <v>338</v>
      </c>
      <c r="G16" s="6" t="s">
        <v>339</v>
      </c>
      <c r="H16" s="5" t="s">
        <v>340</v>
      </c>
      <c r="I16" s="5" t="s">
        <v>246</v>
      </c>
      <c r="J16" s="5" t="s">
        <v>246</v>
      </c>
      <c r="K16" s="5" t="s">
        <v>247</v>
      </c>
      <c r="L16" s="5" t="s">
        <v>248</v>
      </c>
      <c r="M16" s="6" t="s">
        <v>211</v>
      </c>
      <c r="N16" s="7">
        <v>2022</v>
      </c>
      <c r="O16" s="5" t="s">
        <v>341</v>
      </c>
      <c r="P16" s="8" t="s">
        <v>22</v>
      </c>
      <c r="Q16" s="9">
        <v>2</v>
      </c>
      <c r="R16" s="9" t="s">
        <v>206</v>
      </c>
      <c r="S16" s="23">
        <v>81.8</v>
      </c>
      <c r="T16" s="9"/>
      <c r="U16" s="9" t="str">
        <f>_xlfn.CONCAT(Aspirantes_112[[#This Row],[PRIMER NOMBRE]]," ",Aspirantes_112[[#This Row],[SEGUNDO NOMBRE]]," ",Aspirantes_112[[#This Row],[PRIMER APELLIDO]]," ",Aspirantes_112[[#This Row],[SEGUNDO APELLIDO]])</f>
        <v>David Ricaurte Cortes Fonseca</v>
      </c>
      <c r="V16" s="9" t="str">
        <f>IF(OR(Aspirantes_112[[#This Row],[TESIS I ]]="SI",Aspirantes_112[[#This Row],[TESIS I ]]="NO APROBO"),"695-1","595-1")</f>
        <v>595-1</v>
      </c>
      <c r="W16" s="9">
        <v>16</v>
      </c>
      <c r="X16" s="9">
        <f>IF(ROUNDUP(Aspirantes_112[[#This Row],[Num Creditos]]/16,0)&lt;3,3,ROUNDUP(Aspirantes_112[[#This Row],[Num Creditos]]/16,0))</f>
        <v>3</v>
      </c>
      <c r="Y16" s="9">
        <f>ROUNDUP(Aspirantes_112[[#This Row],[Num Periodos]]*1.5,0)</f>
        <v>5</v>
      </c>
      <c r="Z16" s="9" t="str">
        <f>IF(MID(Aspirantes_112[[#This Row],[Plan Vigente]],1,3)="595","Resolución 16163 del 5 de septiembre de 2023","Resolución 9925 del 21 de junio de 2023")</f>
        <v>Resolución 16163 del 5 de septiembre de 2023</v>
      </c>
      <c r="AA16" s="24" t="s">
        <v>212</v>
      </c>
      <c r="AB16" s="24"/>
    </row>
    <row r="17" spans="1:28" s="10" customFormat="1" ht="21.4" customHeight="1">
      <c r="A17" s="5" t="s">
        <v>239</v>
      </c>
      <c r="B17" s="6">
        <v>1110537094</v>
      </c>
      <c r="C17" s="5" t="s">
        <v>342</v>
      </c>
      <c r="D17" s="5" t="s">
        <v>343</v>
      </c>
      <c r="E17" s="5" t="s">
        <v>344</v>
      </c>
      <c r="F17" s="5" t="s">
        <v>345</v>
      </c>
      <c r="G17" s="6" t="s">
        <v>346</v>
      </c>
      <c r="H17" s="5" t="s">
        <v>164</v>
      </c>
      <c r="I17" s="5" t="s">
        <v>246</v>
      </c>
      <c r="J17" s="5" t="s">
        <v>246</v>
      </c>
      <c r="K17" s="5" t="s">
        <v>247</v>
      </c>
      <c r="L17" s="5" t="s">
        <v>248</v>
      </c>
      <c r="M17" s="6" t="s">
        <v>63</v>
      </c>
      <c r="N17" s="7" t="s">
        <v>32</v>
      </c>
      <c r="O17" s="5" t="s">
        <v>347</v>
      </c>
      <c r="P17" s="8" t="s">
        <v>264</v>
      </c>
      <c r="Q17" s="9">
        <v>1</v>
      </c>
      <c r="R17" s="9" t="s">
        <v>18</v>
      </c>
      <c r="S17" s="23">
        <v>81.8</v>
      </c>
      <c r="T17" s="9" t="s">
        <v>250</v>
      </c>
      <c r="U17" s="9" t="str">
        <f>_xlfn.CONCAT(Aspirantes_112[[#This Row],[PRIMER NOMBRE]]," ",Aspirantes_112[[#This Row],[SEGUNDO NOMBRE]]," ",Aspirantes_112[[#This Row],[PRIMER APELLIDO]]," ",Aspirantes_112[[#This Row],[SEGUNDO APELLIDO]])</f>
        <v>Andrés Mauricio Barragán Sarmiento</v>
      </c>
      <c r="V17" s="9" t="str">
        <f>IF(OR(Aspirantes_112[[#This Row],[TESIS I ]]="SI",Aspirantes_112[[#This Row],[TESIS I ]]="NO APROBO"),"695-1","595-1")</f>
        <v>595-1</v>
      </c>
      <c r="W17" s="9">
        <v>16</v>
      </c>
      <c r="X17" s="9">
        <f>IF(ROUNDUP(Aspirantes_112[[#This Row],[Num Creditos]]/16,0)&lt;3,3,ROUNDUP(Aspirantes_112[[#This Row],[Num Creditos]]/16,0))</f>
        <v>3</v>
      </c>
      <c r="Y17" s="9">
        <f>ROUNDUP(Aspirantes_112[[#This Row],[Num Periodos]]*1.5,0)</f>
        <v>5</v>
      </c>
      <c r="Z17" s="9" t="str">
        <f>IF(MID(Aspirantes_112[[#This Row],[Plan Vigente]],1,3)="595","Resolución 16163 del 5 de septiembre de 2023","Resolución 9925 del 21 de junio de 2023")</f>
        <v>Resolución 16163 del 5 de septiembre de 2023</v>
      </c>
      <c r="AA17" s="24" t="s">
        <v>204</v>
      </c>
      <c r="AB17" s="24"/>
    </row>
    <row r="18" spans="1:28" s="10" customFormat="1" ht="21.4" customHeight="1">
      <c r="A18" s="5" t="s">
        <v>239</v>
      </c>
      <c r="B18" s="6">
        <v>79754976</v>
      </c>
      <c r="C18" s="5" t="s">
        <v>348</v>
      </c>
      <c r="D18" s="5" t="s">
        <v>349</v>
      </c>
      <c r="E18" s="5" t="s">
        <v>350</v>
      </c>
      <c r="F18" s="5" t="s">
        <v>351</v>
      </c>
      <c r="G18" s="6" t="s">
        <v>352</v>
      </c>
      <c r="H18" s="5" t="s">
        <v>194</v>
      </c>
      <c r="I18" s="5" t="s">
        <v>246</v>
      </c>
      <c r="J18" s="5" t="s">
        <v>246</v>
      </c>
      <c r="K18" s="5" t="s">
        <v>247</v>
      </c>
      <c r="L18" s="5" t="s">
        <v>248</v>
      </c>
      <c r="M18" s="6" t="s">
        <v>66</v>
      </c>
      <c r="N18" s="7" t="s">
        <v>67</v>
      </c>
      <c r="O18" s="5" t="s">
        <v>353</v>
      </c>
      <c r="P18" s="8" t="s">
        <v>22</v>
      </c>
      <c r="Q18" s="9">
        <v>2</v>
      </c>
      <c r="R18" s="9" t="s">
        <v>18</v>
      </c>
      <c r="S18" s="23">
        <v>63.6</v>
      </c>
      <c r="T18" s="9"/>
      <c r="U18" s="9" t="str">
        <f>_xlfn.CONCAT(Aspirantes_112[[#This Row],[PRIMER NOMBRE]]," ",Aspirantes_112[[#This Row],[SEGUNDO NOMBRE]]," ",Aspirantes_112[[#This Row],[PRIMER APELLIDO]]," ",Aspirantes_112[[#This Row],[SEGUNDO APELLIDO]])</f>
        <v>Hector Hernando Villa Vargas</v>
      </c>
      <c r="V18" s="9" t="str">
        <f>IF(OR(Aspirantes_112[[#This Row],[TESIS I ]]="SI",Aspirantes_112[[#This Row],[TESIS I ]]="NO APROBO"),"695-1","595-1")</f>
        <v>595-1</v>
      </c>
      <c r="W18" s="9">
        <v>20</v>
      </c>
      <c r="X18" s="9">
        <f>IF(ROUNDUP(Aspirantes_112[[#This Row],[Num Creditos]]/16,0)&lt;3,3,ROUNDUP(Aspirantes_112[[#This Row],[Num Creditos]]/16,0))</f>
        <v>3</v>
      </c>
      <c r="Y18" s="9">
        <f>ROUNDUP(Aspirantes_112[[#This Row],[Num Periodos]]*1.5,0)</f>
        <v>5</v>
      </c>
      <c r="Z18" s="9" t="str">
        <f>IF(MID(Aspirantes_112[[#This Row],[Plan Vigente]],1,3)="595","Resolución 16163 del 5 de septiembre de 2023","Resolución 9925 del 21 de junio de 2023")</f>
        <v>Resolución 16163 del 5 de septiembre de 2023</v>
      </c>
      <c r="AA18" s="24" t="s">
        <v>69</v>
      </c>
      <c r="AB18" s="24" t="s">
        <v>22</v>
      </c>
    </row>
    <row r="19" spans="1:28" s="10" customFormat="1" ht="21.4" customHeight="1">
      <c r="A19" s="5" t="s">
        <v>354</v>
      </c>
      <c r="B19" s="6">
        <v>80188625</v>
      </c>
      <c r="C19" s="5" t="s">
        <v>323</v>
      </c>
      <c r="D19" s="5" t="s">
        <v>355</v>
      </c>
      <c r="E19" s="5" t="s">
        <v>356</v>
      </c>
      <c r="F19" s="5" t="s">
        <v>357</v>
      </c>
      <c r="G19" s="6" t="s">
        <v>358</v>
      </c>
      <c r="H19" s="5" t="s">
        <v>197</v>
      </c>
      <c r="I19" s="5" t="s">
        <v>246</v>
      </c>
      <c r="J19" s="5" t="s">
        <v>246</v>
      </c>
      <c r="K19" s="5" t="s">
        <v>247</v>
      </c>
      <c r="L19" s="5" t="s">
        <v>248</v>
      </c>
      <c r="M19" s="6" t="s">
        <v>71</v>
      </c>
      <c r="N19" s="7" t="s">
        <v>32</v>
      </c>
      <c r="O19" s="5" t="s">
        <v>359</v>
      </c>
      <c r="P19" s="8" t="s">
        <v>22</v>
      </c>
      <c r="Q19" s="9">
        <v>1</v>
      </c>
      <c r="R19" s="9" t="s">
        <v>18</v>
      </c>
      <c r="S19" s="23">
        <v>81.8</v>
      </c>
      <c r="T19" s="9" t="s">
        <v>250</v>
      </c>
      <c r="U19" s="9" t="str">
        <f>_xlfn.CONCAT(Aspirantes_112[[#This Row],[PRIMER NOMBRE]]," ",Aspirantes_112[[#This Row],[SEGUNDO NOMBRE]]," ",Aspirantes_112[[#This Row],[PRIMER APELLIDO]]," ",Aspirantes_112[[#This Row],[SEGUNDO APELLIDO]])</f>
        <v>Carlos Andres Uriza Fontecha</v>
      </c>
      <c r="V19" s="9" t="str">
        <f>IF(OR(Aspirantes_112[[#This Row],[TESIS I ]]="SI",Aspirantes_112[[#This Row],[TESIS I ]]="NO APROBO"),"695-1","595-1")</f>
        <v>595-1</v>
      </c>
      <c r="W19" s="9">
        <v>16</v>
      </c>
      <c r="X19" s="9">
        <f>IF(ROUNDUP(Aspirantes_112[[#This Row],[Num Creditos]]/16,0)&lt;3,3,ROUNDUP(Aspirantes_112[[#This Row],[Num Creditos]]/16,0))</f>
        <v>3</v>
      </c>
      <c r="Y19" s="9">
        <f>ROUNDUP(Aspirantes_112[[#This Row],[Num Periodos]]*1.5,0)</f>
        <v>5</v>
      </c>
      <c r="Z19" s="9" t="str">
        <f>IF(MID(Aspirantes_112[[#This Row],[Plan Vigente]],1,3)="595","Resolución 16163 del 5 de septiembre de 2023","Resolución 9925 del 21 de junio de 2023")</f>
        <v>Resolución 16163 del 5 de septiembre de 2023</v>
      </c>
      <c r="AA19" s="24" t="s">
        <v>360</v>
      </c>
      <c r="AB19" s="24"/>
    </row>
    <row r="20" spans="1:28" s="10" customFormat="1" ht="21.4" customHeight="1">
      <c r="A20" s="5" t="s">
        <v>239</v>
      </c>
      <c r="B20" s="6">
        <v>79854687</v>
      </c>
      <c r="C20" s="5" t="s">
        <v>258</v>
      </c>
      <c r="D20" s="5" t="s">
        <v>361</v>
      </c>
      <c r="E20" s="5" t="s">
        <v>338</v>
      </c>
      <c r="F20" s="5" t="s">
        <v>296</v>
      </c>
      <c r="G20" s="6" t="s">
        <v>362</v>
      </c>
      <c r="H20" s="5" t="s">
        <v>363</v>
      </c>
      <c r="I20" s="5" t="s">
        <v>246</v>
      </c>
      <c r="J20" s="5" t="s">
        <v>246</v>
      </c>
      <c r="K20" s="5" t="s">
        <v>247</v>
      </c>
      <c r="L20" s="5" t="s">
        <v>248</v>
      </c>
      <c r="M20" s="6" t="s">
        <v>73</v>
      </c>
      <c r="N20" s="7" t="s">
        <v>74</v>
      </c>
      <c r="O20" s="5" t="s">
        <v>364</v>
      </c>
      <c r="P20" s="8" t="s">
        <v>22</v>
      </c>
      <c r="Q20" s="9">
        <v>1</v>
      </c>
      <c r="R20" s="9" t="s">
        <v>40</v>
      </c>
      <c r="S20" s="23">
        <v>81.8</v>
      </c>
      <c r="T20" s="9" t="s">
        <v>265</v>
      </c>
      <c r="U20" s="9" t="str">
        <f>_xlfn.CONCAT(Aspirantes_112[[#This Row],[PRIMER NOMBRE]]," ",Aspirantes_112[[#This Row],[SEGUNDO NOMBRE]]," ",Aspirantes_112[[#This Row],[PRIMER APELLIDO]]," ",Aspirantes_112[[#This Row],[SEGUNDO APELLIDO]])</f>
        <v>Jorge Alfonso Fonseca Quiroga</v>
      </c>
      <c r="V20" s="9" t="str">
        <f>IF(OR(Aspirantes_112[[#This Row],[TESIS I ]]="SI",Aspirantes_112[[#This Row],[TESIS I ]]="NO APROBO"),"695-1","595-1")</f>
        <v>695-1</v>
      </c>
      <c r="W20" s="9">
        <v>8</v>
      </c>
      <c r="X20" s="9">
        <v>2</v>
      </c>
      <c r="Y20" s="9">
        <f>ROUNDUP(Aspirantes_112[[#This Row],[Num Periodos]]*1.5,0)</f>
        <v>3</v>
      </c>
      <c r="Z20" s="9" t="str">
        <f>IF(MID(Aspirantes_112[[#This Row],[Plan Vigente]],1,3)="595","Resolución 16163 del 5 de septiembre de 2023","Resolución 9925 del 21 de junio de 2023")</f>
        <v>Resolución 9925 del 21 de junio de 2023</v>
      </c>
      <c r="AA20" s="24" t="s">
        <v>76</v>
      </c>
      <c r="AB20" s="24"/>
    </row>
    <row r="21" spans="1:28" s="10" customFormat="1" ht="21.4" customHeight="1">
      <c r="A21" s="5" t="s">
        <v>239</v>
      </c>
      <c r="B21" s="6">
        <v>1015460560</v>
      </c>
      <c r="C21" s="5" t="s">
        <v>252</v>
      </c>
      <c r="D21" s="5" t="s">
        <v>365</v>
      </c>
      <c r="E21" s="5" t="s">
        <v>366</v>
      </c>
      <c r="F21" s="5" t="s">
        <v>367</v>
      </c>
      <c r="G21" s="6" t="s">
        <v>368</v>
      </c>
      <c r="H21" s="5" t="s">
        <v>369</v>
      </c>
      <c r="I21" s="5" t="s">
        <v>246</v>
      </c>
      <c r="J21" s="5" t="s">
        <v>246</v>
      </c>
      <c r="K21" s="5" t="s">
        <v>247</v>
      </c>
      <c r="L21" s="5" t="s">
        <v>248</v>
      </c>
      <c r="M21" s="6" t="s">
        <v>78</v>
      </c>
      <c r="N21" s="7" t="s">
        <v>79</v>
      </c>
      <c r="O21" s="5" t="s">
        <v>370</v>
      </c>
      <c r="P21" s="8" t="s">
        <v>22</v>
      </c>
      <c r="Q21" s="9">
        <v>2</v>
      </c>
      <c r="R21" s="9" t="s">
        <v>18</v>
      </c>
      <c r="S21" s="23">
        <v>81.8</v>
      </c>
      <c r="T21" s="9"/>
      <c r="U21" s="9" t="str">
        <f>_xlfn.CONCAT(Aspirantes_112[[#This Row],[PRIMER NOMBRE]]," ",Aspirantes_112[[#This Row],[SEGUNDO NOMBRE]]," ",Aspirantes_112[[#This Row],[PRIMER APELLIDO]]," ",Aspirantes_112[[#This Row],[SEGUNDO APELLIDO]])</f>
        <v>David Leonardo Dallos Parra</v>
      </c>
      <c r="V21" s="9" t="str">
        <f>IF(OR(Aspirantes_112[[#This Row],[TESIS I ]]="SI",Aspirantes_112[[#This Row],[TESIS I ]]="NO APROBO"),"695-1","595-1")</f>
        <v>595-1</v>
      </c>
      <c r="W21" s="9"/>
      <c r="X21" s="9">
        <f>IF(ROUNDUP(Aspirantes_112[[#This Row],[Num Creditos]]/16,0)&lt;3,3,ROUNDUP(Aspirantes_112[[#This Row],[Num Creditos]]/16,0))</f>
        <v>3</v>
      </c>
      <c r="Y21" s="9">
        <f>ROUNDUP(Aspirantes_112[[#This Row],[Num Periodos]]*1.5,0)</f>
        <v>5</v>
      </c>
      <c r="Z21" s="9" t="str">
        <f>IF(MID(Aspirantes_112[[#This Row],[Plan Vigente]],1,3)="595","Resolución 16163 del 5 de septiembre de 2023","Resolución 9925 del 21 de junio de 2023")</f>
        <v>Resolución 16163 del 5 de septiembre de 2023</v>
      </c>
      <c r="AA21" s="24" t="s">
        <v>371</v>
      </c>
      <c r="AB21" s="24"/>
    </row>
    <row r="22" spans="1:28" s="10" customFormat="1" ht="21.4" customHeight="1">
      <c r="A22" s="5" t="s">
        <v>239</v>
      </c>
      <c r="B22" s="6">
        <v>1023923782</v>
      </c>
      <c r="C22" s="5" t="s">
        <v>372</v>
      </c>
      <c r="D22" s="5" t="s">
        <v>373</v>
      </c>
      <c r="E22" s="5" t="s">
        <v>374</v>
      </c>
      <c r="F22" s="5" t="s">
        <v>351</v>
      </c>
      <c r="G22" s="6" t="s">
        <v>375</v>
      </c>
      <c r="H22" s="5" t="s">
        <v>182</v>
      </c>
      <c r="I22" s="5" t="s">
        <v>246</v>
      </c>
      <c r="J22" s="5" t="s">
        <v>246</v>
      </c>
      <c r="K22" s="5" t="s">
        <v>247</v>
      </c>
      <c r="L22" s="5" t="s">
        <v>248</v>
      </c>
      <c r="M22" s="6" t="s">
        <v>82</v>
      </c>
      <c r="N22" s="7" t="s">
        <v>83</v>
      </c>
      <c r="O22" s="5" t="s">
        <v>376</v>
      </c>
      <c r="P22" s="8" t="s">
        <v>22</v>
      </c>
      <c r="Q22" s="9">
        <v>1</v>
      </c>
      <c r="R22" s="9" t="s">
        <v>40</v>
      </c>
      <c r="S22" s="23">
        <v>81.8</v>
      </c>
      <c r="T22" s="9" t="s">
        <v>250</v>
      </c>
      <c r="U22" s="9" t="str">
        <f>_xlfn.CONCAT(Aspirantes_112[[#This Row],[PRIMER NOMBRE]]," ",Aspirantes_112[[#This Row],[SEGUNDO NOMBRE]]," ",Aspirantes_112[[#This Row],[PRIMER APELLIDO]]," ",Aspirantes_112[[#This Row],[SEGUNDO APELLIDO]])</f>
        <v>Karen Andrea Huertas Vargas</v>
      </c>
      <c r="V22" s="9" t="str">
        <f>IF(OR(Aspirantes_112[[#This Row],[TESIS I ]]="SI",Aspirantes_112[[#This Row],[TESIS I ]]="NO APROBO"),"695-1","595-1")</f>
        <v>595-1</v>
      </c>
      <c r="W22" s="9">
        <v>16</v>
      </c>
      <c r="X22" s="9">
        <f>IF(ROUNDUP(Aspirantes_112[[#This Row],[Num Creditos]]/16,0)&lt;3,3,ROUNDUP(Aspirantes_112[[#This Row],[Num Creditos]]/16,0))</f>
        <v>3</v>
      </c>
      <c r="Y22" s="9">
        <f>ROUNDUP(Aspirantes_112[[#This Row],[Num Periodos]]*1.5,0)</f>
        <v>5</v>
      </c>
      <c r="Z22" s="9" t="str">
        <f>IF(MID(Aspirantes_112[[#This Row],[Plan Vigente]],1,3)="595","Resolución 16163 del 5 de septiembre de 2023","Resolución 9925 del 21 de junio de 2023")</f>
        <v>Resolución 16163 del 5 de septiembre de 2023</v>
      </c>
      <c r="AA22" s="24" t="s">
        <v>85</v>
      </c>
      <c r="AB22" s="24"/>
    </row>
    <row r="23" spans="1:28" s="10" customFormat="1" ht="21.4" customHeight="1">
      <c r="A23" s="5" t="s">
        <v>239</v>
      </c>
      <c r="B23" s="6">
        <v>79472385</v>
      </c>
      <c r="C23" s="5" t="s">
        <v>377</v>
      </c>
      <c r="D23" s="5"/>
      <c r="E23" s="5" t="s">
        <v>378</v>
      </c>
      <c r="F23" s="5" t="s">
        <v>379</v>
      </c>
      <c r="G23" s="6" t="s">
        <v>380</v>
      </c>
      <c r="H23" s="5" t="s">
        <v>381</v>
      </c>
      <c r="I23" s="5" t="s">
        <v>246</v>
      </c>
      <c r="J23" s="5" t="s">
        <v>246</v>
      </c>
      <c r="K23" s="5" t="s">
        <v>247</v>
      </c>
      <c r="L23" s="5" t="s">
        <v>248</v>
      </c>
      <c r="M23" s="6" t="s">
        <v>213</v>
      </c>
      <c r="N23" s="7">
        <v>44958</v>
      </c>
      <c r="O23" s="5" t="s">
        <v>382</v>
      </c>
      <c r="P23" s="8" t="s">
        <v>22</v>
      </c>
      <c r="Q23" s="9"/>
      <c r="R23" s="9"/>
      <c r="S23" s="23">
        <v>81.8</v>
      </c>
      <c r="T23" s="9" t="s">
        <v>265</v>
      </c>
      <c r="U23" s="9" t="str">
        <f>_xlfn.CONCAT(Aspirantes_112[[#This Row],[PRIMER NOMBRE]]," ",Aspirantes_112[[#This Row],[SEGUNDO NOMBRE]]," ",Aspirantes_112[[#This Row],[PRIMER APELLIDO]]," ",Aspirantes_112[[#This Row],[SEGUNDO APELLIDO]])</f>
        <v>Samuel  Páez Pisco</v>
      </c>
      <c r="V23" s="9" t="str">
        <f>IF(OR(Aspirantes_112[[#This Row],[TESIS I ]]="SI",Aspirantes_112[[#This Row],[TESIS I ]]="NO APROBO"),"695-1","595-1")</f>
        <v>695-1</v>
      </c>
      <c r="W23" s="9">
        <v>8</v>
      </c>
      <c r="X23" s="9">
        <v>2</v>
      </c>
      <c r="Y23" s="9">
        <f>ROUNDUP(Aspirantes_112[[#This Row],[Num Periodos]]*1.5,0)</f>
        <v>3</v>
      </c>
      <c r="Z23" s="9" t="str">
        <f>IF(MID(Aspirantes_112[[#This Row],[Plan Vigente]],1,3)="595","Resolución 16163 del 5 de septiembre de 2023","Resolución 9925 del 21 de junio de 2023")</f>
        <v>Resolución 9925 del 21 de junio de 2023</v>
      </c>
      <c r="AA23" s="24" t="s">
        <v>69</v>
      </c>
      <c r="AB23" s="24"/>
    </row>
    <row r="24" spans="1:28" s="10" customFormat="1" ht="21.4" customHeight="1">
      <c r="A24" s="5" t="s">
        <v>239</v>
      </c>
      <c r="B24" s="6">
        <v>1026285169</v>
      </c>
      <c r="C24" s="5" t="s">
        <v>372</v>
      </c>
      <c r="D24" s="5" t="s">
        <v>383</v>
      </c>
      <c r="E24" s="5" t="s">
        <v>384</v>
      </c>
      <c r="F24" s="5" t="s">
        <v>385</v>
      </c>
      <c r="G24" s="6" t="s">
        <v>386</v>
      </c>
      <c r="H24" s="5" t="s">
        <v>387</v>
      </c>
      <c r="I24" s="5" t="s">
        <v>246</v>
      </c>
      <c r="J24" s="5" t="s">
        <v>246</v>
      </c>
      <c r="K24" s="5" t="s">
        <v>247</v>
      </c>
      <c r="L24" s="5" t="s">
        <v>248</v>
      </c>
      <c r="M24" s="6" t="s">
        <v>86</v>
      </c>
      <c r="N24" s="7" t="s">
        <v>87</v>
      </c>
      <c r="O24" s="5" t="s">
        <v>388</v>
      </c>
      <c r="P24" s="8" t="s">
        <v>22</v>
      </c>
      <c r="Q24" s="9">
        <v>1</v>
      </c>
      <c r="R24" s="9" t="s">
        <v>18</v>
      </c>
      <c r="S24" s="23">
        <v>72.7</v>
      </c>
      <c r="T24" s="9"/>
      <c r="U24" s="9" t="str">
        <f>_xlfn.CONCAT(Aspirantes_112[[#This Row],[PRIMER NOMBRE]]," ",Aspirantes_112[[#This Row],[SEGUNDO NOMBRE]]," ",Aspirantes_112[[#This Row],[PRIMER APELLIDO]]," ",Aspirantes_112[[#This Row],[SEGUNDO APELLIDO]])</f>
        <v>Karen Michelle Correa Alba</v>
      </c>
      <c r="V24" s="9" t="str">
        <f>IF(OR(Aspirantes_112[[#This Row],[TESIS I ]]="SI",Aspirantes_112[[#This Row],[TESIS I ]]="NO APROBO"),"695-1","595-1")</f>
        <v>595-1</v>
      </c>
      <c r="W24" s="9">
        <v>16</v>
      </c>
      <c r="X24" s="9">
        <f>IF(ROUNDUP(Aspirantes_112[[#This Row],[Num Creditos]]/16,0)&lt;3,3,ROUNDUP(Aspirantes_112[[#This Row],[Num Creditos]]/16,0))</f>
        <v>3</v>
      </c>
      <c r="Y24" s="9">
        <f>ROUNDUP(Aspirantes_112[[#This Row],[Num Periodos]]*1.5,0)</f>
        <v>5</v>
      </c>
      <c r="Z24" s="9" t="str">
        <f>IF(MID(Aspirantes_112[[#This Row],[Plan Vigente]],1,3)="595","Resolución 16163 del 5 de septiembre de 2023","Resolución 9925 del 21 de junio de 2023")</f>
        <v>Resolución 16163 del 5 de septiembre de 2023</v>
      </c>
      <c r="AA24" s="24" t="s">
        <v>21</v>
      </c>
      <c r="AB24" s="24" t="s">
        <v>22</v>
      </c>
    </row>
    <row r="25" spans="1:28" s="10" customFormat="1" ht="21.4" customHeight="1">
      <c r="A25" s="5" t="s">
        <v>239</v>
      </c>
      <c r="B25" s="6">
        <v>1094161993</v>
      </c>
      <c r="C25" s="5" t="s">
        <v>389</v>
      </c>
      <c r="D25" s="5" t="s">
        <v>389</v>
      </c>
      <c r="E25" s="5" t="s">
        <v>390</v>
      </c>
      <c r="F25" s="5" t="s">
        <v>391</v>
      </c>
      <c r="G25" s="6" t="s">
        <v>392</v>
      </c>
      <c r="H25" s="5" t="s">
        <v>393</v>
      </c>
      <c r="I25" s="5" t="s">
        <v>246</v>
      </c>
      <c r="J25" s="5" t="s">
        <v>246</v>
      </c>
      <c r="K25" s="5" t="s">
        <v>247</v>
      </c>
      <c r="L25" s="5" t="s">
        <v>248</v>
      </c>
      <c r="M25" s="6" t="s">
        <v>89</v>
      </c>
      <c r="N25" s="7" t="s">
        <v>90</v>
      </c>
      <c r="O25" s="5" t="s">
        <v>394</v>
      </c>
      <c r="P25" s="8" t="s">
        <v>264</v>
      </c>
      <c r="Q25" s="9">
        <v>1</v>
      </c>
      <c r="R25" s="9" t="s">
        <v>18</v>
      </c>
      <c r="S25" s="23">
        <v>81.8</v>
      </c>
      <c r="T25" s="9"/>
      <c r="U25" s="9" t="str">
        <f>_xlfn.CONCAT(Aspirantes_112[[#This Row],[PRIMER NOMBRE]]," ",Aspirantes_112[[#This Row],[SEGUNDO NOMBRE]]," ",Aspirantes_112[[#This Row],[PRIMER APELLIDO]]," ",Aspirantes_112[[#This Row],[SEGUNDO APELLIDO]])</f>
        <v>william william garnica parada</v>
      </c>
      <c r="V25" s="9" t="str">
        <f>IF(OR(Aspirantes_112[[#This Row],[TESIS I ]]="SI",Aspirantes_112[[#This Row],[TESIS I ]]="NO APROBO"),"695-1","595-1")</f>
        <v>595-1</v>
      </c>
      <c r="W25" s="9">
        <v>16</v>
      </c>
      <c r="X25" s="9">
        <f>IF(ROUNDUP(Aspirantes_112[[#This Row],[Num Creditos]]/16,0)&lt;3,3,ROUNDUP(Aspirantes_112[[#This Row],[Num Creditos]]/16,0))</f>
        <v>3</v>
      </c>
      <c r="Y25" s="9">
        <f>ROUNDUP(Aspirantes_112[[#This Row],[Num Periodos]]*1.5,0)</f>
        <v>5</v>
      </c>
      <c r="Z25" s="9" t="str">
        <f>IF(MID(Aspirantes_112[[#This Row],[Plan Vigente]],1,3)="595","Resolución 16163 del 5 de septiembre de 2023","Resolución 9925 del 21 de junio de 2023")</f>
        <v>Resolución 16163 del 5 de septiembre de 2023</v>
      </c>
      <c r="AA25" s="24" t="s">
        <v>21</v>
      </c>
      <c r="AB25" s="24" t="s">
        <v>22</v>
      </c>
    </row>
    <row r="26" spans="1:28" s="10" customFormat="1" ht="21.4" customHeight="1">
      <c r="A26" s="5" t="s">
        <v>239</v>
      </c>
      <c r="B26" s="6">
        <v>1033698113</v>
      </c>
      <c r="C26" s="5" t="s">
        <v>323</v>
      </c>
      <c r="D26" s="5" t="s">
        <v>355</v>
      </c>
      <c r="E26" s="5" t="s">
        <v>312</v>
      </c>
      <c r="F26" s="5" t="s">
        <v>255</v>
      </c>
      <c r="G26" s="6" t="s">
        <v>395</v>
      </c>
      <c r="H26" s="28" t="s">
        <v>396</v>
      </c>
      <c r="I26" s="5" t="s">
        <v>246</v>
      </c>
      <c r="J26" s="5" t="s">
        <v>246</v>
      </c>
      <c r="K26" s="5" t="s">
        <v>247</v>
      </c>
      <c r="L26" s="5" t="s">
        <v>248</v>
      </c>
      <c r="M26" s="6" t="s">
        <v>92</v>
      </c>
      <c r="N26" s="7" t="s">
        <v>74</v>
      </c>
      <c r="O26" s="5" t="s">
        <v>397</v>
      </c>
      <c r="P26" s="8" t="s">
        <v>22</v>
      </c>
      <c r="Q26" s="9">
        <v>2</v>
      </c>
      <c r="R26" s="9" t="s">
        <v>18</v>
      </c>
      <c r="S26" s="23">
        <v>81.8</v>
      </c>
      <c r="T26" s="9" t="s">
        <v>265</v>
      </c>
      <c r="U26" s="9" t="str">
        <f>_xlfn.CONCAT(Aspirantes_112[[#This Row],[PRIMER NOMBRE]]," ",Aspirantes_112[[#This Row],[SEGUNDO NOMBRE]]," ",Aspirantes_112[[#This Row],[PRIMER APELLIDO]]," ",Aspirantes_112[[#This Row],[SEGUNDO APELLIDO]])</f>
        <v>Carlos Andres Daza Espitia</v>
      </c>
      <c r="V26" s="9" t="str">
        <f>IF(OR(Aspirantes_112[[#This Row],[TESIS I ]]="SI",Aspirantes_112[[#This Row],[TESIS I ]]="NO APROBO"),"695-1","595-1")</f>
        <v>695-1</v>
      </c>
      <c r="W26" s="9">
        <v>16</v>
      </c>
      <c r="X26" s="9">
        <f>IF(ROUNDUP(Aspirantes_112[[#This Row],[Num Creditos]]/16,0)&lt;3,3,ROUNDUP(Aspirantes_112[[#This Row],[Num Creditos]]/16,0))</f>
        <v>3</v>
      </c>
      <c r="Y26" s="9">
        <f>ROUNDUP(Aspirantes_112[[#This Row],[Num Periodos]]*1.5,0)</f>
        <v>5</v>
      </c>
      <c r="Z26" s="9" t="str">
        <f>IF(MID(Aspirantes_112[[#This Row],[Plan Vigente]],1,3)="595","Resolución 16163 del 5 de septiembre de 2023","Resolución 9925 del 21 de junio de 2023")</f>
        <v>Resolución 9925 del 21 de junio de 2023</v>
      </c>
      <c r="AA26" s="24" t="s">
        <v>69</v>
      </c>
      <c r="AB26" s="24" t="s">
        <v>22</v>
      </c>
    </row>
    <row r="27" spans="1:28" s="10" customFormat="1" ht="25.5" customHeight="1">
      <c r="A27" s="15" t="s">
        <v>239</v>
      </c>
      <c r="B27" s="16" t="s">
        <v>398</v>
      </c>
      <c r="C27" s="15" t="s">
        <v>399</v>
      </c>
      <c r="D27" s="15" t="s">
        <v>400</v>
      </c>
      <c r="E27" s="15" t="s">
        <v>401</v>
      </c>
      <c r="F27" s="15" t="s">
        <v>402</v>
      </c>
      <c r="G27" s="16" t="s">
        <v>403</v>
      </c>
      <c r="H27" s="28" t="s">
        <v>404</v>
      </c>
      <c r="I27" s="15" t="s">
        <v>246</v>
      </c>
      <c r="J27" s="15" t="s">
        <v>246</v>
      </c>
      <c r="K27" s="15" t="s">
        <v>247</v>
      </c>
      <c r="L27" s="15" t="s">
        <v>248</v>
      </c>
      <c r="M27" s="16" t="s">
        <v>95</v>
      </c>
      <c r="N27" s="17" t="s">
        <v>32</v>
      </c>
      <c r="O27" s="15" t="s">
        <v>405</v>
      </c>
      <c r="P27" s="18" t="s">
        <v>22</v>
      </c>
      <c r="Q27" s="9">
        <v>2</v>
      </c>
      <c r="R27" s="9" t="s">
        <v>18</v>
      </c>
      <c r="S27" s="23">
        <v>81.8</v>
      </c>
      <c r="T27" s="9" t="s">
        <v>22</v>
      </c>
      <c r="U27" s="9" t="str">
        <f>_xlfn.CONCAT(Aspirantes_112[[#This Row],[PRIMER NOMBRE]]," ",Aspirantes_112[[#This Row],[SEGUNDO NOMBRE]]," ",Aspirantes_112[[#This Row],[PRIMER APELLIDO]]," ",Aspirantes_112[[#This Row],[SEGUNDO APELLIDO]])</f>
        <v>José Sebastian Cañon Moreno</v>
      </c>
      <c r="V27" s="9" t="str">
        <f>IF(OR(Aspirantes_112[[#This Row],[TESIS I ]]="SI",Aspirantes_112[[#This Row],[TESIS I ]]="NO APROBO"),"695-1","595-1")</f>
        <v>695-1</v>
      </c>
      <c r="W27" s="9">
        <v>12</v>
      </c>
      <c r="X27" s="9">
        <f>IF(ROUNDUP(Aspirantes_112[[#This Row],[Num Creditos]]/16,0)&lt;3,3,ROUNDUP(Aspirantes_112[[#This Row],[Num Creditos]]/16,0))</f>
        <v>3</v>
      </c>
      <c r="Y27" s="9">
        <f>ROUNDUP(Aspirantes_112[[#This Row],[Num Periodos]]*1.5,0)</f>
        <v>5</v>
      </c>
      <c r="Z27" s="9" t="str">
        <f>IF(MID(Aspirantes_112[[#This Row],[Plan Vigente]],1,3)="595","Resolución 16163 del 5 de septiembre de 2023","Resolución 9925 del 21 de junio de 2023")</f>
        <v>Resolución 9925 del 21 de junio de 2023</v>
      </c>
      <c r="AA27" s="24" t="s">
        <v>21</v>
      </c>
      <c r="AB27" s="24" t="s">
        <v>22</v>
      </c>
    </row>
    <row r="28" spans="1:28" s="10" customFormat="1" ht="22.5" customHeight="1">
      <c r="A28" s="15" t="s">
        <v>239</v>
      </c>
      <c r="B28" s="16" t="s">
        <v>406</v>
      </c>
      <c r="C28" s="15" t="s">
        <v>407</v>
      </c>
      <c r="D28" s="15" t="s">
        <v>408</v>
      </c>
      <c r="E28" s="15" t="s">
        <v>409</v>
      </c>
      <c r="F28" s="15" t="s">
        <v>410</v>
      </c>
      <c r="G28" s="16" t="s">
        <v>411</v>
      </c>
      <c r="H28" s="15" t="s">
        <v>412</v>
      </c>
      <c r="I28" s="15" t="s">
        <v>246</v>
      </c>
      <c r="J28" s="15" t="s">
        <v>246</v>
      </c>
      <c r="K28" s="15" t="s">
        <v>247</v>
      </c>
      <c r="L28" s="15" t="s">
        <v>248</v>
      </c>
      <c r="M28" s="16" t="s">
        <v>215</v>
      </c>
      <c r="N28" s="17" t="s">
        <v>216</v>
      </c>
      <c r="O28" s="15" t="s">
        <v>413</v>
      </c>
      <c r="P28" s="18" t="s">
        <v>22</v>
      </c>
      <c r="Q28" s="9">
        <v>1</v>
      </c>
      <c r="R28" s="9" t="s">
        <v>18</v>
      </c>
      <c r="S28" s="23">
        <v>81.8</v>
      </c>
      <c r="T28" s="9"/>
      <c r="U28" s="9" t="str">
        <f>_xlfn.CONCAT(Aspirantes_112[[#This Row],[PRIMER NOMBRE]]," ",Aspirantes_112[[#This Row],[SEGUNDO NOMBRE]]," ",Aspirantes_112[[#This Row],[PRIMER APELLIDO]]," ",Aspirantes_112[[#This Row],[SEGUNDO APELLIDO]])</f>
        <v>Gerardo Alberto Orozco Serrano</v>
      </c>
      <c r="V28" s="9" t="str">
        <f>IF(OR(Aspirantes_112[[#This Row],[TESIS I ]]="SI",Aspirantes_112[[#This Row],[TESIS I ]]="NO APROBO"),"695-1","595-1")</f>
        <v>595-1</v>
      </c>
      <c r="W28" s="9">
        <v>16</v>
      </c>
      <c r="X28" s="9">
        <f>IF(ROUNDUP(Aspirantes_112[[#This Row],[Num Creditos]]/16,0)&lt;3,3,ROUNDUP(Aspirantes_112[[#This Row],[Num Creditos]]/16,0))</f>
        <v>3</v>
      </c>
      <c r="Y28" s="9">
        <f>ROUNDUP(Aspirantes_112[[#This Row],[Num Periodos]]*1.5,0)</f>
        <v>5</v>
      </c>
      <c r="Z28" s="9" t="str">
        <f>IF(MID(Aspirantes_112[[#This Row],[Plan Vigente]],1,3)="595","Resolución 16163 del 5 de septiembre de 2023","Resolución 9925 del 21 de junio de 2023")</f>
        <v>Resolución 16163 del 5 de septiembre de 2023</v>
      </c>
      <c r="AA28" s="24" t="s">
        <v>69</v>
      </c>
      <c r="AB28" s="24"/>
    </row>
    <row r="29" spans="1:28" s="10" customFormat="1" ht="17.25" customHeight="1">
      <c r="A29" s="15" t="s">
        <v>239</v>
      </c>
      <c r="B29" s="16" t="s">
        <v>414</v>
      </c>
      <c r="C29" s="15" t="s">
        <v>415</v>
      </c>
      <c r="D29" s="15" t="s">
        <v>416</v>
      </c>
      <c r="E29" s="15" t="s">
        <v>417</v>
      </c>
      <c r="F29" s="15" t="s">
        <v>418</v>
      </c>
      <c r="G29" s="16" t="s">
        <v>419</v>
      </c>
      <c r="H29" s="15" t="s">
        <v>420</v>
      </c>
      <c r="I29" s="15" t="s">
        <v>246</v>
      </c>
      <c r="J29" s="15" t="s">
        <v>246</v>
      </c>
      <c r="K29" s="15" t="s">
        <v>247</v>
      </c>
      <c r="L29" s="15" t="s">
        <v>248</v>
      </c>
      <c r="M29" s="16" t="s">
        <v>99</v>
      </c>
      <c r="N29" s="17" t="s">
        <v>39</v>
      </c>
      <c r="O29" s="15" t="s">
        <v>421</v>
      </c>
      <c r="P29" s="18" t="s">
        <v>22</v>
      </c>
      <c r="Q29" s="9">
        <v>1</v>
      </c>
      <c r="R29" s="9" t="s">
        <v>20</v>
      </c>
      <c r="S29" s="23">
        <v>81.8</v>
      </c>
      <c r="T29" s="9"/>
      <c r="U29" s="9" t="str">
        <f>_xlfn.CONCAT(Aspirantes_112[[#This Row],[PRIMER NOMBRE]]," ",Aspirantes_112[[#This Row],[SEGUNDO NOMBRE]]," ",Aspirantes_112[[#This Row],[PRIMER APELLIDO]]," ",Aspirantes_112[[#This Row],[SEGUNDO APELLIDO]])</f>
        <v>John Fredy Piñeros Hernández</v>
      </c>
      <c r="V29" s="9" t="str">
        <f>IF(OR(Aspirantes_112[[#This Row],[TESIS I ]]="SI",Aspirantes_112[[#This Row],[TESIS I ]]="NO APROBO"),"695-1","595-1")</f>
        <v>595-1</v>
      </c>
      <c r="W29" s="9">
        <v>16</v>
      </c>
      <c r="X29" s="9">
        <f>IF(ROUNDUP(Aspirantes_112[[#This Row],[Num Creditos]]/16,0)&lt;3,3,ROUNDUP(Aspirantes_112[[#This Row],[Num Creditos]]/16,0))</f>
        <v>3</v>
      </c>
      <c r="Y29" s="9">
        <f>ROUNDUP(Aspirantes_112[[#This Row],[Num Periodos]]*1.5,0)</f>
        <v>5</v>
      </c>
      <c r="Z29" s="9" t="str">
        <f>IF(MID(Aspirantes_112[[#This Row],[Plan Vigente]],1,3)="595","Resolución 16163 del 5 de septiembre de 2023","Resolución 9925 del 21 de junio de 2023")</f>
        <v>Resolución 16163 del 5 de septiembre de 2023</v>
      </c>
      <c r="AA29" s="24" t="s">
        <v>101</v>
      </c>
      <c r="AB29" s="24" t="s">
        <v>22</v>
      </c>
    </row>
    <row r="30" spans="1:28" s="10" customFormat="1" ht="20.25" customHeight="1">
      <c r="A30" s="15" t="s">
        <v>239</v>
      </c>
      <c r="B30" s="16" t="s">
        <v>422</v>
      </c>
      <c r="C30" s="15" t="s">
        <v>423</v>
      </c>
      <c r="D30" s="15" t="s">
        <v>424</v>
      </c>
      <c r="E30" s="15" t="s">
        <v>351</v>
      </c>
      <c r="F30" s="15" t="s">
        <v>425</v>
      </c>
      <c r="G30" s="16" t="s">
        <v>426</v>
      </c>
      <c r="H30" s="15" t="s">
        <v>427</v>
      </c>
      <c r="I30" s="15" t="s">
        <v>246</v>
      </c>
      <c r="J30" s="15" t="s">
        <v>246</v>
      </c>
      <c r="K30" s="15" t="s">
        <v>247</v>
      </c>
      <c r="L30" s="15" t="s">
        <v>248</v>
      </c>
      <c r="M30" s="16" t="s">
        <v>102</v>
      </c>
      <c r="N30" s="17" t="s">
        <v>103</v>
      </c>
      <c r="O30" s="15" t="s">
        <v>428</v>
      </c>
      <c r="P30" s="18" t="s">
        <v>22</v>
      </c>
      <c r="Q30" s="9">
        <v>1</v>
      </c>
      <c r="R30" s="9" t="s">
        <v>52</v>
      </c>
      <c r="S30" s="23">
        <v>90.9</v>
      </c>
      <c r="T30" s="9" t="s">
        <v>22</v>
      </c>
      <c r="U30" s="9" t="str">
        <f>_xlfn.CONCAT(Aspirantes_112[[#This Row],[PRIMER NOMBRE]]," ",Aspirantes_112[[#This Row],[SEGUNDO NOMBRE]]," ",Aspirantes_112[[#This Row],[PRIMER APELLIDO]]," ",Aspirantes_112[[#This Row],[SEGUNDO APELLIDO]])</f>
        <v>José  Manuel Vargas Montero</v>
      </c>
      <c r="V30" s="9" t="str">
        <f>IF(OR(Aspirantes_112[[#This Row],[TESIS I ]]="SI",Aspirantes_112[[#This Row],[TESIS I ]]="NO APROBO"),"695-1","595-1")</f>
        <v>695-1</v>
      </c>
      <c r="W30" s="9">
        <v>8</v>
      </c>
      <c r="X30" s="9">
        <v>2</v>
      </c>
      <c r="Y30" s="9">
        <f>ROUNDUP(Aspirantes_112[[#This Row],[Num Periodos]]*1.5,0)</f>
        <v>3</v>
      </c>
      <c r="Z30" s="9" t="str">
        <f>IF(MID(Aspirantes_112[[#This Row],[Plan Vigente]],1,3)="595","Resolución 16163 del 5 de septiembre de 2023","Resolución 9925 del 21 de junio de 2023")</f>
        <v>Resolución 9925 del 21 de junio de 2023</v>
      </c>
      <c r="AA30" s="24" t="s">
        <v>69</v>
      </c>
      <c r="AB30" s="24" t="s">
        <v>43</v>
      </c>
    </row>
    <row r="31" spans="1:28" s="10" customFormat="1" ht="22.5" customHeight="1">
      <c r="A31" s="15" t="s">
        <v>239</v>
      </c>
      <c r="B31" s="16" t="s">
        <v>429</v>
      </c>
      <c r="C31" s="15" t="s">
        <v>430</v>
      </c>
      <c r="D31" s="15" t="s">
        <v>431</v>
      </c>
      <c r="E31" s="15" t="s">
        <v>432</v>
      </c>
      <c r="F31" s="15" t="s">
        <v>433</v>
      </c>
      <c r="G31" s="16" t="s">
        <v>434</v>
      </c>
      <c r="H31" s="15" t="s">
        <v>435</v>
      </c>
      <c r="I31" s="15" t="s">
        <v>246</v>
      </c>
      <c r="J31" s="15" t="s">
        <v>246</v>
      </c>
      <c r="K31" s="15" t="s">
        <v>247</v>
      </c>
      <c r="L31" s="15" t="s">
        <v>248</v>
      </c>
      <c r="M31" s="16" t="s">
        <v>106</v>
      </c>
      <c r="N31" s="17" t="s">
        <v>107</v>
      </c>
      <c r="O31" s="15" t="s">
        <v>428</v>
      </c>
      <c r="P31" s="18" t="s">
        <v>22</v>
      </c>
      <c r="Q31" s="9">
        <v>1</v>
      </c>
      <c r="R31" s="9" t="s">
        <v>52</v>
      </c>
      <c r="S31" s="23">
        <v>90.9</v>
      </c>
      <c r="T31" s="9" t="s">
        <v>22</v>
      </c>
      <c r="U31" s="9" t="str">
        <f>_xlfn.CONCAT(Aspirantes_112[[#This Row],[PRIMER NOMBRE]]," ",Aspirantes_112[[#This Row],[SEGUNDO NOMBRE]]," ",Aspirantes_112[[#This Row],[PRIMER APELLIDO]]," ",Aspirantes_112[[#This Row],[SEGUNDO APELLIDO]])</f>
        <v xml:space="preserve">Laura Camila Scarpetta Rodriguez </v>
      </c>
      <c r="V31" s="9" t="str">
        <f>IF(OR(Aspirantes_112[[#This Row],[TESIS I ]]="SI",Aspirantes_112[[#This Row],[TESIS I ]]="NO APROBO"),"695-1","595-1")</f>
        <v>695-1</v>
      </c>
      <c r="W31" s="9">
        <v>8</v>
      </c>
      <c r="X31" s="9">
        <v>2</v>
      </c>
      <c r="Y31" s="9">
        <f>ROUNDUP(Aspirantes_112[[#This Row],[Num Periodos]]*1.5,0)</f>
        <v>3</v>
      </c>
      <c r="Z31" s="9" t="str">
        <f>IF(MID(Aspirantes_112[[#This Row],[Plan Vigente]],1,3)="595","Resolución 16163 del 5 de septiembre de 2023","Resolución 9925 del 21 de junio de 2023")</f>
        <v>Resolución 9925 del 21 de junio de 2023</v>
      </c>
      <c r="AA31" s="24" t="s">
        <v>21</v>
      </c>
      <c r="AB31" s="24" t="s">
        <v>22</v>
      </c>
    </row>
    <row r="32" spans="1:28" s="10" customFormat="1" ht="19.5" customHeight="1">
      <c r="A32" s="15" t="s">
        <v>239</v>
      </c>
      <c r="B32" s="16" t="s">
        <v>436</v>
      </c>
      <c r="C32" s="15" t="s">
        <v>437</v>
      </c>
      <c r="D32" s="15"/>
      <c r="E32" s="15" t="s">
        <v>438</v>
      </c>
      <c r="F32" s="15" t="s">
        <v>439</v>
      </c>
      <c r="G32" s="16" t="s">
        <v>440</v>
      </c>
      <c r="H32" s="15" t="s">
        <v>156</v>
      </c>
      <c r="I32" s="15" t="s">
        <v>246</v>
      </c>
      <c r="J32" s="15" t="s">
        <v>246</v>
      </c>
      <c r="K32" s="15" t="s">
        <v>247</v>
      </c>
      <c r="L32" s="15" t="s">
        <v>248</v>
      </c>
      <c r="M32" s="16" t="s">
        <v>111</v>
      </c>
      <c r="N32" s="17" t="s">
        <v>47</v>
      </c>
      <c r="O32" s="15" t="s">
        <v>441</v>
      </c>
      <c r="P32" s="18" t="s">
        <v>22</v>
      </c>
      <c r="Q32" s="9">
        <v>1</v>
      </c>
      <c r="R32" s="9" t="s">
        <v>18</v>
      </c>
      <c r="S32" s="23">
        <v>81.8</v>
      </c>
      <c r="T32" s="9" t="s">
        <v>22</v>
      </c>
      <c r="U32" s="9" t="str">
        <f>_xlfn.CONCAT(Aspirantes_112[[#This Row],[PRIMER NOMBRE]]," ",Aspirantes_112[[#This Row],[SEGUNDO NOMBRE]]," ",Aspirantes_112[[#This Row],[PRIMER APELLIDO]]," ",Aspirantes_112[[#This Row],[SEGUNDO APELLIDO]])</f>
        <v xml:space="preserve">Edgar  Trujillo Garcia </v>
      </c>
      <c r="V32" s="9" t="str">
        <f>IF(OR(Aspirantes_112[[#This Row],[TESIS I ]]="SI",Aspirantes_112[[#This Row],[TESIS I ]]="NO APROBO"),"695-1","595-1")</f>
        <v>695-1</v>
      </c>
      <c r="W32" s="9">
        <v>8</v>
      </c>
      <c r="X32" s="9">
        <v>2</v>
      </c>
      <c r="Y32" s="9">
        <f>ROUNDUP(Aspirantes_112[[#This Row],[Num Periodos]]*1.5,0)</f>
        <v>3</v>
      </c>
      <c r="Z32" s="9" t="str">
        <f>IF(MID(Aspirantes_112[[#This Row],[Plan Vigente]],1,3)="595","Resolución 16163 del 5 de septiembre de 2023","Resolución 9925 del 21 de junio de 2023")</f>
        <v>Resolución 9925 del 21 de junio de 2023</v>
      </c>
      <c r="AA32" s="24" t="s">
        <v>21</v>
      </c>
      <c r="AB32" s="24" t="s">
        <v>22</v>
      </c>
    </row>
    <row r="33" spans="1:28" s="12" customFormat="1" ht="99.75">
      <c r="A33" s="13" t="s">
        <v>239</v>
      </c>
      <c r="B33" s="14" t="s">
        <v>442</v>
      </c>
      <c r="C33" s="13" t="s">
        <v>443</v>
      </c>
      <c r="D33" s="13" t="s">
        <v>444</v>
      </c>
      <c r="E33" s="13" t="s">
        <v>268</v>
      </c>
      <c r="F33" s="13" t="s">
        <v>445</v>
      </c>
      <c r="G33" s="14" t="s">
        <v>446</v>
      </c>
      <c r="H33" s="13" t="s">
        <v>447</v>
      </c>
      <c r="I33" s="13" t="s">
        <v>246</v>
      </c>
      <c r="J33" s="13" t="s">
        <v>246</v>
      </c>
      <c r="K33" s="13" t="s">
        <v>247</v>
      </c>
      <c r="L33" s="13" t="s">
        <v>248</v>
      </c>
      <c r="M33" s="14" t="s">
        <v>219</v>
      </c>
      <c r="N33" s="19" t="s">
        <v>220</v>
      </c>
      <c r="O33" s="13" t="s">
        <v>448</v>
      </c>
      <c r="P33" s="20" t="s">
        <v>22</v>
      </c>
      <c r="Q33" s="11"/>
      <c r="R33" s="11"/>
      <c r="S33" s="23">
        <v>81.8</v>
      </c>
      <c r="T33" s="11" t="s">
        <v>265</v>
      </c>
      <c r="U33" s="11" t="str">
        <f>_xlfn.CONCAT(Aspirantes_112[[#This Row],[PRIMER NOMBRE]]," ",Aspirantes_112[[#This Row],[SEGUNDO NOMBRE]]," ",Aspirantes_112[[#This Row],[PRIMER APELLIDO]]," ",Aspirantes_112[[#This Row],[SEGUNDO APELLIDO]])</f>
        <v>Federico Alexander Carvajal Escobar</v>
      </c>
      <c r="V33" s="11" t="str">
        <f>IF(OR(Aspirantes_112[[#This Row],[TESIS I ]]="SI",Aspirantes_112[[#This Row],[TESIS I ]]="NO APROBO"),"695-1","595-1")</f>
        <v>695-1</v>
      </c>
      <c r="W33" s="11">
        <v>8</v>
      </c>
      <c r="X33" s="11">
        <v>2</v>
      </c>
      <c r="Y33" s="11">
        <f>ROUNDUP(Aspirantes_112[[#This Row],[Num Periodos]]*1.5,0)</f>
        <v>3</v>
      </c>
      <c r="Z33" s="11" t="str">
        <f>IF(MID(Aspirantes_112[[#This Row],[Plan Vigente]],1,3)="595","Resolución 16163 del 5 de septiembre de 2023","Resolución 9925 del 21 de junio de 2023")</f>
        <v>Resolución 9925 del 21 de junio de 2023</v>
      </c>
      <c r="AA33" s="24" t="s">
        <v>221</v>
      </c>
      <c r="AB33" s="24"/>
    </row>
    <row r="34" spans="1:28" s="10" customFormat="1" ht="19.5" customHeight="1">
      <c r="A34" s="15" t="s">
        <v>239</v>
      </c>
      <c r="B34" s="16" t="s">
        <v>449</v>
      </c>
      <c r="C34" s="15" t="s">
        <v>450</v>
      </c>
      <c r="D34" s="15" t="s">
        <v>451</v>
      </c>
      <c r="E34" s="15" t="s">
        <v>452</v>
      </c>
      <c r="F34" s="15" t="s">
        <v>453</v>
      </c>
      <c r="G34" s="16" t="s">
        <v>454</v>
      </c>
      <c r="H34" s="15" t="s">
        <v>455</v>
      </c>
      <c r="I34" s="15" t="s">
        <v>246</v>
      </c>
      <c r="J34" s="15" t="s">
        <v>246</v>
      </c>
      <c r="K34" s="15" t="s">
        <v>247</v>
      </c>
      <c r="L34" s="15" t="s">
        <v>248</v>
      </c>
      <c r="M34" s="16" t="s">
        <v>116</v>
      </c>
      <c r="N34" s="17" t="s">
        <v>32</v>
      </c>
      <c r="O34" s="15" t="s">
        <v>456</v>
      </c>
      <c r="P34" s="18" t="s">
        <v>22</v>
      </c>
      <c r="Q34" s="9"/>
      <c r="R34" s="9" t="s">
        <v>20</v>
      </c>
      <c r="S34" s="23">
        <v>72.7</v>
      </c>
      <c r="T34" s="9"/>
      <c r="U34" s="9" t="str">
        <f>_xlfn.CONCAT(Aspirantes_112[[#This Row],[PRIMER NOMBRE]]," ",Aspirantes_112[[#This Row],[SEGUNDO NOMBRE]]," ",Aspirantes_112[[#This Row],[PRIMER APELLIDO]]," ",Aspirantes_112[[#This Row],[SEGUNDO APELLIDO]])</f>
        <v>LUIS EDUARDO BECERRA  LOPEZ</v>
      </c>
      <c r="V34" s="9" t="str">
        <f>IF(OR(Aspirantes_112[[#This Row],[TESIS I ]]="SI",Aspirantes_112[[#This Row],[TESIS I ]]="NO APROBO"),"695-1","595-1")</f>
        <v>595-1</v>
      </c>
      <c r="W34" s="9">
        <v>16</v>
      </c>
      <c r="X34" s="9">
        <f>IF(ROUNDUP(Aspirantes_112[[#This Row],[Num Creditos]]/16,0)&lt;3,3,ROUNDUP(Aspirantes_112[[#This Row],[Num Creditos]]/16,0))</f>
        <v>3</v>
      </c>
      <c r="Y34" s="9">
        <f>ROUNDUP(Aspirantes_112[[#This Row],[Num Periodos]]*1.5,0)</f>
        <v>5</v>
      </c>
      <c r="Z34" s="9" t="str">
        <f>IF(MID(Aspirantes_112[[#This Row],[Plan Vigente]],1,3)="595","Resolución 16163 del 5 de septiembre de 2023","Resolución 9925 del 21 de junio de 2023")</f>
        <v>Resolución 16163 del 5 de septiembre de 2023</v>
      </c>
      <c r="AA34" s="24" t="s">
        <v>21</v>
      </c>
      <c r="AB34" s="24" t="s">
        <v>22</v>
      </c>
    </row>
    <row r="35" spans="1:28" s="12" customFormat="1" ht="156.75">
      <c r="A35" s="13" t="s">
        <v>239</v>
      </c>
      <c r="B35" s="14" t="s">
        <v>457</v>
      </c>
      <c r="C35" s="13" t="s">
        <v>342</v>
      </c>
      <c r="D35" s="13" t="s">
        <v>343</v>
      </c>
      <c r="E35" s="13" t="s">
        <v>458</v>
      </c>
      <c r="F35" s="13" t="s">
        <v>459</v>
      </c>
      <c r="G35" s="14" t="s">
        <v>460</v>
      </c>
      <c r="H35" s="25" t="s">
        <v>151</v>
      </c>
      <c r="I35" s="13" t="s">
        <v>246</v>
      </c>
      <c r="J35" s="13" t="s">
        <v>246</v>
      </c>
      <c r="K35" s="13" t="s">
        <v>247</v>
      </c>
      <c r="L35" s="13" t="s">
        <v>248</v>
      </c>
      <c r="M35" s="14" t="s">
        <v>119</v>
      </c>
      <c r="N35" s="19" t="s">
        <v>120</v>
      </c>
      <c r="O35" s="13" t="s">
        <v>461</v>
      </c>
      <c r="P35" s="20" t="s">
        <v>22</v>
      </c>
      <c r="Q35" s="11"/>
      <c r="R35" s="11"/>
      <c r="S35" s="23">
        <v>81.8</v>
      </c>
      <c r="T35" s="11" t="s">
        <v>265</v>
      </c>
      <c r="U35" s="11" t="str">
        <f>_xlfn.CONCAT(Aspirantes_112[[#This Row],[PRIMER NOMBRE]]," ",Aspirantes_112[[#This Row],[SEGUNDO NOMBRE]]," ",Aspirantes_112[[#This Row],[PRIMER APELLIDO]]," ",Aspirantes_112[[#This Row],[SEGUNDO APELLIDO]])</f>
        <v>Andrés Mauricio Molina Mongui</v>
      </c>
      <c r="V35" s="11" t="str">
        <f>IF(OR(Aspirantes_112[[#This Row],[TESIS I ]]="SI",Aspirantes_112[[#This Row],[TESIS I ]]="NO APROBO"),"695-1","595-1")</f>
        <v>695-1</v>
      </c>
      <c r="W35" s="11">
        <v>8</v>
      </c>
      <c r="X35" s="11">
        <v>2</v>
      </c>
      <c r="Y35" s="11">
        <f>ROUNDUP(Aspirantes_112[[#This Row],[Num Periodos]]*1.5,0)</f>
        <v>3</v>
      </c>
      <c r="Z35" s="11" t="str">
        <f>IF(MID(Aspirantes_112[[#This Row],[Plan Vigente]],1,3)="595","Resolución 16163 del 5 de septiembre de 2023","Resolución 9925 del 21 de junio de 2023")</f>
        <v>Resolución 9925 del 21 de junio de 2023</v>
      </c>
      <c r="AA35" s="24" t="s">
        <v>122</v>
      </c>
      <c r="AB35" s="24"/>
    </row>
    <row r="36" spans="1:28" s="10" customFormat="1" ht="28.5">
      <c r="A36" s="5" t="s">
        <v>239</v>
      </c>
      <c r="B36" s="6" t="s">
        <v>462</v>
      </c>
      <c r="C36" s="5" t="s">
        <v>300</v>
      </c>
      <c r="D36" s="5" t="s">
        <v>241</v>
      </c>
      <c r="E36" s="5" t="s">
        <v>463</v>
      </c>
      <c r="F36" s="5" t="s">
        <v>464</v>
      </c>
      <c r="G36" s="6" t="s">
        <v>465</v>
      </c>
      <c r="H36" s="5" t="s">
        <v>466</v>
      </c>
      <c r="I36" s="5" t="s">
        <v>246</v>
      </c>
      <c r="J36" s="5" t="s">
        <v>246</v>
      </c>
      <c r="K36" s="5" t="s">
        <v>247</v>
      </c>
      <c r="L36" s="5" t="s">
        <v>248</v>
      </c>
      <c r="M36" s="6" t="s">
        <v>125</v>
      </c>
      <c r="N36" s="7" t="s">
        <v>126</v>
      </c>
      <c r="P36" s="21"/>
      <c r="Q36" s="9"/>
      <c r="R36" s="9" t="s">
        <v>20</v>
      </c>
      <c r="S36" s="23">
        <v>81.8</v>
      </c>
      <c r="T36" s="9"/>
      <c r="U36" s="9" t="str">
        <f>_xlfn.CONCAT(Aspirantes_112[[#This Row],[PRIMER NOMBRE]]," ",Aspirantes_112[[#This Row],[SEGUNDO NOMBRE]]," ",Aspirantes_112[[#This Row],[PRIMER APELLIDO]]," ",Aspirantes_112[[#This Row],[SEGUNDO APELLIDO]])</f>
        <v>Diego Alejandro Rubio Ramos</v>
      </c>
      <c r="V36" s="9" t="str">
        <f>IF(OR(Aspirantes_112[[#This Row],[TESIS I ]]="SI",Aspirantes_112[[#This Row],[TESIS I ]]="NO APROBO"),"695-1","595-1")</f>
        <v>595-1</v>
      </c>
      <c r="W36" s="9">
        <v>16</v>
      </c>
      <c r="X36" s="9">
        <f>IF(ROUNDUP(Aspirantes_112[[#This Row],[Num Creditos]]/16,0)&lt;3,3,ROUNDUP(Aspirantes_112[[#This Row],[Num Creditos]]/16,0))</f>
        <v>3</v>
      </c>
      <c r="Y36" s="9">
        <f>ROUNDUP(Aspirantes_112[[#This Row],[Num Periodos]]*1.5,0)</f>
        <v>5</v>
      </c>
      <c r="Z36" s="9" t="str">
        <f>IF(MID(Aspirantes_112[[#This Row],[Plan Vigente]],1,3)="595","Resolución 16163 del 5 de septiembre de 2023","Resolución 9925 del 21 de junio de 2023")</f>
        <v>Resolución 16163 del 5 de septiembre de 2023</v>
      </c>
      <c r="AA36" s="24" t="s">
        <v>21</v>
      </c>
      <c r="AB36" s="24" t="s">
        <v>22</v>
      </c>
    </row>
  </sheetData>
  <phoneticPr fontId="4" type="noConversion"/>
  <hyperlinks>
    <hyperlink ref="H35" r:id="rId1" xr:uid="{444BC0E9-D389-48CD-8F39-B9735E99505E}"/>
    <hyperlink ref="H26" r:id="rId2" xr:uid="{46EA0715-4980-4175-8D6C-860DFF683A13}"/>
    <hyperlink ref="H27" r:id="rId3" xr:uid="{99A6DE74-F9C8-4939-A759-2A303A1E5647}"/>
  </hyperlinks>
  <pageMargins left="0.7" right="0.7" top="0.75" bottom="0.75" header="0.3" footer="0.3"/>
  <tableParts count="1">
    <tablePart r:id="rId4"/>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NANCY YANETH GELVEZ GARCIA</cp:lastModifiedBy>
  <cp:revision/>
  <dcterms:created xsi:type="dcterms:W3CDTF">2026-08-04T20:23:45Z</dcterms:created>
  <dcterms:modified xsi:type="dcterms:W3CDTF">2026-10-01T17:38:12Z</dcterms:modified>
  <cp:category/>
  <cp:contentStatus/>
</cp:coreProperties>
</file>