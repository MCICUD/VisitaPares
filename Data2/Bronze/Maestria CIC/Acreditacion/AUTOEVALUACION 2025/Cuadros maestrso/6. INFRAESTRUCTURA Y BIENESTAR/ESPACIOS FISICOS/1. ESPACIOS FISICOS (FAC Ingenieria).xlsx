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esktop\Nuxeo\Esp SIG\6 - Infraestructura y Bienestar\Espacios Fisicos\"/>
    </mc:Choice>
  </mc:AlternateContent>
  <xr:revisionPtr revIDLastSave="0" documentId="8_{53E321FD-E6D0-489F-AB78-14C5DFC994D5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ESPACIOS FÍSIC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C38" i="2"/>
  <c r="F12" i="2"/>
  <c r="E12" i="2"/>
  <c r="D82" i="2"/>
  <c r="C82" i="2"/>
  <c r="F81" i="2"/>
  <c r="E81" i="2"/>
  <c r="F80" i="2"/>
  <c r="E80" i="2"/>
  <c r="F79" i="2"/>
  <c r="E79" i="2"/>
  <c r="F78" i="2"/>
  <c r="E78" i="2"/>
  <c r="F77" i="2"/>
  <c r="E77" i="2"/>
  <c r="F76" i="2"/>
  <c r="E76" i="2"/>
  <c r="F74" i="2"/>
  <c r="E74" i="2"/>
  <c r="F72" i="2"/>
  <c r="E72" i="2"/>
  <c r="F71" i="2"/>
  <c r="E71" i="2"/>
  <c r="F69" i="2"/>
  <c r="E69" i="2"/>
  <c r="F68" i="2"/>
  <c r="E68" i="2"/>
  <c r="F66" i="2"/>
  <c r="E66" i="2"/>
  <c r="F64" i="2"/>
  <c r="E64" i="2"/>
  <c r="F57" i="2"/>
  <c r="F58" i="2"/>
  <c r="F59" i="2"/>
  <c r="F60" i="2"/>
  <c r="F61" i="2"/>
  <c r="F62" i="2"/>
  <c r="E58" i="2"/>
  <c r="E59" i="2"/>
  <c r="E60" i="2"/>
  <c r="E61" i="2"/>
  <c r="E62" i="2"/>
  <c r="E57" i="2"/>
  <c r="F54" i="2"/>
  <c r="F52" i="2"/>
  <c r="F51" i="2"/>
  <c r="E54" i="2"/>
  <c r="E52" i="2"/>
  <c r="E51" i="2"/>
  <c r="F47" i="2"/>
  <c r="E47" i="2"/>
  <c r="D44" i="2"/>
  <c r="C44" i="2"/>
  <c r="E41" i="2"/>
  <c r="F41" i="2"/>
  <c r="E42" i="2"/>
  <c r="F42" i="2"/>
  <c r="E43" i="2"/>
  <c r="F43" i="2"/>
  <c r="F40" i="2"/>
  <c r="E40" i="2"/>
  <c r="D86" i="2"/>
  <c r="C86" i="2"/>
  <c r="F33" i="2"/>
  <c r="F32" i="2"/>
  <c r="F31" i="2"/>
  <c r="F30" i="2"/>
  <c r="F29" i="2"/>
  <c r="F25" i="2"/>
  <c r="F24" i="2"/>
  <c r="F21" i="2"/>
  <c r="F14" i="2"/>
  <c r="F15" i="2"/>
  <c r="F16" i="2"/>
  <c r="F17" i="2"/>
  <c r="F13" i="2"/>
  <c r="E33" i="2"/>
  <c r="E32" i="2"/>
  <c r="E31" i="2"/>
  <c r="E30" i="2"/>
  <c r="E29" i="2"/>
  <c r="E25" i="2"/>
  <c r="E24" i="2"/>
  <c r="E21" i="2"/>
  <c r="E15" i="2"/>
  <c r="E16" i="2"/>
  <c r="E17" i="2"/>
  <c r="E14" i="2"/>
  <c r="E13" i="2"/>
  <c r="F38" i="2" l="1"/>
  <c r="F44" i="2"/>
  <c r="E38" i="2"/>
  <c r="E44" i="2"/>
  <c r="E82" i="2"/>
  <c r="F82" i="2"/>
  <c r="F86" i="2"/>
  <c r="E86" i="2" l="1"/>
</calcChain>
</file>

<file path=xl/sharedStrings.xml><?xml version="1.0" encoding="utf-8"?>
<sst xmlns="http://schemas.openxmlformats.org/spreadsheetml/2006/main" count="89" uniqueCount="87">
  <si>
    <t>UNIVERSIDAD DISTRITAL FRANCISCO JOSÉ DE CALDAS</t>
  </si>
  <si>
    <r>
      <rPr>
        <b/>
        <sz val="12"/>
        <color theme="1"/>
        <rFont val="Arial Narrow"/>
        <family val="2"/>
      </rPr>
      <t>" CUADRO DE ÁREAS ÚTILES Y CANTIDADES DE ESPACIOS FÍSICOS POR USO Y TIPO DE ESPACIO POR FACULTAD Y SEDE " REPORTE DE INFORMACIÓN ESCALA ARQUITECTÓNICA
ETAPA I - CONFORMACIÓN BASE GEOGRÁFICA - SISTEMA DE INFORMACIÓN GEOGRÁFICA INSTITUCIONAL</t>
    </r>
  </si>
  <si>
    <t>FACULTAD DE INGENIERÍA</t>
  </si>
  <si>
    <t>FACULTAD</t>
  </si>
  <si>
    <r>
      <rPr>
        <b/>
        <sz val="10"/>
        <color rgb="FFFFFFFF"/>
        <rFont val="Arial Narrow"/>
        <family val="2"/>
      </rPr>
      <t>INGENIERÍA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</si>
  <si>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DE INGENIERÍA</t>
    </r>
  </si>
  <si>
    <r>
      <rPr>
        <b/>
        <sz val="10"/>
        <color rgb="FFFFFFFF"/>
        <rFont val="Arial Narrow"/>
        <family val="2"/>
      </rPr>
      <t>TOTAL CANTIDAD FACULTAD DE INGENIERÍA</t>
    </r>
  </si>
  <si>
    <t>SEDE</t>
  </si>
  <si>
    <r>
      <rPr>
        <b/>
        <sz val="10"/>
        <color rgb="FFFFFFFF"/>
        <rFont val="Arial Narrow"/>
        <family val="2"/>
      </rPr>
      <t>CALLE 40</t>
    </r>
  </si>
  <si>
    <t>USO GENERAL / TIPO DE ESPACIO</t>
  </si>
  <si>
    <r>
      <rPr>
        <b/>
        <sz val="10"/>
        <color rgb="FFFFFFFF"/>
        <rFont val="Arial Narrow"/>
        <family val="2"/>
      </rPr>
      <t>ÁREA ÚTIL(M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</t>
    </r>
  </si>
  <si>
    <r>
      <rPr>
        <b/>
        <sz val="10"/>
        <color rgb="FFFFFFFF"/>
        <rFont val="Arial Narrow"/>
        <family val="2"/>
      </rPr>
      <t>CANTIDAD</t>
    </r>
  </si>
  <si>
    <t>ACADÉMICO</t>
  </si>
  <si>
    <t>AUDITORIOS</t>
  </si>
  <si>
    <t>AGREMIACIONES ESTUDIANTILES</t>
  </si>
  <si>
    <t>ALMACENES / DEPÓSITOS</t>
  </si>
  <si>
    <t>AUDIOVISUALES</t>
  </si>
  <si>
    <t>AULAS DE CLASE</t>
  </si>
  <si>
    <t>BIBLIOTECA</t>
  </si>
  <si>
    <t>BIBLIOTECA ESPECIALIZADA</t>
  </si>
  <si>
    <t>CENTROS DE DOCUMENTACIÓN</t>
  </si>
  <si>
    <t>ESTUDIO DE GRABACIÓN</t>
  </si>
  <si>
    <t>HEMEROTECA</t>
  </si>
  <si>
    <t>HERBARIO FORESTAL</t>
  </si>
  <si>
    <t>INVERNADERO</t>
  </si>
  <si>
    <t>INVESTIGACIÓN</t>
  </si>
  <si>
    <t>LABORATORIOS Y ESPACIOS DE APOYO</t>
  </si>
  <si>
    <t>MUSEO</t>
  </si>
  <si>
    <t>OBSERVATORIO</t>
  </si>
  <si>
    <t>SALAS DE EXPOSICIONES</t>
  </si>
  <si>
    <t>SALAS DE PROFESORES</t>
  </si>
  <si>
    <t>SALAS DE SISTEMAS</t>
  </si>
  <si>
    <t>SALAS DE TRABAJO AUTONOMO</t>
  </si>
  <si>
    <t>SALAS DE TRABAJO GRUPAL</t>
  </si>
  <si>
    <t>SALAS DE TUTORÍAS</t>
  </si>
  <si>
    <t>SOPORTE LABORATORIOS</t>
  </si>
  <si>
    <t>TALLERES</t>
  </si>
  <si>
    <t>VIVERO</t>
  </si>
  <si>
    <t>XILOTECA</t>
  </si>
  <si>
    <t>TOTAL ACADÉMICO</t>
  </si>
  <si>
    <t>ADMINISTRATIVO</t>
  </si>
  <si>
    <t>ARCHIVO</t>
  </si>
  <si>
    <t>OFICINAS</t>
  </si>
  <si>
    <t>SALA DE AUDIENCIAS</t>
  </si>
  <si>
    <t>SALAS DE JUNTAS</t>
  </si>
  <si>
    <t>TOTAL ADMINISTRATIVO</t>
  </si>
  <si>
    <t>COMUN</t>
  </si>
  <si>
    <t>BALCONES</t>
  </si>
  <si>
    <t>CIRCULACIONES</t>
  </si>
  <si>
    <t>GRADERÍAS</t>
  </si>
  <si>
    <t>JARDINES</t>
  </si>
  <si>
    <t>PATIOS INTERIORES</t>
  </si>
  <si>
    <t>PLAZOLETAS</t>
  </si>
  <si>
    <t>SALAS DE ESPERA</t>
  </si>
  <si>
    <t>SALAS DE ESTAR</t>
  </si>
  <si>
    <t>TERRAZAS</t>
  </si>
  <si>
    <t>TOTAL COMUN</t>
  </si>
  <si>
    <t>SERVICIOS</t>
  </si>
  <si>
    <t>ARRENDAMIENTOS</t>
  </si>
  <si>
    <t>BAÑOS GENERALES</t>
  </si>
  <si>
    <t>BAÑOS PRIVADOS</t>
  </si>
  <si>
    <t>BIENESTAR UNIVERSITARIO</t>
  </si>
  <si>
    <t>BODEGA DE INSUMOS</t>
  </si>
  <si>
    <t>BODEGAJE Y ALMACENAMIENTO</t>
  </si>
  <si>
    <t>CAFETERIA</t>
  </si>
  <si>
    <t>CAFETERÍA UNIVERSITARIA</t>
  </si>
  <si>
    <t>CAMERINOS</t>
  </si>
  <si>
    <t>CENTRO DE ACOPIO</t>
  </si>
  <si>
    <t>CENTRO DE COPIADO</t>
  </si>
  <si>
    <t>COCINETAS</t>
  </si>
  <si>
    <t>CUARTOS DE ASEO</t>
  </si>
  <si>
    <t>CUARTOS DE PERSONAL</t>
  </si>
  <si>
    <t>CUARTOS DE RESIDUOS</t>
  </si>
  <si>
    <t>CUARTOS TÉCNICOS</t>
  </si>
  <si>
    <t>DUCHAS DE EMERGENCIA</t>
  </si>
  <si>
    <t>INSTALACIONES DEPORTIVAS</t>
  </si>
  <si>
    <t>LOCKERS</t>
  </si>
  <si>
    <t>PARQUEADEROS</t>
  </si>
  <si>
    <t>PORTERÍA - VIGILANCIA</t>
  </si>
  <si>
    <t>RECEPCIONES</t>
  </si>
  <si>
    <t>SHUT</t>
  </si>
  <si>
    <t>VESTIERES</t>
  </si>
  <si>
    <t>TOTAL SERVICIOS</t>
  </si>
  <si>
    <t>SIN USO</t>
  </si>
  <si>
    <t>TOTAL SIN USO</t>
  </si>
  <si>
    <r>
      <rPr>
        <b/>
        <sz val="10"/>
        <color rgb="FFFFFFFF"/>
        <rFont val="Arial Narrow"/>
        <family val="2"/>
      </rPr>
      <t>TOTAL GENERAL</t>
    </r>
  </si>
  <si>
    <t>Fuente: Oficina Asesora de Planeación y Control - Espacios Físicos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</si>
</sst>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FFFFFF"/>
      <name val="Arial Narrow"/>
      <family val="2"/>
    </font>
    <font>
      <b/>
      <vertAlign val="superscript"/>
      <sz val="10"/>
      <color rgb="FFFFFFFF"/>
      <name val="Arial Narrow"/>
      <family val="2"/>
    </font>
    <font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rgb="FF0070C0"/>
      <name val="Arial Narrow"/>
      <family val="2"/>
    </font>
    <font>
      <b/>
      <sz val="10"/>
      <color theme="8" tint="-0.49998474074526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shrinkToFit="1"/>
    </xf>
    <xf numFmtId="3" fontId="3" fillId="4" borderId="1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shrinkToFit="1"/>
    </xf>
    <xf numFmtId="1" fontId="7" fillId="3" borderId="1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center" vertical="center" shrinkToFit="1"/>
    </xf>
    <xf numFmtId="3" fontId="7" fillId="2" borderId="1" xfId="0" applyNumberFormat="1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 vertical="center" shrinkToFit="1"/>
    </xf>
    <xf numFmtId="0" fontId="7" fillId="9" borderId="1" xfId="0" applyFont="1" applyFill="1" applyBorder="1" applyAlignment="1">
      <alignment horizontal="center" vertical="center" wrapText="1"/>
    </xf>
    <xf numFmtId="4" fontId="7" fillId="9" borderId="1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2" fontId="1" fillId="13" borderId="1" xfId="0" applyNumberFormat="1" applyFont="1" applyFill="1" applyBorder="1" applyAlignment="1">
      <alignment horizontal="center" vertical="center" shrinkToFit="1"/>
    </xf>
    <xf numFmtId="1" fontId="1" fillId="13" borderId="1" xfId="0" applyNumberFormat="1" applyFont="1" applyFill="1" applyBorder="1" applyAlignment="1">
      <alignment horizontal="center" vertical="center" shrinkToFit="1"/>
    </xf>
    <xf numFmtId="2" fontId="6" fillId="13" borderId="1" xfId="0" applyNumberFormat="1" applyFont="1" applyFill="1" applyBorder="1" applyAlignment="1">
      <alignment horizontal="center" vertical="center" shrinkToFit="1"/>
    </xf>
    <xf numFmtId="1" fontId="6" fillId="13" borderId="1" xfId="0" applyNumberFormat="1" applyFont="1" applyFill="1" applyBorder="1" applyAlignment="1">
      <alignment horizontal="center" vertical="center" shrinkToFit="1"/>
    </xf>
    <xf numFmtId="0" fontId="1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2" fontId="1" fillId="14" borderId="1" xfId="0" applyNumberFormat="1" applyFont="1" applyFill="1" applyBorder="1" applyAlignment="1">
      <alignment horizontal="center" vertical="center" shrinkToFit="1"/>
    </xf>
    <xf numFmtId="1" fontId="1" fillId="14" borderId="1" xfId="0" applyNumberFormat="1" applyFont="1" applyFill="1" applyBorder="1" applyAlignment="1">
      <alignment horizontal="center" vertical="center" shrinkToFit="1"/>
    </xf>
    <xf numFmtId="2" fontId="6" fillId="14" borderId="1" xfId="0" applyNumberFormat="1" applyFont="1" applyFill="1" applyBorder="1" applyAlignment="1">
      <alignment horizontal="center" vertical="center" shrinkToFit="1"/>
    </xf>
    <xf numFmtId="1" fontId="6" fillId="14" borderId="1" xfId="0" applyNumberFormat="1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 shrinkToFit="1"/>
    </xf>
    <xf numFmtId="1" fontId="1" fillId="12" borderId="1" xfId="0" applyNumberFormat="1" applyFont="1" applyFill="1" applyBorder="1" applyAlignment="1">
      <alignment horizontal="center" vertical="center" shrinkToFit="1"/>
    </xf>
    <xf numFmtId="2" fontId="6" fillId="12" borderId="1" xfId="0" applyNumberFormat="1" applyFont="1" applyFill="1" applyBorder="1" applyAlignment="1">
      <alignment horizontal="center" vertical="center" shrinkToFit="1"/>
    </xf>
    <xf numFmtId="0" fontId="5" fillId="8" borderId="1" xfId="0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shrinkToFit="1"/>
    </xf>
    <xf numFmtId="1" fontId="1" fillId="8" borderId="1" xfId="0" applyNumberFormat="1" applyFont="1" applyFill="1" applyBorder="1" applyAlignment="1">
      <alignment horizontal="center" vertical="center" shrinkToFit="1"/>
    </xf>
    <xf numFmtId="2" fontId="6" fillId="8" borderId="1" xfId="0" applyNumberFormat="1" applyFont="1" applyFill="1" applyBorder="1" applyAlignment="1">
      <alignment horizontal="center" vertical="center" shrinkToFit="1"/>
    </xf>
    <xf numFmtId="1" fontId="6" fillId="8" borderId="1" xfId="0" applyNumberFormat="1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left" vertical="center"/>
    </xf>
    <xf numFmtId="3" fontId="7" fillId="9" borderId="1" xfId="0" applyNumberFormat="1" applyFont="1" applyFill="1" applyBorder="1" applyAlignment="1">
      <alignment horizontal="center" vertical="center" shrinkToFit="1"/>
    </xf>
    <xf numFmtId="3" fontId="7" fillId="6" borderId="1" xfId="0" applyNumberFormat="1" applyFont="1" applyFill="1" applyBorder="1" applyAlignment="1">
      <alignment horizontal="center" vertical="center" shrinkToFit="1"/>
    </xf>
    <xf numFmtId="1" fontId="6" fillId="12" borderId="1" xfId="0" applyNumberFormat="1" applyFont="1" applyFill="1" applyBorder="1" applyAlignment="1">
      <alignment horizontal="center" vertical="center" shrinkToFit="1"/>
    </xf>
    <xf numFmtId="1" fontId="1" fillId="12" borderId="1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9"/>
  <sheetViews>
    <sheetView tabSelected="1" zoomScale="59" zoomScaleNormal="59" workbookViewId="0">
      <selection activeCell="E81" sqref="E81"/>
    </sheetView>
  </sheetViews>
  <sheetFormatPr defaultColWidth="12" defaultRowHeight="18" customHeight="1"/>
  <cols>
    <col min="1" max="1" width="12" style="4" customWidth="1"/>
    <col min="2" max="2" width="56.6640625" style="4" customWidth="1"/>
    <col min="3" max="3" width="27" style="4" customWidth="1"/>
    <col min="4" max="4" width="24.33203125" style="4" customWidth="1"/>
    <col min="5" max="5" width="33.33203125" style="4" customWidth="1"/>
    <col min="6" max="6" width="42.1640625" style="4" customWidth="1"/>
    <col min="7" max="16384" width="12" style="4"/>
  </cols>
  <sheetData>
    <row r="1" spans="2:6" ht="18" customHeight="1">
      <c r="B1" s="25"/>
      <c r="C1" s="25"/>
      <c r="D1" s="25"/>
      <c r="E1" s="25"/>
      <c r="F1" s="25"/>
    </row>
    <row r="2" spans="2:6" ht="18" customHeight="1">
      <c r="B2" s="54" t="s">
        <v>0</v>
      </c>
      <c r="C2" s="54"/>
      <c r="D2" s="54"/>
      <c r="E2" s="54"/>
      <c r="F2" s="54"/>
    </row>
    <row r="3" spans="2:6" ht="18" customHeight="1">
      <c r="B3" s="25"/>
      <c r="C3" s="25"/>
      <c r="D3" s="25"/>
      <c r="E3" s="25"/>
      <c r="F3" s="25"/>
    </row>
    <row r="4" spans="2:6" ht="57" customHeight="1">
      <c r="B4" s="55" t="s">
        <v>1</v>
      </c>
      <c r="C4" s="55"/>
      <c r="D4" s="55"/>
      <c r="E4" s="55"/>
      <c r="F4" s="55"/>
    </row>
    <row r="5" spans="2:6" ht="18" customHeight="1">
      <c r="B5" s="24"/>
      <c r="C5" s="24"/>
      <c r="D5" s="24"/>
      <c r="E5" s="24"/>
      <c r="F5" s="24"/>
    </row>
    <row r="6" spans="2:6" ht="31.5" customHeight="1">
      <c r="B6" s="54" t="s">
        <v>2</v>
      </c>
      <c r="C6" s="54"/>
      <c r="D6" s="54"/>
      <c r="E6" s="54"/>
      <c r="F6" s="54"/>
    </row>
    <row r="7" spans="2:6" ht="15" customHeight="1">
      <c r="B7" s="5"/>
      <c r="C7" s="5"/>
      <c r="D7" s="5"/>
      <c r="E7" s="5"/>
      <c r="F7" s="5"/>
    </row>
    <row r="8" spans="2:6" ht="39.75" customHeight="1">
      <c r="B8" s="21" t="s">
        <v>3</v>
      </c>
      <c r="C8" s="56" t="s">
        <v>4</v>
      </c>
      <c r="D8" s="56"/>
      <c r="E8" s="57" t="s">
        <v>5</v>
      </c>
      <c r="F8" s="58" t="s">
        <v>6</v>
      </c>
    </row>
    <row r="9" spans="2:6" ht="42.75" customHeight="1">
      <c r="B9" s="21" t="s">
        <v>7</v>
      </c>
      <c r="C9" s="56" t="s">
        <v>8</v>
      </c>
      <c r="D9" s="56"/>
      <c r="E9" s="57"/>
      <c r="F9" s="58"/>
    </row>
    <row r="10" spans="2:6" ht="42" customHeight="1">
      <c r="B10" s="21" t="s">
        <v>9</v>
      </c>
      <c r="C10" s="23" t="s">
        <v>10</v>
      </c>
      <c r="D10" s="22" t="s">
        <v>11</v>
      </c>
      <c r="E10" s="57"/>
      <c r="F10" s="58"/>
    </row>
    <row r="11" spans="2:6" ht="21.75" customHeight="1">
      <c r="B11" s="62" t="s">
        <v>12</v>
      </c>
      <c r="C11" s="62"/>
      <c r="D11" s="62"/>
      <c r="E11" s="62"/>
      <c r="F11" s="62"/>
    </row>
    <row r="12" spans="2:6" ht="21.75" customHeight="1">
      <c r="B12" s="26" t="s">
        <v>13</v>
      </c>
      <c r="C12" s="27">
        <v>258.99</v>
      </c>
      <c r="D12" s="28">
        <v>3</v>
      </c>
      <c r="E12" s="29">
        <f>C12</f>
        <v>258.99</v>
      </c>
      <c r="F12" s="30">
        <f>D12</f>
        <v>3</v>
      </c>
    </row>
    <row r="13" spans="2:6" ht="32.25" customHeight="1">
      <c r="B13" s="26" t="s">
        <v>14</v>
      </c>
      <c r="C13" s="27">
        <v>171.88</v>
      </c>
      <c r="D13" s="28">
        <v>6</v>
      </c>
      <c r="E13" s="29">
        <f>C13</f>
        <v>171.88</v>
      </c>
      <c r="F13" s="30">
        <f>D13</f>
        <v>6</v>
      </c>
    </row>
    <row r="14" spans="2:6" ht="18" customHeight="1">
      <c r="B14" s="26" t="s">
        <v>15</v>
      </c>
      <c r="C14" s="27">
        <v>98.98</v>
      </c>
      <c r="D14" s="28">
        <v>3</v>
      </c>
      <c r="E14" s="29">
        <f>C14</f>
        <v>98.98</v>
      </c>
      <c r="F14" s="30">
        <f t="shared" ref="F14:F17" si="0">D14</f>
        <v>3</v>
      </c>
    </row>
    <row r="15" spans="2:6" ht="18" customHeight="1">
      <c r="B15" s="26" t="s">
        <v>16</v>
      </c>
      <c r="C15" s="27">
        <v>296.27999999999997</v>
      </c>
      <c r="D15" s="28">
        <v>4</v>
      </c>
      <c r="E15" s="29">
        <f t="shared" ref="E15:E17" si="1">C15</f>
        <v>296.27999999999997</v>
      </c>
      <c r="F15" s="30">
        <f t="shared" si="0"/>
        <v>4</v>
      </c>
    </row>
    <row r="16" spans="2:6" ht="18" customHeight="1">
      <c r="B16" s="26" t="s">
        <v>17</v>
      </c>
      <c r="C16" s="27">
        <v>2262.5300000000002</v>
      </c>
      <c r="D16" s="28">
        <v>48</v>
      </c>
      <c r="E16" s="29">
        <f t="shared" si="1"/>
        <v>2262.5300000000002</v>
      </c>
      <c r="F16" s="30">
        <f t="shared" si="0"/>
        <v>48</v>
      </c>
    </row>
    <row r="17" spans="2:6" ht="18" customHeight="1">
      <c r="B17" s="26" t="s">
        <v>18</v>
      </c>
      <c r="C17" s="27">
        <v>261.35000000000002</v>
      </c>
      <c r="D17" s="28">
        <v>1</v>
      </c>
      <c r="E17" s="29">
        <f t="shared" si="1"/>
        <v>261.35000000000002</v>
      </c>
      <c r="F17" s="30">
        <f t="shared" si="0"/>
        <v>1</v>
      </c>
    </row>
    <row r="18" spans="2:6" ht="18" customHeight="1">
      <c r="B18" s="26" t="s">
        <v>19</v>
      </c>
      <c r="C18" s="31"/>
      <c r="D18" s="31"/>
      <c r="E18" s="31"/>
      <c r="F18" s="31"/>
    </row>
    <row r="19" spans="2:6" ht="27.75" customHeight="1">
      <c r="B19" s="26" t="s">
        <v>20</v>
      </c>
      <c r="C19" s="31"/>
      <c r="D19" s="31"/>
      <c r="E19" s="31"/>
      <c r="F19" s="31"/>
    </row>
    <row r="20" spans="2:6" ht="18" customHeight="1">
      <c r="B20" s="26" t="s">
        <v>21</v>
      </c>
      <c r="C20" s="31"/>
      <c r="D20" s="31"/>
      <c r="E20" s="31"/>
      <c r="F20" s="31"/>
    </row>
    <row r="21" spans="2:6" ht="18" customHeight="1">
      <c r="B21" s="26" t="s">
        <v>22</v>
      </c>
      <c r="C21" s="27">
        <v>24.7</v>
      </c>
      <c r="D21" s="28">
        <v>1</v>
      </c>
      <c r="E21" s="29">
        <f t="shared" ref="E21:F21" si="2">C21</f>
        <v>24.7</v>
      </c>
      <c r="F21" s="30">
        <f t="shared" si="2"/>
        <v>1</v>
      </c>
    </row>
    <row r="22" spans="2:6" ht="18" customHeight="1">
      <c r="B22" s="26" t="s">
        <v>23</v>
      </c>
      <c r="C22" s="31"/>
      <c r="D22" s="31"/>
      <c r="E22" s="31"/>
      <c r="F22" s="31"/>
    </row>
    <row r="23" spans="2:6" ht="18" customHeight="1">
      <c r="B23" s="26" t="s">
        <v>24</v>
      </c>
      <c r="C23" s="31"/>
      <c r="D23" s="31"/>
      <c r="E23" s="31"/>
      <c r="F23" s="31"/>
    </row>
    <row r="24" spans="2:6" ht="18" customHeight="1">
      <c r="B24" s="26" t="s">
        <v>25</v>
      </c>
      <c r="C24" s="27">
        <v>354.2</v>
      </c>
      <c r="D24" s="28">
        <v>25</v>
      </c>
      <c r="E24" s="29">
        <f t="shared" ref="E24:F25" si="3">C24</f>
        <v>354.2</v>
      </c>
      <c r="F24" s="30">
        <f t="shared" si="3"/>
        <v>25</v>
      </c>
    </row>
    <row r="25" spans="2:6" ht="27" customHeight="1">
      <c r="B25" s="26" t="s">
        <v>26</v>
      </c>
      <c r="C25" s="27">
        <v>893.07</v>
      </c>
      <c r="D25" s="28">
        <v>24</v>
      </c>
      <c r="E25" s="29">
        <f t="shared" si="3"/>
        <v>893.07</v>
      </c>
      <c r="F25" s="30">
        <f t="shared" si="3"/>
        <v>24</v>
      </c>
    </row>
    <row r="26" spans="2:6" ht="18" customHeight="1">
      <c r="B26" s="26" t="s">
        <v>27</v>
      </c>
      <c r="C26" s="31"/>
      <c r="D26" s="31"/>
      <c r="E26" s="31"/>
      <c r="F26" s="31"/>
    </row>
    <row r="27" spans="2:6" ht="18" customHeight="1">
      <c r="B27" s="26" t="s">
        <v>28</v>
      </c>
      <c r="C27" s="31"/>
      <c r="D27" s="31"/>
      <c r="E27" s="31"/>
      <c r="F27" s="31"/>
    </row>
    <row r="28" spans="2:6" ht="18" customHeight="1">
      <c r="B28" s="26" t="s">
        <v>29</v>
      </c>
      <c r="C28" s="31"/>
      <c r="D28" s="31"/>
      <c r="E28" s="31"/>
      <c r="F28" s="31"/>
    </row>
    <row r="29" spans="2:6" ht="18" customHeight="1">
      <c r="B29" s="26" t="s">
        <v>30</v>
      </c>
      <c r="C29" s="27">
        <v>178.47</v>
      </c>
      <c r="D29" s="28">
        <v>20</v>
      </c>
      <c r="E29" s="29">
        <f t="shared" ref="E29:F33" si="4">C29</f>
        <v>178.47</v>
      </c>
      <c r="F29" s="30">
        <f t="shared" si="4"/>
        <v>20</v>
      </c>
    </row>
    <row r="30" spans="2:6" ht="18" customHeight="1">
      <c r="B30" s="26" t="s">
        <v>31</v>
      </c>
      <c r="C30" s="27">
        <v>792.2</v>
      </c>
      <c r="D30" s="28">
        <v>16</v>
      </c>
      <c r="E30" s="29">
        <f t="shared" si="4"/>
        <v>792.2</v>
      </c>
      <c r="F30" s="30">
        <f t="shared" si="4"/>
        <v>16</v>
      </c>
    </row>
    <row r="31" spans="2:6" ht="33" customHeight="1">
      <c r="B31" s="26" t="s">
        <v>32</v>
      </c>
      <c r="C31" s="27">
        <v>23.51</v>
      </c>
      <c r="D31" s="28">
        <v>1</v>
      </c>
      <c r="E31" s="29">
        <f t="shared" si="4"/>
        <v>23.51</v>
      </c>
      <c r="F31" s="30">
        <f t="shared" si="4"/>
        <v>1</v>
      </c>
    </row>
    <row r="32" spans="2:6" ht="18" customHeight="1">
      <c r="B32" s="26" t="s">
        <v>33</v>
      </c>
      <c r="C32" s="27">
        <v>13.54</v>
      </c>
      <c r="D32" s="28">
        <v>1</v>
      </c>
      <c r="E32" s="29">
        <f t="shared" si="4"/>
        <v>13.54</v>
      </c>
      <c r="F32" s="30">
        <f t="shared" si="4"/>
        <v>1</v>
      </c>
    </row>
    <row r="33" spans="2:6" ht="18" customHeight="1">
      <c r="B33" s="26" t="s">
        <v>34</v>
      </c>
      <c r="C33" s="27">
        <v>55.52</v>
      </c>
      <c r="D33" s="28">
        <v>2</v>
      </c>
      <c r="E33" s="29">
        <f t="shared" si="4"/>
        <v>55.52</v>
      </c>
      <c r="F33" s="30">
        <f t="shared" si="4"/>
        <v>2</v>
      </c>
    </row>
    <row r="34" spans="2:6" ht="18" customHeight="1">
      <c r="B34" s="26" t="s">
        <v>35</v>
      </c>
      <c r="C34" s="31"/>
      <c r="D34" s="31"/>
      <c r="E34" s="31"/>
      <c r="F34" s="31"/>
    </row>
    <row r="35" spans="2:6" ht="18" customHeight="1">
      <c r="B35" s="26" t="s">
        <v>36</v>
      </c>
      <c r="C35" s="31"/>
      <c r="D35" s="31"/>
      <c r="E35" s="31"/>
      <c r="F35" s="31"/>
    </row>
    <row r="36" spans="2:6" ht="18" customHeight="1">
      <c r="B36" s="26" t="s">
        <v>37</v>
      </c>
      <c r="C36" s="31"/>
      <c r="D36" s="31"/>
      <c r="E36" s="31"/>
      <c r="F36" s="31"/>
    </row>
    <row r="37" spans="2:6" ht="18" customHeight="1">
      <c r="B37" s="26" t="s">
        <v>38</v>
      </c>
      <c r="C37" s="31"/>
      <c r="D37" s="31"/>
      <c r="E37" s="31"/>
      <c r="F37" s="31"/>
    </row>
    <row r="38" spans="2:6" ht="18" customHeight="1">
      <c r="B38" s="8" t="s">
        <v>39</v>
      </c>
      <c r="C38" s="9">
        <f>C13+C14+C15+C16+C17+C21+C24+C25+C29+C30+C31+C32+C33+C12</f>
        <v>5685.22</v>
      </c>
      <c r="D38" s="9">
        <f>D13+D14+D15+D16+D17+D21+D24+D25+D29+D30+D31+D32+D33+D12</f>
        <v>155</v>
      </c>
      <c r="E38" s="9">
        <f>E13+E14+E15+E16+E17+E21+E24+E25+E29+E30+E31+E32+E33+E12</f>
        <v>5685.22</v>
      </c>
      <c r="F38" s="10">
        <f>F13+F14+F15+F16+F17+F21+F24+F25+F29+F30+F31+F32+F33+F12</f>
        <v>155</v>
      </c>
    </row>
    <row r="39" spans="2:6" ht="18" customHeight="1">
      <c r="B39" s="63" t="s">
        <v>40</v>
      </c>
      <c r="C39" s="63"/>
      <c r="D39" s="63"/>
      <c r="E39" s="63"/>
      <c r="F39" s="63"/>
    </row>
    <row r="40" spans="2:6" ht="18" customHeight="1">
      <c r="B40" s="32" t="s">
        <v>41</v>
      </c>
      <c r="C40" s="33">
        <v>98.07</v>
      </c>
      <c r="D40" s="34">
        <v>10</v>
      </c>
      <c r="E40" s="35">
        <f>C40</f>
        <v>98.07</v>
      </c>
      <c r="F40" s="36">
        <f>D40</f>
        <v>10</v>
      </c>
    </row>
    <row r="41" spans="2:6" ht="18" customHeight="1">
      <c r="B41" s="32" t="s">
        <v>42</v>
      </c>
      <c r="C41" s="33">
        <v>2008.19</v>
      </c>
      <c r="D41" s="34">
        <v>132</v>
      </c>
      <c r="E41" s="35">
        <f t="shared" ref="E41:E43" si="5">C41</f>
        <v>2008.19</v>
      </c>
      <c r="F41" s="36">
        <f t="shared" ref="F41:F43" si="6">D41</f>
        <v>132</v>
      </c>
    </row>
    <row r="42" spans="2:6" ht="18" customHeight="1">
      <c r="B42" s="32" t="s">
        <v>43</v>
      </c>
      <c r="C42" s="33">
        <v>8.83</v>
      </c>
      <c r="D42" s="34">
        <v>1</v>
      </c>
      <c r="E42" s="35">
        <f t="shared" si="5"/>
        <v>8.83</v>
      </c>
      <c r="F42" s="36">
        <f t="shared" si="6"/>
        <v>1</v>
      </c>
    </row>
    <row r="43" spans="2:6" ht="18" customHeight="1">
      <c r="B43" s="32" t="s">
        <v>44</v>
      </c>
      <c r="C43" s="33">
        <v>217.26</v>
      </c>
      <c r="D43" s="34">
        <v>12</v>
      </c>
      <c r="E43" s="35">
        <f t="shared" si="5"/>
        <v>217.26</v>
      </c>
      <c r="F43" s="36">
        <f t="shared" si="6"/>
        <v>12</v>
      </c>
    </row>
    <row r="44" spans="2:6" ht="18" customHeight="1">
      <c r="B44" s="11" t="s">
        <v>45</v>
      </c>
      <c r="C44" s="13">
        <f>SUM(C40:C43)</f>
        <v>2332.3500000000004</v>
      </c>
      <c r="D44" s="14">
        <f>SUM(D40:D43)</f>
        <v>155</v>
      </c>
      <c r="E44" s="13">
        <f>SUM(E40:E43)</f>
        <v>2332.3500000000004</v>
      </c>
      <c r="F44" s="12">
        <f>SUM(F40:F43)</f>
        <v>155</v>
      </c>
    </row>
    <row r="45" spans="2:6" ht="18" customHeight="1">
      <c r="B45" s="64" t="s">
        <v>46</v>
      </c>
      <c r="C45" s="64"/>
      <c r="D45" s="64"/>
      <c r="E45" s="64"/>
      <c r="F45" s="64"/>
    </row>
    <row r="46" spans="2:6" ht="18" customHeight="1">
      <c r="B46" s="37" t="s">
        <v>47</v>
      </c>
      <c r="C46" s="38"/>
      <c r="D46" s="38"/>
      <c r="E46" s="38"/>
      <c r="F46" s="38"/>
    </row>
    <row r="47" spans="2:6" ht="18" customHeight="1">
      <c r="B47" s="37" t="s">
        <v>48</v>
      </c>
      <c r="C47" s="39">
        <v>7026.73</v>
      </c>
      <c r="D47" s="40">
        <v>153</v>
      </c>
      <c r="E47" s="41">
        <f>C47</f>
        <v>7026.73</v>
      </c>
      <c r="F47" s="52">
        <f>D47</f>
        <v>153</v>
      </c>
    </row>
    <row r="48" spans="2:6" ht="18" customHeight="1">
      <c r="B48" s="37" t="s">
        <v>49</v>
      </c>
      <c r="C48" s="38"/>
      <c r="D48" s="38"/>
      <c r="E48" s="38"/>
      <c r="F48" s="38"/>
    </row>
    <row r="49" spans="2:6" ht="18" customHeight="1">
      <c r="B49" s="37" t="s">
        <v>50</v>
      </c>
      <c r="C49" s="38"/>
      <c r="D49" s="38"/>
      <c r="E49" s="38"/>
      <c r="F49" s="38"/>
    </row>
    <row r="50" spans="2:6" ht="18" customHeight="1">
      <c r="B50" s="37" t="s">
        <v>51</v>
      </c>
      <c r="C50" s="38"/>
      <c r="D50" s="38"/>
      <c r="E50" s="38"/>
      <c r="F50" s="38"/>
    </row>
    <row r="51" spans="2:6" ht="18" customHeight="1">
      <c r="B51" s="37" t="s">
        <v>52</v>
      </c>
      <c r="C51" s="39">
        <v>206.58</v>
      </c>
      <c r="D51" s="40">
        <v>1</v>
      </c>
      <c r="E51" s="41">
        <f t="shared" ref="E51:F54" si="7">C51</f>
        <v>206.58</v>
      </c>
      <c r="F51" s="52">
        <f t="shared" si="7"/>
        <v>1</v>
      </c>
    </row>
    <row r="52" spans="2:6" ht="18" customHeight="1">
      <c r="B52" s="37" t="s">
        <v>53</v>
      </c>
      <c r="C52" s="39">
        <v>42.58</v>
      </c>
      <c r="D52" s="40">
        <v>2</v>
      </c>
      <c r="E52" s="41">
        <f t="shared" si="7"/>
        <v>42.58</v>
      </c>
      <c r="F52" s="52">
        <f t="shared" si="7"/>
        <v>2</v>
      </c>
    </row>
    <row r="53" spans="2:6" ht="18" customHeight="1">
      <c r="B53" s="37" t="s">
        <v>54</v>
      </c>
      <c r="C53" s="38"/>
      <c r="D53" s="38"/>
      <c r="E53" s="38"/>
      <c r="F53" s="53"/>
    </row>
    <row r="54" spans="2:6" ht="18" customHeight="1">
      <c r="B54" s="37" t="s">
        <v>55</v>
      </c>
      <c r="C54" s="39">
        <v>721.41</v>
      </c>
      <c r="D54" s="40">
        <v>3</v>
      </c>
      <c r="E54" s="41">
        <f t="shared" si="7"/>
        <v>721.41</v>
      </c>
      <c r="F54" s="52">
        <f t="shared" si="7"/>
        <v>3</v>
      </c>
    </row>
    <row r="55" spans="2:6" ht="18" customHeight="1">
      <c r="B55" s="15" t="s">
        <v>56</v>
      </c>
      <c r="C55" s="16">
        <v>7997.3</v>
      </c>
      <c r="D55" s="16">
        <v>159</v>
      </c>
      <c r="E55" s="16">
        <v>7997.3</v>
      </c>
      <c r="F55" s="51">
        <v>159</v>
      </c>
    </row>
    <row r="56" spans="2:6" ht="18" customHeight="1">
      <c r="B56" s="65" t="s">
        <v>57</v>
      </c>
      <c r="C56" s="65"/>
      <c r="D56" s="65"/>
      <c r="E56" s="65"/>
      <c r="F56" s="65"/>
    </row>
    <row r="57" spans="2:6" ht="18" customHeight="1">
      <c r="B57" s="42" t="s">
        <v>58</v>
      </c>
      <c r="C57" s="43">
        <v>91.87</v>
      </c>
      <c r="D57" s="44">
        <v>4</v>
      </c>
      <c r="E57" s="45">
        <f>C57</f>
        <v>91.87</v>
      </c>
      <c r="F57" s="46">
        <f>D57</f>
        <v>4</v>
      </c>
    </row>
    <row r="58" spans="2:6" ht="18" customHeight="1">
      <c r="B58" s="42" t="s">
        <v>59</v>
      </c>
      <c r="C58" s="43">
        <v>302.88</v>
      </c>
      <c r="D58" s="44">
        <v>29</v>
      </c>
      <c r="E58" s="45">
        <f t="shared" ref="E58:F62" si="8">C58</f>
        <v>302.88</v>
      </c>
      <c r="F58" s="46">
        <f t="shared" si="8"/>
        <v>29</v>
      </c>
    </row>
    <row r="59" spans="2:6" ht="18" customHeight="1">
      <c r="B59" s="42" t="s">
        <v>60</v>
      </c>
      <c r="C59" s="43">
        <v>192.25</v>
      </c>
      <c r="D59" s="44">
        <v>29</v>
      </c>
      <c r="E59" s="45">
        <f t="shared" si="8"/>
        <v>192.25</v>
      </c>
      <c r="F59" s="46">
        <f t="shared" si="8"/>
        <v>29</v>
      </c>
    </row>
    <row r="60" spans="2:6" ht="15.75" customHeight="1">
      <c r="B60" s="42" t="s">
        <v>61</v>
      </c>
      <c r="C60" s="43">
        <v>54.18</v>
      </c>
      <c r="D60" s="44">
        <v>5</v>
      </c>
      <c r="E60" s="45">
        <f t="shared" si="8"/>
        <v>54.18</v>
      </c>
      <c r="F60" s="46">
        <f t="shared" si="8"/>
        <v>5</v>
      </c>
    </row>
    <row r="61" spans="2:6" ht="18" customHeight="1">
      <c r="B61" s="42" t="s">
        <v>62</v>
      </c>
      <c r="C61" s="43">
        <v>107.81</v>
      </c>
      <c r="D61" s="44">
        <v>2</v>
      </c>
      <c r="E61" s="45">
        <f t="shared" si="8"/>
        <v>107.81</v>
      </c>
      <c r="F61" s="46">
        <f t="shared" si="8"/>
        <v>2</v>
      </c>
    </row>
    <row r="62" spans="2:6" ht="30" customHeight="1">
      <c r="B62" s="42" t="s">
        <v>63</v>
      </c>
      <c r="C62" s="43">
        <v>222.39</v>
      </c>
      <c r="D62" s="44">
        <v>17</v>
      </c>
      <c r="E62" s="45">
        <f t="shared" si="8"/>
        <v>222.39</v>
      </c>
      <c r="F62" s="46">
        <f t="shared" si="8"/>
        <v>17</v>
      </c>
    </row>
    <row r="63" spans="2:6" ht="18" customHeight="1">
      <c r="B63" s="42" t="s">
        <v>64</v>
      </c>
      <c r="C63" s="47"/>
      <c r="D63" s="47"/>
      <c r="E63" s="47"/>
      <c r="F63" s="48"/>
    </row>
    <row r="64" spans="2:6" ht="18" customHeight="1">
      <c r="B64" s="42" t="s">
        <v>65</v>
      </c>
      <c r="C64" s="43">
        <v>395.43</v>
      </c>
      <c r="D64" s="44">
        <v>2</v>
      </c>
      <c r="E64" s="45">
        <f>C64</f>
        <v>395.43</v>
      </c>
      <c r="F64" s="46">
        <f>D64</f>
        <v>2</v>
      </c>
    </row>
    <row r="65" spans="2:6" ht="18" customHeight="1">
      <c r="B65" s="42" t="s">
        <v>66</v>
      </c>
      <c r="C65" s="47"/>
      <c r="D65" s="47"/>
      <c r="E65" s="47"/>
      <c r="F65" s="48"/>
    </row>
    <row r="66" spans="2:6" ht="18" customHeight="1">
      <c r="B66" s="42" t="s">
        <v>67</v>
      </c>
      <c r="C66" s="43">
        <v>11.21</v>
      </c>
      <c r="D66" s="44">
        <v>1</v>
      </c>
      <c r="E66" s="45">
        <f>C66</f>
        <v>11.21</v>
      </c>
      <c r="F66" s="46">
        <f>D66</f>
        <v>1</v>
      </c>
    </row>
    <row r="67" spans="2:6" ht="18" customHeight="1">
      <c r="B67" s="42" t="s">
        <v>68</v>
      </c>
      <c r="C67" s="47"/>
      <c r="D67" s="47"/>
      <c r="E67" s="47"/>
      <c r="F67" s="48"/>
    </row>
    <row r="68" spans="2:6" ht="18" customHeight="1">
      <c r="B68" s="42" t="s">
        <v>69</v>
      </c>
      <c r="C68" s="43">
        <v>54.56</v>
      </c>
      <c r="D68" s="44">
        <v>13</v>
      </c>
      <c r="E68" s="45">
        <f t="shared" ref="E68:E69" si="9">C68</f>
        <v>54.56</v>
      </c>
      <c r="F68" s="46">
        <f t="shared" ref="F68:F69" si="10">D68</f>
        <v>13</v>
      </c>
    </row>
    <row r="69" spans="2:6" ht="18" customHeight="1">
      <c r="B69" s="42" t="s">
        <v>70</v>
      </c>
      <c r="C69" s="43">
        <v>61.59</v>
      </c>
      <c r="D69" s="44">
        <v>21</v>
      </c>
      <c r="E69" s="45">
        <f t="shared" si="9"/>
        <v>61.59</v>
      </c>
      <c r="F69" s="46">
        <f t="shared" si="10"/>
        <v>21</v>
      </c>
    </row>
    <row r="70" spans="2:6" ht="18" customHeight="1">
      <c r="B70" s="42" t="s">
        <v>71</v>
      </c>
      <c r="C70" s="47"/>
      <c r="D70" s="47"/>
      <c r="E70" s="47"/>
      <c r="F70" s="48"/>
    </row>
    <row r="71" spans="2:6" ht="18" customHeight="1">
      <c r="B71" s="42" t="s">
        <v>72</v>
      </c>
      <c r="C71" s="43">
        <v>29.12</v>
      </c>
      <c r="D71" s="44">
        <v>1</v>
      </c>
      <c r="E71" s="45">
        <f t="shared" ref="E71:E72" si="11">C71</f>
        <v>29.12</v>
      </c>
      <c r="F71" s="46">
        <f t="shared" ref="F71:F72" si="12">D71</f>
        <v>1</v>
      </c>
    </row>
    <row r="72" spans="2:6" ht="18" customHeight="1">
      <c r="B72" s="42" t="s">
        <v>73</v>
      </c>
      <c r="C72" s="43">
        <v>699.82</v>
      </c>
      <c r="D72" s="44">
        <v>52</v>
      </c>
      <c r="E72" s="45">
        <f t="shared" si="11"/>
        <v>699.82</v>
      </c>
      <c r="F72" s="46">
        <f t="shared" si="12"/>
        <v>52</v>
      </c>
    </row>
    <row r="73" spans="2:6" ht="18" customHeight="1">
      <c r="B73" s="42" t="s">
        <v>74</v>
      </c>
      <c r="C73" s="47"/>
      <c r="D73" s="47"/>
      <c r="E73" s="47"/>
      <c r="F73" s="48"/>
    </row>
    <row r="74" spans="2:6" ht="18" customHeight="1">
      <c r="B74" s="42" t="s">
        <v>75</v>
      </c>
      <c r="C74" s="43">
        <v>119.99</v>
      </c>
      <c r="D74" s="44">
        <v>1</v>
      </c>
      <c r="E74" s="45">
        <f>C74</f>
        <v>119.99</v>
      </c>
      <c r="F74" s="46">
        <f>D74</f>
        <v>1</v>
      </c>
    </row>
    <row r="75" spans="2:6" ht="18" customHeight="1">
      <c r="B75" s="42" t="s">
        <v>76</v>
      </c>
      <c r="C75" s="47"/>
      <c r="D75" s="47"/>
      <c r="E75" s="47"/>
      <c r="F75" s="48"/>
    </row>
    <row r="76" spans="2:6" ht="18" customHeight="1">
      <c r="B76" s="42" t="s">
        <v>77</v>
      </c>
      <c r="C76" s="43">
        <v>1606.08</v>
      </c>
      <c r="D76" s="44">
        <v>17</v>
      </c>
      <c r="E76" s="45">
        <f t="shared" ref="E76:E81" si="13">C76</f>
        <v>1606.08</v>
      </c>
      <c r="F76" s="46">
        <f t="shared" ref="F76:F81" si="14">D76</f>
        <v>17</v>
      </c>
    </row>
    <row r="77" spans="2:6" ht="18" customHeight="1">
      <c r="B77" s="42" t="s">
        <v>78</v>
      </c>
      <c r="C77" s="43">
        <v>3.19</v>
      </c>
      <c r="D77" s="44">
        <v>1</v>
      </c>
      <c r="E77" s="45">
        <f t="shared" si="13"/>
        <v>3.19</v>
      </c>
      <c r="F77" s="46">
        <f t="shared" si="14"/>
        <v>1</v>
      </c>
    </row>
    <row r="78" spans="2:6" ht="18" customHeight="1">
      <c r="B78" s="42" t="s">
        <v>79</v>
      </c>
      <c r="C78" s="43">
        <v>12.85</v>
      </c>
      <c r="D78" s="44">
        <v>1</v>
      </c>
      <c r="E78" s="45">
        <f t="shared" si="13"/>
        <v>12.85</v>
      </c>
      <c r="F78" s="46">
        <f t="shared" si="14"/>
        <v>1</v>
      </c>
    </row>
    <row r="79" spans="2:6" ht="18" customHeight="1">
      <c r="B79" s="42" t="s">
        <v>80</v>
      </c>
      <c r="C79" s="43">
        <v>10.11</v>
      </c>
      <c r="D79" s="44">
        <v>11</v>
      </c>
      <c r="E79" s="45">
        <f t="shared" si="13"/>
        <v>10.11</v>
      </c>
      <c r="F79" s="46">
        <f t="shared" si="14"/>
        <v>11</v>
      </c>
    </row>
    <row r="80" spans="2:6" ht="18" customHeight="1">
      <c r="B80" s="42" t="s">
        <v>36</v>
      </c>
      <c r="C80" s="43">
        <v>39.65</v>
      </c>
      <c r="D80" s="44">
        <v>1</v>
      </c>
      <c r="E80" s="45">
        <f t="shared" si="13"/>
        <v>39.65</v>
      </c>
      <c r="F80" s="46">
        <f t="shared" si="14"/>
        <v>1</v>
      </c>
    </row>
    <row r="81" spans="2:16" ht="18" customHeight="1">
      <c r="B81" s="42" t="s">
        <v>81</v>
      </c>
      <c r="C81" s="43">
        <v>14.5</v>
      </c>
      <c r="D81" s="44">
        <v>1</v>
      </c>
      <c r="E81" s="45">
        <f t="shared" si="13"/>
        <v>14.5</v>
      </c>
      <c r="F81" s="46">
        <f t="shared" si="14"/>
        <v>1</v>
      </c>
    </row>
    <row r="82" spans="2:16" ht="18" customHeight="1">
      <c r="B82" s="17" t="s">
        <v>82</v>
      </c>
      <c r="C82" s="18">
        <f>C81+C80+C79+C78+C77+C76+C74+C72+C71+C69+C68+C66+C64+C62+C61+C60+C59+C58+C57</f>
        <v>4029.4799999999996</v>
      </c>
      <c r="D82" s="18">
        <f>D81+D80+D79+D78+D77+D76+D74+D72+D71+D69+D68+D66+D64+D62+D61+D60+D59+D58+D57</f>
        <v>209</v>
      </c>
      <c r="E82" s="18">
        <f>E81+E80+E79+E78+E77+E76+E74+E72+E71+E69+E68+E66+E64+E62+E61+E60+E59+E58+E57</f>
        <v>4029.4799999999996</v>
      </c>
      <c r="F82" s="50">
        <f>F81+F80+F79+F78+F77+F76+F74+F72+F71+F69+F68+F66+F64+F62+F61+F60+F59+F58+F57</f>
        <v>209</v>
      </c>
    </row>
    <row r="83" spans="2:16" ht="18" customHeight="1">
      <c r="B83" s="60" t="s">
        <v>83</v>
      </c>
      <c r="C83" s="61"/>
      <c r="D83" s="61"/>
      <c r="E83" s="61"/>
      <c r="F83" s="61"/>
    </row>
    <row r="84" spans="2:16" ht="18" customHeight="1">
      <c r="B84" s="6" t="s">
        <v>83</v>
      </c>
      <c r="C84" s="1"/>
      <c r="D84" s="1"/>
      <c r="E84" s="1"/>
      <c r="F84" s="1"/>
    </row>
    <row r="85" spans="2:16" ht="18" customHeight="1">
      <c r="B85" s="19" t="s">
        <v>84</v>
      </c>
      <c r="C85" s="20"/>
      <c r="D85" s="20"/>
      <c r="E85" s="20"/>
      <c r="F85" s="20"/>
    </row>
    <row r="86" spans="2:16" ht="18" customHeight="1">
      <c r="B86" s="7" t="s">
        <v>85</v>
      </c>
      <c r="C86" s="2">
        <f>C82+C55+C44+C38</f>
        <v>20044.349999999999</v>
      </c>
      <c r="D86" s="3">
        <f t="shared" ref="D86:F86" si="15">D82+D55+D44+D38</f>
        <v>678</v>
      </c>
      <c r="E86" s="2">
        <f t="shared" si="15"/>
        <v>20044.349999999999</v>
      </c>
      <c r="F86" s="3">
        <f t="shared" si="15"/>
        <v>678</v>
      </c>
    </row>
    <row r="88" spans="2:16" ht="18" customHeight="1">
      <c r="B88" s="49">
        <v>43916</v>
      </c>
    </row>
    <row r="89" spans="2:16" ht="18" customHeight="1">
      <c r="B89" s="59" t="s">
        <v>86</v>
      </c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</row>
  </sheetData>
  <mergeCells count="13">
    <mergeCell ref="B89:P89"/>
    <mergeCell ref="B83:F83"/>
    <mergeCell ref="B11:F11"/>
    <mergeCell ref="B39:F39"/>
    <mergeCell ref="B45:F45"/>
    <mergeCell ref="B56:F56"/>
    <mergeCell ref="B2:F2"/>
    <mergeCell ref="B4:F4"/>
    <mergeCell ref="B6:F6"/>
    <mergeCell ref="C8:D8"/>
    <mergeCell ref="E8:E10"/>
    <mergeCell ref="F8:F10"/>
    <mergeCell ref="C9:D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CAIMAN URQUIJO CAMILO ANDRES</cp:lastModifiedBy>
  <cp:revision/>
  <dcterms:created xsi:type="dcterms:W3CDTF">2019-09-10T14:04:44Z</dcterms:created>
  <dcterms:modified xsi:type="dcterms:W3CDTF">2025-07-01T15:48:24Z</dcterms:modified>
  <cp:category/>
  <cp:contentStatus/>
</cp:coreProperties>
</file>