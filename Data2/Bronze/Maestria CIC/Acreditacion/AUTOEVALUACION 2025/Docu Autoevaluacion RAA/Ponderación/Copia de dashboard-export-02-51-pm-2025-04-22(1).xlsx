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/>
  <xr:revisionPtr revIDLastSave="113" documentId="14_{2C26AA83-9497-4C62-8CBF-5FDD9EC21843}" xr6:coauthVersionLast="47" xr6:coauthVersionMax="47" xr10:uidLastSave="{1DA6509B-FE15-4F70-9FF1-5D4B25F9F8B5}"/>
  <bookViews>
    <workbookView xWindow="-110" yWindow="-110" windowWidth="19420" windowHeight="10420" firstSheet="5" activeTab="13" xr2:uid="{00000000-000D-0000-FFFF-FFFF00000000}"/>
  </bookViews>
  <sheets>
    <sheet name="FACTORES" sheetId="1" r:id="rId1"/>
    <sheet name="PEP" sheetId="3" r:id="rId2"/>
    <sheet name="EST" sheetId="10" r:id="rId3"/>
    <sheet name="DOC" sheetId="11" r:id="rId4"/>
    <sheet name="FAC 5" sheetId="12" r:id="rId5"/>
    <sheet name="FAC 6" sheetId="13" r:id="rId6"/>
    <sheet name="FAC 7" sheetId="14" r:id="rId7"/>
    <sheet name="FAC 8" sheetId="15" r:id="rId8"/>
    <sheet name="FAC 9" sheetId="16" r:id="rId9"/>
    <sheet name="FAC 10" sheetId="17" r:id="rId10"/>
    <sheet name="FAC 11" sheetId="18" r:id="rId11"/>
    <sheet name="FAC 12" sheetId="19" r:id="rId12"/>
    <sheet name="Graficos" sheetId="2" r:id="rId13"/>
    <sheet name="Hoja1" sheetId="20" r:id="rId14"/>
  </sheets>
  <definedNames>
    <definedName name="_xlnm._FilterDatabase" localSheetId="3" hidden="1">DOC!$A$1:$J$65</definedName>
    <definedName name="_xlnm._FilterDatabase" localSheetId="2" hidden="1">EST!$A$1:$J$26</definedName>
    <definedName name="_xlnm._FilterDatabase" localSheetId="10" hidden="1">'FAC 11'!$A$1:$J$37</definedName>
    <definedName name="_xlnm._FilterDatabase" localSheetId="4" hidden="1">'FAC 5'!$A$1:$J$82</definedName>
    <definedName name="_xlnm._FilterDatabase" localSheetId="5" hidden="1">'FAC 6'!$A$1:$J$17</definedName>
    <definedName name="_xlnm._FilterDatabase" localSheetId="0" hidden="1">FACTORES!$A$1:$L$145</definedName>
    <definedName name="_Hlk137488061" localSheetId="13">Hoja1!$A$1</definedName>
    <definedName name="_xlchart.v2.0" hidden="1">Graficos!$B$3:$B$14</definedName>
    <definedName name="_xlchart.v2.1" hidden="1">Graficos!$C$2</definedName>
    <definedName name="_xlchart.v2.2" hidden="1">Graficos!$C$3:$C$14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20" l="1"/>
  <c r="E49" i="20"/>
  <c r="E44" i="20"/>
  <c r="E45" i="20"/>
  <c r="E46" i="20"/>
  <c r="E47" i="20"/>
  <c r="E48" i="20"/>
  <c r="E43" i="20"/>
  <c r="E41" i="20"/>
  <c r="E42" i="20"/>
  <c r="E40" i="20"/>
  <c r="E39" i="20"/>
  <c r="E38" i="20"/>
  <c r="E37" i="20"/>
  <c r="E35" i="20"/>
  <c r="E33" i="20"/>
  <c r="E34" i="20"/>
  <c r="E32" i="20"/>
  <c r="E29" i="20"/>
  <c r="E30" i="20"/>
  <c r="E31" i="20"/>
  <c r="E28" i="20"/>
  <c r="E20" i="20"/>
  <c r="E21" i="20"/>
  <c r="E22" i="20"/>
  <c r="E23" i="20"/>
  <c r="E24" i="20"/>
  <c r="E25" i="20"/>
  <c r="E26" i="20"/>
  <c r="E27" i="20"/>
  <c r="E19" i="20"/>
  <c r="E10" i="20"/>
  <c r="E11" i="20"/>
  <c r="E12" i="20"/>
  <c r="E13" i="20"/>
  <c r="E14" i="20"/>
  <c r="E15" i="20"/>
  <c r="E16" i="20"/>
  <c r="E9" i="20"/>
  <c r="E5" i="20"/>
  <c r="E6" i="20"/>
  <c r="E7" i="20"/>
  <c r="E8" i="20"/>
  <c r="E4" i="20"/>
  <c r="E3" i="20"/>
  <c r="E2" i="20"/>
  <c r="C49" i="20"/>
  <c r="C43" i="20"/>
  <c r="C40" i="20"/>
  <c r="C38" i="20"/>
  <c r="C35" i="20"/>
  <c r="C32" i="20"/>
  <c r="C28" i="20"/>
  <c r="C19" i="20"/>
  <c r="C17" i="20"/>
  <c r="C9" i="20"/>
  <c r="C4" i="20"/>
  <c r="C2" i="20"/>
  <c r="G2" i="1"/>
  <c r="C91" i="2"/>
  <c r="C90" i="2"/>
  <c r="C87" i="2"/>
  <c r="C86" i="2"/>
  <c r="C85" i="2"/>
  <c r="C84" i="2"/>
  <c r="C83" i="2"/>
  <c r="C82" i="2"/>
  <c r="C78" i="2"/>
  <c r="C77" i="2"/>
  <c r="C76" i="2"/>
  <c r="C72" i="2"/>
  <c r="C71" i="2"/>
  <c r="C67" i="2"/>
  <c r="C66" i="2"/>
  <c r="C63" i="2"/>
  <c r="C62" i="2"/>
  <c r="C61" i="2"/>
  <c r="C57" i="2"/>
  <c r="C56" i="2"/>
  <c r="C55" i="2"/>
  <c r="C54" i="2"/>
  <c r="C50" i="2"/>
  <c r="C47" i="2"/>
  <c r="C49" i="2"/>
  <c r="C48" i="2"/>
  <c r="C46" i="2"/>
  <c r="C45" i="2"/>
  <c r="C44" i="2"/>
  <c r="C43" i="2"/>
  <c r="C42" i="2"/>
  <c r="J2" i="12"/>
  <c r="C38" i="2"/>
  <c r="C37" i="2"/>
  <c r="C36" i="2"/>
  <c r="C35" i="2"/>
  <c r="C34" i="2"/>
  <c r="C33" i="2"/>
  <c r="C32" i="2"/>
  <c r="C31" i="2"/>
  <c r="C27" i="2"/>
  <c r="C26" i="2"/>
  <c r="C25" i="2"/>
  <c r="C24" i="2"/>
  <c r="C23" i="2"/>
  <c r="C19" i="2"/>
  <c r="C18" i="2"/>
  <c r="G5" i="19"/>
  <c r="H5" i="19" s="1"/>
  <c r="G4" i="19"/>
  <c r="H4" i="19" s="1"/>
  <c r="G3" i="19"/>
  <c r="H3" i="19" s="1"/>
  <c r="G2" i="19"/>
  <c r="H2" i="19" s="1"/>
  <c r="I2" i="19" s="1"/>
  <c r="H1" i="19"/>
  <c r="H1" i="18"/>
  <c r="H1" i="17"/>
  <c r="H1" i="16"/>
  <c r="H1" i="15"/>
  <c r="H1" i="14"/>
  <c r="H1" i="13"/>
  <c r="H1" i="12"/>
  <c r="H1" i="11"/>
  <c r="H1" i="10"/>
  <c r="H1" i="3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2" i="18"/>
  <c r="H3" i="18"/>
  <c r="H4" i="18"/>
  <c r="H7" i="18"/>
  <c r="H6" i="18"/>
  <c r="H5" i="18"/>
  <c r="H10" i="17"/>
  <c r="H9" i="17"/>
  <c r="H8" i="17"/>
  <c r="I8" i="17" s="1"/>
  <c r="H7" i="17"/>
  <c r="H6" i="17"/>
  <c r="H5" i="17"/>
  <c r="I5" i="17" s="1"/>
  <c r="H4" i="17"/>
  <c r="H3" i="17"/>
  <c r="H2" i="17"/>
  <c r="J2" i="16"/>
  <c r="G5" i="16"/>
  <c r="H5" i="16" s="1"/>
  <c r="G4" i="16"/>
  <c r="H4" i="16" s="1"/>
  <c r="I4" i="16" s="1"/>
  <c r="G3" i="16"/>
  <c r="H3" i="16" s="1"/>
  <c r="G2" i="16"/>
  <c r="H2" i="16" s="1"/>
  <c r="I2" i="16" s="1"/>
  <c r="G5" i="15"/>
  <c r="H5" i="15" s="1"/>
  <c r="G4" i="15"/>
  <c r="H4" i="15" s="1"/>
  <c r="G3" i="15"/>
  <c r="H3" i="15" s="1"/>
  <c r="G2" i="15"/>
  <c r="H2" i="15" s="1"/>
  <c r="I2" i="15" s="1"/>
  <c r="H5" i="14"/>
  <c r="I5" i="14" s="1"/>
  <c r="H6" i="14"/>
  <c r="H7" i="14"/>
  <c r="H8" i="14"/>
  <c r="H9" i="14"/>
  <c r="H10" i="14"/>
  <c r="H4" i="14"/>
  <c r="H3" i="14"/>
  <c r="H2" i="14"/>
  <c r="H6" i="13"/>
  <c r="H7" i="13"/>
  <c r="H8" i="13"/>
  <c r="H9" i="13"/>
  <c r="H10" i="13"/>
  <c r="I10" i="13" s="1"/>
  <c r="H11" i="13"/>
  <c r="H12" i="13"/>
  <c r="H13" i="13"/>
  <c r="H14" i="13"/>
  <c r="H15" i="13"/>
  <c r="H16" i="13"/>
  <c r="H17" i="13"/>
  <c r="H5" i="13"/>
  <c r="H4" i="13"/>
  <c r="H3" i="13"/>
  <c r="H2" i="13"/>
  <c r="I2" i="13" s="1"/>
  <c r="H11" i="12"/>
  <c r="H12" i="12"/>
  <c r="I11" i="12" s="1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3" i="12"/>
  <c r="H4" i="12"/>
  <c r="H5" i="12"/>
  <c r="H6" i="12"/>
  <c r="H7" i="12"/>
  <c r="H8" i="12"/>
  <c r="H9" i="12"/>
  <c r="H10" i="12"/>
  <c r="H2" i="12"/>
  <c r="G65" i="11"/>
  <c r="H65" i="11" s="1"/>
  <c r="G64" i="11"/>
  <c r="H64" i="11" s="1"/>
  <c r="G63" i="11"/>
  <c r="H63" i="11" s="1"/>
  <c r="G62" i="11"/>
  <c r="H62" i="11" s="1"/>
  <c r="G61" i="11"/>
  <c r="H61" i="11" s="1"/>
  <c r="G60" i="11"/>
  <c r="H60" i="11" s="1"/>
  <c r="G59" i="11"/>
  <c r="H59" i="11" s="1"/>
  <c r="G58" i="11"/>
  <c r="H58" i="11" s="1"/>
  <c r="G57" i="11"/>
  <c r="H57" i="11" s="1"/>
  <c r="G56" i="11"/>
  <c r="H56" i="11" s="1"/>
  <c r="G55" i="11"/>
  <c r="H55" i="11" s="1"/>
  <c r="G54" i="11"/>
  <c r="H54" i="11" s="1"/>
  <c r="G53" i="11"/>
  <c r="H53" i="11" s="1"/>
  <c r="G52" i="11"/>
  <c r="H52" i="11" s="1"/>
  <c r="G51" i="11"/>
  <c r="H51" i="11" s="1"/>
  <c r="G50" i="11"/>
  <c r="H50" i="11" s="1"/>
  <c r="G49" i="11"/>
  <c r="H49" i="11" s="1"/>
  <c r="G48" i="11"/>
  <c r="H48" i="11" s="1"/>
  <c r="G47" i="11"/>
  <c r="H47" i="11" s="1"/>
  <c r="G46" i="11"/>
  <c r="H46" i="11" s="1"/>
  <c r="G45" i="11"/>
  <c r="H45" i="11" s="1"/>
  <c r="G44" i="11"/>
  <c r="H44" i="11" s="1"/>
  <c r="G43" i="11"/>
  <c r="H43" i="11" s="1"/>
  <c r="G42" i="11"/>
  <c r="H42" i="11" s="1"/>
  <c r="G41" i="11"/>
  <c r="H41" i="11" s="1"/>
  <c r="G40" i="11"/>
  <c r="H40" i="11" s="1"/>
  <c r="G39" i="11"/>
  <c r="H39" i="11" s="1"/>
  <c r="G38" i="11"/>
  <c r="H38" i="11" s="1"/>
  <c r="G37" i="11"/>
  <c r="H37" i="11" s="1"/>
  <c r="G36" i="11"/>
  <c r="H36" i="11" s="1"/>
  <c r="G35" i="11"/>
  <c r="H35" i="11" s="1"/>
  <c r="G34" i="11"/>
  <c r="H34" i="11" s="1"/>
  <c r="G33" i="11"/>
  <c r="H33" i="11" s="1"/>
  <c r="G32" i="11"/>
  <c r="H32" i="11" s="1"/>
  <c r="G31" i="11"/>
  <c r="H31" i="11" s="1"/>
  <c r="G30" i="11"/>
  <c r="H30" i="11" s="1"/>
  <c r="G29" i="11"/>
  <c r="H29" i="11" s="1"/>
  <c r="G28" i="11"/>
  <c r="H28" i="11" s="1"/>
  <c r="G27" i="11"/>
  <c r="H27" i="11" s="1"/>
  <c r="G26" i="11"/>
  <c r="H26" i="11" s="1"/>
  <c r="G25" i="11"/>
  <c r="H25" i="11" s="1"/>
  <c r="G24" i="11"/>
  <c r="H24" i="11" s="1"/>
  <c r="G23" i="11"/>
  <c r="H23" i="11" s="1"/>
  <c r="G22" i="11"/>
  <c r="H22" i="11" s="1"/>
  <c r="G21" i="11"/>
  <c r="H21" i="11" s="1"/>
  <c r="G20" i="11"/>
  <c r="H20" i="11" s="1"/>
  <c r="G19" i="11"/>
  <c r="H19" i="11" s="1"/>
  <c r="G18" i="11"/>
  <c r="H18" i="11" s="1"/>
  <c r="G17" i="11"/>
  <c r="H17" i="11" s="1"/>
  <c r="G16" i="11"/>
  <c r="H16" i="11" s="1"/>
  <c r="G15" i="11"/>
  <c r="H15" i="11" s="1"/>
  <c r="G14" i="11"/>
  <c r="H14" i="11" s="1"/>
  <c r="G13" i="11"/>
  <c r="H13" i="11" s="1"/>
  <c r="G12" i="11"/>
  <c r="H12" i="11" s="1"/>
  <c r="G11" i="11"/>
  <c r="H11" i="11" s="1"/>
  <c r="G10" i="11"/>
  <c r="H10" i="11" s="1"/>
  <c r="G9" i="11"/>
  <c r="H9" i="11" s="1"/>
  <c r="G8" i="11"/>
  <c r="H8" i="11" s="1"/>
  <c r="G7" i="11"/>
  <c r="H7" i="11" s="1"/>
  <c r="G6" i="11"/>
  <c r="H6" i="11" s="1"/>
  <c r="G5" i="11"/>
  <c r="H5" i="11" s="1"/>
  <c r="G4" i="11"/>
  <c r="H4" i="11" s="1"/>
  <c r="G3" i="11"/>
  <c r="H3" i="11" s="1"/>
  <c r="G2" i="11"/>
  <c r="H2" i="11" s="1"/>
  <c r="G26" i="10"/>
  <c r="H26" i="10" s="1"/>
  <c r="G25" i="10"/>
  <c r="H25" i="10" s="1"/>
  <c r="G24" i="10"/>
  <c r="H24" i="10" s="1"/>
  <c r="G23" i="10"/>
  <c r="H23" i="10" s="1"/>
  <c r="G22" i="10"/>
  <c r="H22" i="10" s="1"/>
  <c r="G21" i="10"/>
  <c r="H21" i="10" s="1"/>
  <c r="G20" i="10"/>
  <c r="H20" i="10" s="1"/>
  <c r="G19" i="10"/>
  <c r="H19" i="10" s="1"/>
  <c r="G18" i="10"/>
  <c r="H18" i="10" s="1"/>
  <c r="G17" i="10"/>
  <c r="H17" i="10" s="1"/>
  <c r="G16" i="10"/>
  <c r="H16" i="10" s="1"/>
  <c r="G15" i="10"/>
  <c r="H15" i="10" s="1"/>
  <c r="G14" i="10"/>
  <c r="H14" i="10" s="1"/>
  <c r="G13" i="10"/>
  <c r="H13" i="10" s="1"/>
  <c r="G12" i="10"/>
  <c r="H12" i="10" s="1"/>
  <c r="G11" i="10"/>
  <c r="H11" i="10" s="1"/>
  <c r="G10" i="10"/>
  <c r="H10" i="10" s="1"/>
  <c r="G9" i="10"/>
  <c r="H9" i="10" s="1"/>
  <c r="G8" i="10"/>
  <c r="H8" i="10" s="1"/>
  <c r="G7" i="10"/>
  <c r="H7" i="10" s="1"/>
  <c r="G6" i="10"/>
  <c r="H6" i="10" s="1"/>
  <c r="G5" i="10"/>
  <c r="H5" i="10" s="1"/>
  <c r="G4" i="10"/>
  <c r="H4" i="10" s="1"/>
  <c r="G3" i="10"/>
  <c r="H3" i="10" s="1"/>
  <c r="G2" i="10"/>
  <c r="H2" i="10" s="1"/>
  <c r="G5" i="3"/>
  <c r="H5" i="3" s="1"/>
  <c r="G4" i="3"/>
  <c r="H4" i="3" s="1"/>
  <c r="I4" i="3" s="1"/>
  <c r="G3" i="3"/>
  <c r="H3" i="3" s="1"/>
  <c r="G2" i="3"/>
  <c r="H2" i="3" s="1"/>
  <c r="I2" i="3" s="1"/>
  <c r="I1" i="3" s="1"/>
  <c r="J2" i="3" s="1"/>
  <c r="H1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H2" i="1"/>
  <c r="I32" i="18" l="1"/>
  <c r="I2" i="18"/>
  <c r="I1" i="18" s="1"/>
  <c r="J2" i="18" s="1"/>
  <c r="I14" i="18"/>
  <c r="I20" i="18"/>
  <c r="I8" i="18"/>
  <c r="I26" i="18"/>
  <c r="I6" i="13"/>
  <c r="I14" i="13"/>
  <c r="I2" i="12"/>
  <c r="I18" i="11"/>
  <c r="I50" i="11"/>
  <c r="I2" i="11"/>
  <c r="I34" i="11"/>
  <c r="I10" i="11"/>
  <c r="I1" i="11" s="1"/>
  <c r="I42" i="11"/>
  <c r="I26" i="11"/>
  <c r="I58" i="11"/>
  <c r="J58" i="11" s="1"/>
  <c r="I12" i="10"/>
  <c r="I7" i="10"/>
  <c r="I4" i="19"/>
  <c r="I1" i="19" s="1"/>
  <c r="I2" i="17"/>
  <c r="J2" i="17" s="1"/>
  <c r="I1" i="17"/>
  <c r="J5" i="17" s="1"/>
  <c r="I1" i="16"/>
  <c r="J4" i="16"/>
  <c r="I4" i="15"/>
  <c r="I8" i="14"/>
  <c r="I2" i="14"/>
  <c r="I1" i="14" s="1"/>
  <c r="I1" i="13"/>
  <c r="J2" i="13" s="1"/>
  <c r="I65" i="12"/>
  <c r="I56" i="12"/>
  <c r="I47" i="12"/>
  <c r="I38" i="12"/>
  <c r="I20" i="12"/>
  <c r="I29" i="12"/>
  <c r="I74" i="12"/>
  <c r="I22" i="10"/>
  <c r="I17" i="10"/>
  <c r="I2" i="10"/>
  <c r="J4" i="3"/>
  <c r="I98" i="1"/>
  <c r="I2" i="1"/>
  <c r="I1" i="1" s="1"/>
  <c r="I134" i="1"/>
  <c r="I122" i="1"/>
  <c r="I110" i="1"/>
  <c r="I86" i="1"/>
  <c r="I74" i="1"/>
  <c r="I62" i="1"/>
  <c r="I50" i="1"/>
  <c r="I26" i="1"/>
  <c r="I38" i="1"/>
  <c r="I14" i="1"/>
  <c r="I1" i="12" l="1"/>
  <c r="J18" i="11"/>
  <c r="J34" i="11"/>
  <c r="J10" i="11"/>
  <c r="J26" i="11"/>
  <c r="J2" i="19"/>
  <c r="J4" i="19"/>
  <c r="J26" i="18"/>
  <c r="J20" i="18"/>
  <c r="J32" i="18"/>
  <c r="J14" i="18"/>
  <c r="J8" i="18"/>
  <c r="J8" i="17"/>
  <c r="I1" i="15"/>
  <c r="J2" i="15" s="1"/>
  <c r="J2" i="14"/>
  <c r="J8" i="14"/>
  <c r="J5" i="14"/>
  <c r="J6" i="13"/>
  <c r="J14" i="13"/>
  <c r="J10" i="13"/>
  <c r="J29" i="12"/>
  <c r="J56" i="12"/>
  <c r="J47" i="12"/>
  <c r="J74" i="12"/>
  <c r="J38" i="12"/>
  <c r="J65" i="12"/>
  <c r="J2" i="11"/>
  <c r="J42" i="11"/>
  <c r="J50" i="11"/>
  <c r="I1" i="10"/>
  <c r="J22" i="10" s="1"/>
  <c r="J17" i="10"/>
  <c r="J14" i="1"/>
  <c r="C4" i="2" s="1"/>
  <c r="J20" i="12" l="1"/>
  <c r="J11" i="12"/>
  <c r="J4" i="15"/>
  <c r="J12" i="10"/>
  <c r="J7" i="10"/>
  <c r="J2" i="10"/>
  <c r="J110" i="1"/>
  <c r="C12" i="2" s="1"/>
  <c r="J26" i="1"/>
  <c r="C5" i="2" s="1"/>
  <c r="J122" i="1"/>
  <c r="C13" i="2" s="1"/>
  <c r="J38" i="1"/>
  <c r="C6" i="2" s="1"/>
  <c r="J50" i="1"/>
  <c r="C7" i="2" s="1"/>
  <c r="J62" i="1"/>
  <c r="C8" i="2" s="1"/>
  <c r="J2" i="1"/>
  <c r="C3" i="2" s="1"/>
  <c r="J74" i="1"/>
  <c r="C9" i="2" s="1"/>
  <c r="J86" i="1"/>
  <c r="C10" i="2" s="1"/>
  <c r="J98" i="1"/>
  <c r="C11" i="2" s="1"/>
  <c r="J134" i="1"/>
  <c r="C14" i="2" s="1"/>
  <c r="J147" i="1" l="1"/>
</calcChain>
</file>

<file path=xl/sharedStrings.xml><?xml version="1.0" encoding="utf-8"?>
<sst xmlns="http://schemas.openxmlformats.org/spreadsheetml/2006/main" count="1551" uniqueCount="131">
  <si>
    <t>Haga clic para escribir el texto de la pregunta</t>
  </si>
  <si>
    <t>Valor del factor</t>
  </si>
  <si>
    <t>Recuento</t>
  </si>
  <si>
    <t>Puntuación</t>
  </si>
  <si>
    <t>Prueba puntuación</t>
  </si>
  <si>
    <t>PROYECTO EDUCATIVO DEL PROGRAMA E IDENTIDAD INSTITUCIONAL.</t>
  </si>
  <si>
    <t>1</t>
  </si>
  <si>
    <t>5</t>
  </si>
  <si>
    <t>2</t>
  </si>
  <si>
    <t>4</t>
  </si>
  <si>
    <t>3</t>
  </si>
  <si>
    <t>6</t>
  </si>
  <si>
    <t>7</t>
  </si>
  <si>
    <t>0</t>
  </si>
  <si>
    <t>8</t>
  </si>
  <si>
    <t>9</t>
  </si>
  <si>
    <t>10</t>
  </si>
  <si>
    <t>11</t>
  </si>
  <si>
    <t>12</t>
  </si>
  <si>
    <t>ESTUDIANTES</t>
  </si>
  <si>
    <t>PROFESORES</t>
  </si>
  <si>
    <t>ASPECTOS ACADÉMICOS Y RESULTADOS DE APRENDIZAJE</t>
  </si>
  <si>
    <t>PERMANENCIA Y GRADUACIÓN</t>
  </si>
  <si>
    <t>INTERACCIÓN CON EL ENTORNO NACIONAL E INTERNACIONAL</t>
  </si>
  <si>
    <t>APORTES DE LA INVESTIGACIÓN, LA INNOVACIÓN, EL DESARROLLO TECNOLÓGICO Y LA CREACIÓN, ASOCIADOS AL PROGRAMA ACADÉMICO</t>
  </si>
  <si>
    <t>BIENESTAR DE LA COMUNIDAD ACADÉMICA DEL PROGRAMA</t>
  </si>
  <si>
    <t>MEDIOS EDUCATIVOS Y AMBIENTES DE APRENDIZAJE</t>
  </si>
  <si>
    <t>ORGANIZACIÓN, ADMINISTRACIÓN Y FINANCIACIÓN DEL PROGRAMA ACADÉMICO</t>
  </si>
  <si>
    <t>RECURSOS FÍSICOS Y TECNOLÓGICOS</t>
  </si>
  <si>
    <t>EGRESADOS</t>
  </si>
  <si>
    <t xml:space="preserve"> Proyecto educativo del Programa.	</t>
  </si>
  <si>
    <t>Relevancia académica y pertinencia social del programa académico</t>
  </si>
  <si>
    <t xml:space="preserve">Participación en actividades de formación integral	</t>
  </si>
  <si>
    <t xml:space="preserve">			Orientación y seguimiento a estudiantes	</t>
  </si>
  <si>
    <t xml:space="preserve">			Capacidad de trabajo autónomo	</t>
  </si>
  <si>
    <t xml:space="preserve">			Reglamento estudiantil y política académica	</t>
  </si>
  <si>
    <t>Estímulos y apoyos para estudiantes</t>
  </si>
  <si>
    <t xml:space="preserve">Selección, vinculación y permanencia	</t>
  </si>
  <si>
    <t xml:space="preserve">			Estatuto profesoral	</t>
  </si>
  <si>
    <t xml:space="preserve">			Número, dedicación, nivel de formación y experiencia	</t>
  </si>
  <si>
    <t xml:space="preserve">			Desarrollo profesoral	</t>
  </si>
  <si>
    <t xml:space="preserve">			Estímulos a la trayectoria profesoral	</t>
  </si>
  <si>
    <t xml:space="preserve">			Producción, pertinencia, utilización e impacto del material docente	</t>
  </si>
  <si>
    <t xml:space="preserve">			Remuneración por méritos	</t>
  </si>
  <si>
    <t>Evaluación de profesores</t>
  </si>
  <si>
    <t xml:space="preserve">Integralidad de los aspectos curriculares	</t>
  </si>
  <si>
    <t xml:space="preserve">			Flexibilidad de los aspectos curriculares	</t>
  </si>
  <si>
    <t xml:space="preserve">			Interdisciplinariedad	</t>
  </si>
  <si>
    <t xml:space="preserve">			Estrategias pedagógicas	</t>
  </si>
  <si>
    <t xml:space="preserve">			Sistema de evaluación de estudiantes	</t>
  </si>
  <si>
    <t xml:space="preserve">			Resultados de aprendizaje	</t>
  </si>
  <si>
    <t xml:space="preserve">			Competencias	</t>
  </si>
  <si>
    <t xml:space="preserve">			Evaluación y autorregulación del programa académico	</t>
  </si>
  <si>
    <t>Vinculación e interacción social</t>
  </si>
  <si>
    <t xml:space="preserve">Políticas, estrategias y estructura para la permanencia y la graduación	</t>
  </si>
  <si>
    <t xml:space="preserve">			Caracterización de estudiantes y sistema de alertas tempranas	</t>
  </si>
  <si>
    <t xml:space="preserve">			Ajustes a los aspectos curriculares	</t>
  </si>
  <si>
    <t>Mecanismos de selección</t>
  </si>
  <si>
    <t xml:space="preserve">Inserción del programa en contextos académicos nacionales e internacionales	</t>
  </si>
  <si>
    <t xml:space="preserve">			Relaciones externas de profesores y estudiantes	</t>
  </si>
  <si>
    <t>Habilidades comunicativas en una segunda lengua</t>
  </si>
  <si>
    <t xml:space="preserve">Formación para la investigación, desarrollo tecnológico, la innovación y la creación	</t>
  </si>
  <si>
    <t>Compromiso con la investigación, desarrollo tecnológico, la innovación y la creación</t>
  </si>
  <si>
    <t xml:space="preserve">Programas y servicios	</t>
  </si>
  <si>
    <t>Participación y seguimiento</t>
  </si>
  <si>
    <t xml:space="preserve">Estrategias y recursos de apoyo a profesores	</t>
  </si>
  <si>
    <t xml:space="preserve">			Estrategias y recursos de apoyo a estudiantes	</t>
  </si>
  <si>
    <t>Recursos bibliográficos y de información</t>
  </si>
  <si>
    <t xml:space="preserve">Organización y administración	</t>
  </si>
  <si>
    <t xml:space="preserve">			Dirección y gestión	</t>
  </si>
  <si>
    <t xml:space="preserve">			Sistemas de comunicación e información	</t>
  </si>
  <si>
    <t xml:space="preserve">			Estudiantes y capacidad institucional	</t>
  </si>
  <si>
    <t xml:space="preserve">			Financiación del programa académico	</t>
  </si>
  <si>
    <t>Aseguramiento de la alta calidad y mejora continua</t>
  </si>
  <si>
    <t xml:space="preserve">Recursos de infraestructura física y tecnológica	</t>
  </si>
  <si>
    <t>Recursos informáticos y de comunicación</t>
  </si>
  <si>
    <t>FACTOR</t>
  </si>
  <si>
    <t>PONDERACIÓN</t>
  </si>
  <si>
    <t>FACTOR 1</t>
  </si>
  <si>
    <t>FACTOR 2</t>
  </si>
  <si>
    <t>FACTOR 3</t>
  </si>
  <si>
    <t>FACTOR 5</t>
  </si>
  <si>
    <t>FACTOR 6</t>
  </si>
  <si>
    <t>FACTOR 7</t>
  </si>
  <si>
    <t>FACTOR 8</t>
  </si>
  <si>
    <t>FACTOR 9</t>
  </si>
  <si>
    <t>FACTOR 10</t>
  </si>
  <si>
    <t>FACTOR 11</t>
  </si>
  <si>
    <t>FACTOR 12</t>
  </si>
  <si>
    <t># Factor</t>
  </si>
  <si>
    <t>Factor</t>
  </si>
  <si>
    <t xml:space="preserve">Ponderación </t>
  </si>
  <si>
    <t>Características</t>
  </si>
  <si>
    <t>Ponderación</t>
  </si>
  <si>
    <t xml:space="preserve"> Proyecto educativo del Programa.</t>
  </si>
  <si>
    <t>Participación en actividades de formación integral</t>
  </si>
  <si>
    <t>Orientación y seguimiento a estudiantes</t>
  </si>
  <si>
    <t>Capacidad de trabajo autónomo</t>
  </si>
  <si>
    <t>Reglamento estudiantil y política académica</t>
  </si>
  <si>
    <t>Selección, vinculación y permanencia</t>
  </si>
  <si>
    <t>Estatuto profesoral</t>
  </si>
  <si>
    <t>Número, dedicación, nivel de formación y experiencia</t>
  </si>
  <si>
    <t>Desarrollo profesoral</t>
  </si>
  <si>
    <t>Estímulos a la trayectoria profesoral</t>
  </si>
  <si>
    <t>Producción, pertinencia, utilización e impacto del material docente</t>
  </si>
  <si>
    <t>Remuneración por méritos</t>
  </si>
  <si>
    <t>Seguimiento a los egresados</t>
  </si>
  <si>
    <t>Impacto de los egresados en el medio social y académico</t>
  </si>
  <si>
    <t>Integralidad de los aspectos curriculares</t>
  </si>
  <si>
    <t>Flexibilidad de los aspectos curriculares</t>
  </si>
  <si>
    <t>Interdisciplinariedad</t>
  </si>
  <si>
    <t>Estrategias pedagógicas</t>
  </si>
  <si>
    <t>Sistema de evaluación de estudiantes</t>
  </si>
  <si>
    <t>Resultados de aprendizaje</t>
  </si>
  <si>
    <t>Competencias</t>
  </si>
  <si>
    <t>Evaluación y autorregulación del programa académico</t>
  </si>
  <si>
    <t>Políticas, estrategias y estructura para la permanencia y la graduación</t>
  </si>
  <si>
    <t>Caracterización de estudiantes y sistema de alertas tempranas</t>
  </si>
  <si>
    <t>Ajustes a los aspectos curriculares</t>
  </si>
  <si>
    <t>Inserción del programa en contextos académicos nacionales e internacionales</t>
  </si>
  <si>
    <t>Relaciones externas de profesores y estudiantes</t>
  </si>
  <si>
    <t>Formación para la investigación, desarrollo tecnológico, la innovación y la creación</t>
  </si>
  <si>
    <t>Programas y servicios</t>
  </si>
  <si>
    <t>Estrategias y recursos de apoyo a profesores</t>
  </si>
  <si>
    <t>Estrategias y recursos de apoyo a estudiantes</t>
  </si>
  <si>
    <t>Organización y administración</t>
  </si>
  <si>
    <t>Dirección y gestión</t>
  </si>
  <si>
    <t>Sistemas de comunicación e información</t>
  </si>
  <si>
    <t>Estudiantes y capacidad institucional</t>
  </si>
  <si>
    <t>Financiación del programa académico</t>
  </si>
  <si>
    <t>Recursos de infraestructura física y tecnológica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</si>
</sst>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B4C6E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10" fontId="1" fillId="2" borderId="0" xfId="0" applyNumberFormat="1" applyFont="1" applyFill="1"/>
    <xf numFmtId="0" fontId="0" fillId="0" borderId="1" xfId="0" applyBorder="1" applyAlignment="1">
      <alignment horizontal="center"/>
    </xf>
    <xf numFmtId="10" fontId="0" fillId="0" borderId="1" xfId="0" applyNumberFormat="1" applyBorder="1"/>
    <xf numFmtId="1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10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10" fontId="1" fillId="2" borderId="3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 indent="2"/>
    </xf>
    <xf numFmtId="0" fontId="4" fillId="0" borderId="10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10" fontId="4" fillId="0" borderId="10" xfId="0" applyNumberFormat="1" applyFont="1" applyBorder="1" applyAlignment="1">
      <alignment horizontal="center" vertical="center" wrapText="1"/>
    </xf>
    <xf numFmtId="10" fontId="4" fillId="0" borderId="9" xfId="0" applyNumberFormat="1" applyFont="1" applyBorder="1" applyAlignment="1">
      <alignment vertical="center" wrapText="1"/>
    </xf>
    <xf numFmtId="10" fontId="4" fillId="0" borderId="10" xfId="0" applyNumberFormat="1" applyFont="1" applyBorder="1" applyAlignment="1">
      <alignment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Graficos!$C$17</c:f>
              <c:strCache>
                <c:ptCount val="1"/>
                <c:pt idx="0">
                  <c:v>PONDERACIÓN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15-4707-8276-3C67EA172B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15-4707-8276-3C67EA172B4B}"/>
              </c:ext>
            </c:extLst>
          </c:dPt>
          <c:cat>
            <c:strRef>
              <c:f>Graficos!$B$18:$B$19</c:f>
              <c:strCache>
                <c:ptCount val="2"/>
                <c:pt idx="0">
                  <c:v> Proyecto educativo del Programa.	</c:v>
                </c:pt>
                <c:pt idx="1">
                  <c:v>Relevancia académica y pertinencia social del programa académico</c:v>
                </c:pt>
              </c:strCache>
            </c:strRef>
          </c:cat>
          <c:val>
            <c:numRef>
              <c:f>Graficos!$C$18:$C$19</c:f>
              <c:numCache>
                <c:formatCode>0.00%</c:formatCode>
                <c:ptCount val="2"/>
                <c:pt idx="0">
                  <c:v>0.53846153846153844</c:v>
                </c:pt>
                <c:pt idx="1">
                  <c:v>0.46153846153846156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30-4178-AE8C-2CA3DF714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Graficos!$C$22</c:f>
              <c:strCache>
                <c:ptCount val="1"/>
                <c:pt idx="0">
                  <c:v>PONDERACIÓN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Graficos!$B$23:$B$27</c:f>
              <c:strCache>
                <c:ptCount val="5"/>
                <c:pt idx="0">
                  <c:v>Participación en actividades de formación integral	</c:v>
                </c:pt>
                <c:pt idx="1">
                  <c:v>			Orientación y seguimiento a estudiantes	</c:v>
                </c:pt>
                <c:pt idx="2">
                  <c:v>			Capacidad de trabajo autónomo	</c:v>
                </c:pt>
                <c:pt idx="3">
                  <c:v>			Reglamento estudiantil y política académica	</c:v>
                </c:pt>
                <c:pt idx="4">
                  <c:v>Estímulos y apoyos para estudiantes</c:v>
                </c:pt>
              </c:strCache>
            </c:strRef>
          </c:cat>
          <c:val>
            <c:numRef>
              <c:f>Graficos!$C$23:$C$27</c:f>
              <c:numCache>
                <c:formatCode>0.00%</c:formatCode>
                <c:ptCount val="5"/>
                <c:pt idx="0">
                  <c:v>0.33139534883720928</c:v>
                </c:pt>
                <c:pt idx="1">
                  <c:v>0.18023255813953487</c:v>
                </c:pt>
                <c:pt idx="2">
                  <c:v>0.19186046511627908</c:v>
                </c:pt>
                <c:pt idx="3">
                  <c:v>0.13372093023255813</c:v>
                </c:pt>
                <c:pt idx="4">
                  <c:v>0.16279069767441862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8-4218-8B07-8FF032DFC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6436367"/>
        <c:axId val="296436847"/>
      </c:barChart>
      <c:catAx>
        <c:axId val="29643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96436847"/>
        <c:crosses val="autoZero"/>
        <c:auto val="1"/>
        <c:lblAlgn val="ctr"/>
        <c:lblOffset val="100"/>
        <c:noMultiLvlLbl val="0"/>
      </c:catAx>
      <c:valAx>
        <c:axId val="29643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9643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Graficos!$C$30</c:f>
              <c:strCache>
                <c:ptCount val="1"/>
                <c:pt idx="0">
                  <c:v>PONDERACIÓN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Graficos!$B$31:$B$38</c:f>
              <c:strCache>
                <c:ptCount val="8"/>
                <c:pt idx="0">
                  <c:v>Selección, vinculación y permanencia	</c:v>
                </c:pt>
                <c:pt idx="1">
                  <c:v>			Estatuto profesoral	</c:v>
                </c:pt>
                <c:pt idx="2">
                  <c:v>			Número, dedicación, nivel de formación y experiencia	</c:v>
                </c:pt>
                <c:pt idx="3">
                  <c:v>			Desarrollo profesoral	</c:v>
                </c:pt>
                <c:pt idx="4">
                  <c:v>			Estímulos a la trayectoria profesoral	</c:v>
                </c:pt>
                <c:pt idx="5">
                  <c:v>			Producción, pertinencia, utilización e impacto del material docente	</c:v>
                </c:pt>
                <c:pt idx="6">
                  <c:v>			Remuneración por méritos	</c:v>
                </c:pt>
                <c:pt idx="7">
                  <c:v>Evaluación de profesores</c:v>
                </c:pt>
              </c:strCache>
            </c:strRef>
          </c:cat>
          <c:val>
            <c:numRef>
              <c:f>Graficos!$C$31:$C$38</c:f>
              <c:numCache>
                <c:formatCode>0.00%</c:formatCode>
                <c:ptCount val="8"/>
                <c:pt idx="0">
                  <c:v>0.17129629629629631</c:v>
                </c:pt>
                <c:pt idx="1">
                  <c:v>0.13734567901234568</c:v>
                </c:pt>
                <c:pt idx="2">
                  <c:v>0.15740740740740741</c:v>
                </c:pt>
                <c:pt idx="3">
                  <c:v>0.15277777777777779</c:v>
                </c:pt>
                <c:pt idx="4">
                  <c:v>0.10339506172839506</c:v>
                </c:pt>
                <c:pt idx="5">
                  <c:v>0.11728395061728394</c:v>
                </c:pt>
                <c:pt idx="6">
                  <c:v>9.4135802469135804E-2</c:v>
                </c:pt>
                <c:pt idx="7">
                  <c:v>6.6358024691358028E-2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C5-421C-BA21-37003008D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73183"/>
        <c:axId val="17774623"/>
      </c:barChart>
      <c:catAx>
        <c:axId val="17773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774623"/>
        <c:crosses val="autoZero"/>
        <c:auto val="1"/>
        <c:lblAlgn val="ctr"/>
        <c:lblOffset val="100"/>
        <c:noMultiLvlLbl val="0"/>
      </c:catAx>
      <c:valAx>
        <c:axId val="1777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77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Graficos!$C$41</c:f>
              <c:strCache>
                <c:ptCount val="1"/>
                <c:pt idx="0">
                  <c:v>PONDERACIÓN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Graficos!$B$42:$B$50</c:f>
              <c:strCache>
                <c:ptCount val="9"/>
                <c:pt idx="0">
                  <c:v>Integralidad de los aspectos curriculares	</c:v>
                </c:pt>
                <c:pt idx="1">
                  <c:v>			Flexibilidad de los aspectos curriculares	</c:v>
                </c:pt>
                <c:pt idx="2">
                  <c:v>			Interdisciplinariedad	</c:v>
                </c:pt>
                <c:pt idx="3">
                  <c:v>			Estrategias pedagógicas	</c:v>
                </c:pt>
                <c:pt idx="4">
                  <c:v>			Sistema de evaluación de estudiantes	</c:v>
                </c:pt>
                <c:pt idx="5">
                  <c:v>			Resultados de aprendizaje	</c:v>
                </c:pt>
                <c:pt idx="6">
                  <c:v>			Competencias	</c:v>
                </c:pt>
                <c:pt idx="7">
                  <c:v>			Evaluación y autorregulación del programa académico	</c:v>
                </c:pt>
                <c:pt idx="8">
                  <c:v>Vinculación e interacción social</c:v>
                </c:pt>
              </c:strCache>
            </c:strRef>
          </c:cat>
          <c:val>
            <c:numRef>
              <c:f>Graficos!$C$42:$C$50</c:f>
              <c:numCache>
                <c:formatCode>0.00%</c:formatCode>
                <c:ptCount val="9"/>
                <c:pt idx="0">
                  <c:v>0.17160493827160495</c:v>
                </c:pt>
                <c:pt idx="1">
                  <c:v>0.14691358024691359</c:v>
                </c:pt>
                <c:pt idx="2">
                  <c:v>0.12839506172839507</c:v>
                </c:pt>
                <c:pt idx="3">
                  <c:v>0.11358024691358025</c:v>
                </c:pt>
                <c:pt idx="4">
                  <c:v>7.5308641975308649E-2</c:v>
                </c:pt>
                <c:pt idx="5">
                  <c:v>0.12839506172839507</c:v>
                </c:pt>
                <c:pt idx="6">
                  <c:v>0.10987654320987654</c:v>
                </c:pt>
                <c:pt idx="7">
                  <c:v>6.7901234567901231E-2</c:v>
                </c:pt>
                <c:pt idx="8">
                  <c:v>5.802469135802469E-2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D7-4FFD-AF6A-201C4087F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4144559"/>
        <c:axId val="584145519"/>
      </c:barChart>
      <c:catAx>
        <c:axId val="584144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4145519"/>
        <c:crosses val="autoZero"/>
        <c:auto val="1"/>
        <c:lblAlgn val="ctr"/>
        <c:lblOffset val="100"/>
        <c:noMultiLvlLbl val="0"/>
      </c:catAx>
      <c:valAx>
        <c:axId val="58414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414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Graficos!$C$53</c:f>
              <c:strCache>
                <c:ptCount val="1"/>
                <c:pt idx="0">
                  <c:v>PONDERACIÓN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Graficos!$B$54:$B$57</c:f>
              <c:strCache>
                <c:ptCount val="4"/>
                <c:pt idx="0">
                  <c:v>Políticas, estrategias y estructura para la permanencia y la graduación	</c:v>
                </c:pt>
                <c:pt idx="1">
                  <c:v>			Caracterización de estudiantes y sistema de alertas tempranas	</c:v>
                </c:pt>
                <c:pt idx="2">
                  <c:v>			Ajustes a los aspectos curriculares	</c:v>
                </c:pt>
                <c:pt idx="3">
                  <c:v>Mecanismos de selección</c:v>
                </c:pt>
              </c:strCache>
            </c:strRef>
          </c:cat>
          <c:val>
            <c:numRef>
              <c:f>Graficos!$C$54:$C$57</c:f>
              <c:numCache>
                <c:formatCode>0.00%</c:formatCode>
                <c:ptCount val="4"/>
                <c:pt idx="0">
                  <c:v>0.26111111111111113</c:v>
                </c:pt>
                <c:pt idx="1">
                  <c:v>0.27777777777777779</c:v>
                </c:pt>
                <c:pt idx="2">
                  <c:v>0.21111111111111111</c:v>
                </c:pt>
                <c:pt idx="3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8-4A0B-BE1F-92C0AB33B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7695"/>
        <c:axId val="96288655"/>
      </c:barChart>
      <c:catAx>
        <c:axId val="9628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288655"/>
        <c:crosses val="autoZero"/>
        <c:auto val="1"/>
        <c:lblAlgn val="ctr"/>
        <c:lblOffset val="100"/>
        <c:noMultiLvlLbl val="0"/>
      </c:catAx>
      <c:valAx>
        <c:axId val="9628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28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Graficos!$C$60</c:f>
              <c:strCache>
                <c:ptCount val="1"/>
                <c:pt idx="0">
                  <c:v>PONDERACIÓN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Graficos!$B$61:$B$63</c:f>
              <c:strCache>
                <c:ptCount val="3"/>
                <c:pt idx="0">
                  <c:v>Inserción del programa en contextos académicos nacionales e internacionales	</c:v>
                </c:pt>
                <c:pt idx="1">
                  <c:v>			Relaciones externas de profesores y estudiantes	</c:v>
                </c:pt>
                <c:pt idx="2">
                  <c:v>Habilidades comunicativas en una segunda lengua</c:v>
                </c:pt>
              </c:strCache>
            </c:strRef>
          </c:cat>
          <c:val>
            <c:numRef>
              <c:f>Graficos!$C$61:$C$63</c:f>
              <c:numCache>
                <c:formatCode>0.00%</c:formatCode>
                <c:ptCount val="3"/>
                <c:pt idx="0">
                  <c:v>0.34782608695652173</c:v>
                </c:pt>
                <c:pt idx="1">
                  <c:v>0.40579710144927539</c:v>
                </c:pt>
                <c:pt idx="2">
                  <c:v>0.24637681159420291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9-4C18-A5CF-07537D01D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4679103"/>
        <c:axId val="294680063"/>
      </c:barChart>
      <c:catAx>
        <c:axId val="29467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94680063"/>
        <c:crosses val="autoZero"/>
        <c:auto val="1"/>
        <c:lblAlgn val="ctr"/>
        <c:lblOffset val="100"/>
        <c:noMultiLvlLbl val="0"/>
      </c:catAx>
      <c:valAx>
        <c:axId val="29468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9467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Graficos!$C$60</c:f>
              <c:strCache>
                <c:ptCount val="1"/>
                <c:pt idx="0">
                  <c:v>PONDERACIÓN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55-4D6B-9522-C57B90FBDC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55-4D6B-9522-C57B90FBDC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55-4D6B-9522-C57B90FBDC4B}"/>
              </c:ext>
            </c:extLst>
          </c:dPt>
          <c:cat>
            <c:strRef>
              <c:f>Graficos!$B$61:$B$63</c:f>
              <c:strCache>
                <c:ptCount val="3"/>
                <c:pt idx="0">
                  <c:v>Inserción del programa en contextos académicos nacionales e internacionales	</c:v>
                </c:pt>
                <c:pt idx="1">
                  <c:v>			Relaciones externas de profesores y estudiantes	</c:v>
                </c:pt>
                <c:pt idx="2">
                  <c:v>Habilidades comunicativas en una segunda lengua</c:v>
                </c:pt>
              </c:strCache>
            </c:strRef>
          </c:cat>
          <c:val>
            <c:numRef>
              <c:f>Graficos!$C$61:$C$63</c:f>
              <c:numCache>
                <c:formatCode>0.00%</c:formatCode>
                <c:ptCount val="3"/>
                <c:pt idx="0">
                  <c:v>0.34782608695652173</c:v>
                </c:pt>
                <c:pt idx="1">
                  <c:v>0.40579710144927539</c:v>
                </c:pt>
                <c:pt idx="2">
                  <c:v>0.24637681159420291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9-4ABC-A607-5BA2126CE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Graficos!$C$70</c:f>
              <c:strCache>
                <c:ptCount val="1"/>
                <c:pt idx="0">
                  <c:v>PONDERACIÓN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7C-49FF-9429-270604DBE3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7C-49FF-9429-270604DBE3C3}"/>
              </c:ext>
            </c:extLst>
          </c:dPt>
          <c:cat>
            <c:strRef>
              <c:f>Graficos!$B$71:$B$72</c:f>
              <c:strCache>
                <c:ptCount val="2"/>
                <c:pt idx="0">
                  <c:v>Programas y servicios	</c:v>
                </c:pt>
                <c:pt idx="1">
                  <c:v>Participación y seguimiento</c:v>
                </c:pt>
              </c:strCache>
            </c:strRef>
          </c:cat>
          <c:val>
            <c:numRef>
              <c:f>Graficos!$C$71:$C$72</c:f>
              <c:numCache>
                <c:formatCode>0.00%</c:formatCode>
                <c:ptCount val="2"/>
                <c:pt idx="0">
                  <c:v>0.54761904761904767</c:v>
                </c:pt>
                <c:pt idx="1">
                  <c:v>0.45238095238095238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C-4B77-B5E0-AD44F9939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Graficos!$C$75</c:f>
              <c:strCache>
                <c:ptCount val="1"/>
                <c:pt idx="0">
                  <c:v>PONDERACIÓN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Graficos!$B$76:$B$78</c:f>
              <c:strCache>
                <c:ptCount val="3"/>
                <c:pt idx="0">
                  <c:v>Estrategias y recursos de apoyo a profesores	</c:v>
                </c:pt>
                <c:pt idx="1">
                  <c:v>			Estrategias y recursos de apoyo a estudiantes	</c:v>
                </c:pt>
                <c:pt idx="2">
                  <c:v>Recursos bibliográficos y de información</c:v>
                </c:pt>
              </c:strCache>
            </c:strRef>
          </c:cat>
          <c:val>
            <c:numRef>
              <c:f>Graficos!$C$76:$C$78</c:f>
              <c:numCache>
                <c:formatCode>0.00%</c:formatCode>
                <c:ptCount val="3"/>
                <c:pt idx="0">
                  <c:v>0.39855072463768115</c:v>
                </c:pt>
                <c:pt idx="1">
                  <c:v>0.35507246376811596</c:v>
                </c:pt>
                <c:pt idx="2">
                  <c:v>0.24637681159420291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7-4ACB-9529-3C006FD8A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6451727"/>
        <c:axId val="296452687"/>
      </c:barChart>
      <c:catAx>
        <c:axId val="29645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96452687"/>
        <c:crosses val="autoZero"/>
        <c:auto val="1"/>
        <c:lblAlgn val="ctr"/>
        <c:lblOffset val="100"/>
        <c:noMultiLvlLbl val="0"/>
      </c:catAx>
      <c:valAx>
        <c:axId val="29645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9645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Graficos!$C$81</c:f>
              <c:strCache>
                <c:ptCount val="1"/>
                <c:pt idx="0">
                  <c:v>PONDERACIÓN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Graficos!$B$82:$B$87</c:f>
              <c:strCache>
                <c:ptCount val="6"/>
                <c:pt idx="0">
                  <c:v>Organización y administración	</c:v>
                </c:pt>
                <c:pt idx="1">
                  <c:v>			Dirección y gestión	</c:v>
                </c:pt>
                <c:pt idx="2">
                  <c:v>			Sistemas de comunicación e información	</c:v>
                </c:pt>
                <c:pt idx="3">
                  <c:v>			Estudiantes y capacidad institucional	</c:v>
                </c:pt>
                <c:pt idx="4">
                  <c:v>			Financiación del programa académico	</c:v>
                </c:pt>
                <c:pt idx="5">
                  <c:v>Aseguramiento de la alta calidad y mejora continua</c:v>
                </c:pt>
              </c:strCache>
            </c:strRef>
          </c:cat>
          <c:val>
            <c:numRef>
              <c:f>Graficos!$C$82:$C$87</c:f>
              <c:numCache>
                <c:formatCode>0.00%</c:formatCode>
                <c:ptCount val="6"/>
                <c:pt idx="0">
                  <c:v>0.23015873015873015</c:v>
                </c:pt>
                <c:pt idx="1">
                  <c:v>0.21164021164021163</c:v>
                </c:pt>
                <c:pt idx="2">
                  <c:v>0.13227513227513227</c:v>
                </c:pt>
                <c:pt idx="3">
                  <c:v>0.11904761904761904</c:v>
                </c:pt>
                <c:pt idx="4">
                  <c:v>0.12962962962962962</c:v>
                </c:pt>
                <c:pt idx="5">
                  <c:v>0.17724867724867724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C-4DE7-9825-F1008A5BC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1891983"/>
        <c:axId val="591889103"/>
      </c:barChart>
      <c:catAx>
        <c:axId val="591891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889103"/>
        <c:crosses val="autoZero"/>
        <c:auto val="1"/>
        <c:lblAlgn val="ctr"/>
        <c:lblOffset val="100"/>
        <c:noMultiLvlLbl val="0"/>
      </c:catAx>
      <c:valAx>
        <c:axId val="59188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89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Graficos!$C$89</c:f>
              <c:strCache>
                <c:ptCount val="1"/>
                <c:pt idx="0">
                  <c:v>PONDERACIÓN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C7-4004-B83A-830E606458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C7-4004-B83A-830E606458AD}"/>
              </c:ext>
            </c:extLst>
          </c:dPt>
          <c:cat>
            <c:strRef>
              <c:f>Graficos!$B$90:$B$91</c:f>
              <c:strCache>
                <c:ptCount val="2"/>
                <c:pt idx="0">
                  <c:v>Recursos de infraestructura física y tecnológica	</c:v>
                </c:pt>
                <c:pt idx="1">
                  <c:v>Recursos informáticos y de comunicación</c:v>
                </c:pt>
              </c:strCache>
            </c:strRef>
          </c:cat>
          <c:val>
            <c:numRef>
              <c:f>Graficos!$C$90:$C$91</c:f>
              <c:numCache>
                <c:formatCode>0.00%</c:formatCode>
                <c:ptCount val="2"/>
                <c:pt idx="0">
                  <c:v>0.52380952380952384</c:v>
                </c:pt>
                <c:pt idx="1">
                  <c:v>0.47619047619047616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F-44CB-A910-E8AC937A6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PONDERACION DE FACTORES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PONDERACION DE FACTORES</a:t>
          </a:r>
        </a:p>
      </cx:txPr>
    </cx:title>
    <cx:plotArea>
      <cx:plotAreaRegion>
        <cx:series layoutId="funnel" uniqueId="{5D5B44F2-30DC-4418-B8E7-996490F722F5}">
          <cx:tx>
            <cx:txData>
              <cx:f>_xlchart.v2.1</cx:f>
              <cx:v>PONDERACIÓN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0</xdr:row>
      <xdr:rowOff>85725</xdr:rowOff>
    </xdr:from>
    <xdr:to>
      <xdr:col>10</xdr:col>
      <xdr:colOff>209550</xdr:colOff>
      <xdr:row>17</xdr:row>
      <xdr:rowOff>9525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8C5F6BC7-DA17-6AD0-5F62-C092FCCB5D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69700" y="85725"/>
              <a:ext cx="4895850" cy="3054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12</xdr:col>
      <xdr:colOff>629958</xdr:colOff>
      <xdr:row>1</xdr:row>
      <xdr:rowOff>167808</xdr:rowOff>
    </xdr:from>
    <xdr:to>
      <xdr:col>18</xdr:col>
      <xdr:colOff>697193</xdr:colOff>
      <xdr:row>15</xdr:row>
      <xdr:rowOff>110659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4138DEC-7B0A-1AB4-DBA0-F06DD8397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170890</xdr:colOff>
      <xdr:row>1</xdr:row>
      <xdr:rowOff>26332</xdr:rowOff>
    </xdr:from>
    <xdr:to>
      <xdr:col>26</xdr:col>
      <xdr:colOff>174065</xdr:colOff>
      <xdr:row>16</xdr:row>
      <xdr:rowOff>94501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444C349-9EC1-8150-2C6B-E47749DB6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46505</xdr:colOff>
      <xdr:row>22</xdr:row>
      <xdr:rowOff>111405</xdr:rowOff>
    </xdr:from>
    <xdr:to>
      <xdr:col>12</xdr:col>
      <xdr:colOff>467473</xdr:colOff>
      <xdr:row>37</xdr:row>
      <xdr:rowOff>168369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5ECE41F-B927-9182-0E20-6C04E7C2D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147825</xdr:colOff>
      <xdr:row>22</xdr:row>
      <xdr:rowOff>141193</xdr:rowOff>
    </xdr:from>
    <xdr:to>
      <xdr:col>19</xdr:col>
      <xdr:colOff>138300</xdr:colOff>
      <xdr:row>38</xdr:row>
      <xdr:rowOff>7657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648027A-B3C5-0821-37D3-7C9B8274A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751541</xdr:colOff>
      <xdr:row>22</xdr:row>
      <xdr:rowOff>92169</xdr:rowOff>
    </xdr:from>
    <xdr:to>
      <xdr:col>25</xdr:col>
      <xdr:colOff>742016</xdr:colOff>
      <xdr:row>37</xdr:row>
      <xdr:rowOff>149132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CE14D31-106D-F3FD-40F6-5023661D2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369794</xdr:colOff>
      <xdr:row>43</xdr:row>
      <xdr:rowOff>92821</xdr:rowOff>
    </xdr:from>
    <xdr:to>
      <xdr:col>10</xdr:col>
      <xdr:colOff>369794</xdr:colOff>
      <xdr:row>58</xdr:row>
      <xdr:rowOff>164166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C6C80CC-C0BD-5836-40EF-2949B4E51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154454</xdr:colOff>
      <xdr:row>43</xdr:row>
      <xdr:rowOff>106829</xdr:rowOff>
    </xdr:from>
    <xdr:to>
      <xdr:col>17</xdr:col>
      <xdr:colOff>144929</xdr:colOff>
      <xdr:row>58</xdr:row>
      <xdr:rowOff>163792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50D219C2-DD4E-5D62-DD22-05A619E26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743137</xdr:colOff>
      <xdr:row>43</xdr:row>
      <xdr:rowOff>108231</xdr:rowOff>
    </xdr:from>
    <xdr:to>
      <xdr:col>23</xdr:col>
      <xdr:colOff>733612</xdr:colOff>
      <xdr:row>58</xdr:row>
      <xdr:rowOff>165194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8B0E01FE-9022-5C6E-11BF-8076D959B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154827</xdr:colOff>
      <xdr:row>62</xdr:row>
      <xdr:rowOff>162858</xdr:rowOff>
    </xdr:from>
    <xdr:to>
      <xdr:col>10</xdr:col>
      <xdr:colOff>145302</xdr:colOff>
      <xdr:row>78</xdr:row>
      <xdr:rowOff>46877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CB534480-2EF3-3FCF-7CCC-E3A776630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251105</xdr:colOff>
      <xdr:row>62</xdr:row>
      <xdr:rowOff>154828</xdr:rowOff>
    </xdr:from>
    <xdr:to>
      <xdr:col>17</xdr:col>
      <xdr:colOff>241580</xdr:colOff>
      <xdr:row>78</xdr:row>
      <xdr:rowOff>29322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51CBA909-33FE-E134-C692-AF0B9AE811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28388</xdr:colOff>
      <xdr:row>63</xdr:row>
      <xdr:rowOff>45196</xdr:rowOff>
    </xdr:from>
    <xdr:to>
      <xdr:col>24</xdr:col>
      <xdr:colOff>19237</xdr:colOff>
      <xdr:row>78</xdr:row>
      <xdr:rowOff>116540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AED10CBC-7916-C2D0-1C0B-25315331E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"/>
  <sheetViews>
    <sheetView topLeftCell="A33" zoomScale="85" zoomScaleNormal="85" workbookViewId="0">
      <selection activeCell="A38" sqref="A38"/>
    </sheetView>
  </sheetViews>
  <sheetFormatPr baseColWidth="10" defaultColWidth="31.81640625" defaultRowHeight="14.5" x14ac:dyDescent="0.35"/>
  <cols>
    <col min="1" max="1" width="58.54296875" customWidth="1"/>
    <col min="2" max="2" width="19.54296875" style="1" bestFit="1" customWidth="1"/>
    <col min="3" max="3" width="13.1796875" style="1" bestFit="1" customWidth="1"/>
    <col min="4" max="4" width="4.453125" style="1" customWidth="1"/>
    <col min="5" max="5" width="10.1796875" style="1" bestFit="1" customWidth="1"/>
    <col min="6" max="6" width="5.453125" style="1" customWidth="1"/>
    <col min="7" max="7" width="16.81640625" style="1" bestFit="1" customWidth="1"/>
    <col min="8" max="11" width="8.81640625" customWidth="1"/>
  </cols>
  <sheetData>
    <row r="1" spans="1:12" ht="41.15" customHeight="1" x14ac:dyDescent="0.35">
      <c r="A1" s="2" t="s">
        <v>0</v>
      </c>
      <c r="B1" s="3" t="s">
        <v>1</v>
      </c>
      <c r="C1" s="3" t="s">
        <v>2</v>
      </c>
      <c r="D1" s="3"/>
      <c r="E1" s="3" t="s">
        <v>3</v>
      </c>
      <c r="F1" s="4"/>
      <c r="G1" s="4" t="s">
        <v>4</v>
      </c>
      <c r="H1" s="6">
        <f>SUM(C2:C13)</f>
        <v>0</v>
      </c>
      <c r="I1" s="6">
        <f>SUM(I2:I145)</f>
        <v>1482</v>
      </c>
      <c r="L1" s="1"/>
    </row>
    <row r="2" spans="1:12" x14ac:dyDescent="0.35">
      <c r="A2" s="1" t="s">
        <v>5</v>
      </c>
      <c r="B2" s="1" t="s">
        <v>6</v>
      </c>
      <c r="C2" s="1" t="s">
        <v>7</v>
      </c>
      <c r="D2" s="1" t="s">
        <v>7</v>
      </c>
      <c r="E2" s="4">
        <v>12</v>
      </c>
      <c r="F2" s="4"/>
      <c r="G2" s="4">
        <f>IF(C2&gt;=1,E2,0)</f>
        <v>12</v>
      </c>
      <c r="H2" s="5">
        <f>G2*C2</f>
        <v>60</v>
      </c>
      <c r="I2" s="16">
        <f>SUM(H2:H13)</f>
        <v>179</v>
      </c>
      <c r="J2" s="17">
        <f>I2/$I$1</f>
        <v>0.12078272604588394</v>
      </c>
    </row>
    <row r="3" spans="1:12" x14ac:dyDescent="0.35">
      <c r="A3" s="1" t="s">
        <v>5</v>
      </c>
      <c r="B3" s="1" t="s">
        <v>8</v>
      </c>
      <c r="C3" s="1" t="s">
        <v>9</v>
      </c>
      <c r="D3" s="1" t="s">
        <v>9</v>
      </c>
      <c r="E3" s="4">
        <v>11</v>
      </c>
      <c r="F3" s="4"/>
      <c r="G3" s="4">
        <f t="shared" ref="G3:G66" si="0">IF(C3&gt;=1,E3,0)</f>
        <v>11</v>
      </c>
      <c r="H3" s="5">
        <f t="shared" ref="H3:H13" si="1">G3*C3</f>
        <v>44</v>
      </c>
      <c r="I3" s="16"/>
      <c r="J3" s="17"/>
    </row>
    <row r="4" spans="1:12" x14ac:dyDescent="0.35">
      <c r="A4" s="1" t="s">
        <v>5</v>
      </c>
      <c r="B4" s="1" t="s">
        <v>10</v>
      </c>
      <c r="C4" s="1" t="s">
        <v>6</v>
      </c>
      <c r="D4" s="1" t="s">
        <v>6</v>
      </c>
      <c r="E4" s="4">
        <v>10</v>
      </c>
      <c r="F4" s="4"/>
      <c r="G4" s="4">
        <f t="shared" si="0"/>
        <v>10</v>
      </c>
      <c r="H4" s="5">
        <f t="shared" si="1"/>
        <v>10</v>
      </c>
      <c r="I4" s="16"/>
      <c r="J4" s="17"/>
    </row>
    <row r="5" spans="1:12" x14ac:dyDescent="0.35">
      <c r="A5" s="1" t="s">
        <v>5</v>
      </c>
      <c r="B5" s="1" t="s">
        <v>9</v>
      </c>
      <c r="C5" s="1" t="s">
        <v>10</v>
      </c>
      <c r="D5" s="1" t="s">
        <v>10</v>
      </c>
      <c r="E5" s="4">
        <v>9</v>
      </c>
      <c r="F5" s="4"/>
      <c r="G5" s="4">
        <f t="shared" si="0"/>
        <v>9</v>
      </c>
      <c r="H5" s="5">
        <f t="shared" si="1"/>
        <v>27</v>
      </c>
      <c r="I5" s="16"/>
      <c r="J5" s="17"/>
    </row>
    <row r="6" spans="1:12" x14ac:dyDescent="0.35">
      <c r="A6" s="1" t="s">
        <v>5</v>
      </c>
      <c r="B6" s="1" t="s">
        <v>7</v>
      </c>
      <c r="C6" s="1" t="s">
        <v>8</v>
      </c>
      <c r="D6" s="1" t="s">
        <v>8</v>
      </c>
      <c r="E6" s="4">
        <v>8</v>
      </c>
      <c r="F6" s="4"/>
      <c r="G6" s="4">
        <f t="shared" si="0"/>
        <v>8</v>
      </c>
      <c r="H6" s="5">
        <f t="shared" si="1"/>
        <v>16</v>
      </c>
      <c r="I6" s="16"/>
      <c r="J6" s="17"/>
    </row>
    <row r="7" spans="1:12" x14ac:dyDescent="0.35">
      <c r="A7" s="1" t="s">
        <v>5</v>
      </c>
      <c r="B7" s="1" t="s">
        <v>11</v>
      </c>
      <c r="C7" s="1" t="s">
        <v>8</v>
      </c>
      <c r="D7" s="1" t="s">
        <v>8</v>
      </c>
      <c r="E7" s="4">
        <v>7</v>
      </c>
      <c r="F7" s="4"/>
      <c r="G7" s="4">
        <f t="shared" si="0"/>
        <v>7</v>
      </c>
      <c r="H7" s="5">
        <f t="shared" si="1"/>
        <v>14</v>
      </c>
      <c r="I7" s="16"/>
      <c r="J7" s="17"/>
    </row>
    <row r="8" spans="1:12" x14ac:dyDescent="0.35">
      <c r="A8" s="1" t="s">
        <v>5</v>
      </c>
      <c r="B8" s="1" t="s">
        <v>12</v>
      </c>
      <c r="C8" s="1" t="s">
        <v>13</v>
      </c>
      <c r="D8" s="1" t="s">
        <v>13</v>
      </c>
      <c r="E8" s="4">
        <v>6</v>
      </c>
      <c r="F8" s="4"/>
      <c r="G8" s="4">
        <f t="shared" si="0"/>
        <v>6</v>
      </c>
      <c r="H8" s="5">
        <f t="shared" si="1"/>
        <v>0</v>
      </c>
      <c r="I8" s="16"/>
      <c r="J8" s="17"/>
    </row>
    <row r="9" spans="1:12" x14ac:dyDescent="0.35">
      <c r="A9" s="1" t="s">
        <v>5</v>
      </c>
      <c r="B9" s="1" t="s">
        <v>14</v>
      </c>
      <c r="C9" s="1" t="s">
        <v>6</v>
      </c>
      <c r="D9" s="1" t="s">
        <v>6</v>
      </c>
      <c r="E9" s="4">
        <v>5</v>
      </c>
      <c r="F9" s="4"/>
      <c r="G9" s="4">
        <f t="shared" si="0"/>
        <v>5</v>
      </c>
      <c r="H9" s="5">
        <f t="shared" si="1"/>
        <v>5</v>
      </c>
      <c r="I9" s="16"/>
      <c r="J9" s="17"/>
    </row>
    <row r="10" spans="1:12" x14ac:dyDescent="0.35">
      <c r="A10" s="1" t="s">
        <v>5</v>
      </c>
      <c r="B10" s="1" t="s">
        <v>15</v>
      </c>
      <c r="C10" s="1" t="s">
        <v>13</v>
      </c>
      <c r="D10" s="1" t="s">
        <v>13</v>
      </c>
      <c r="E10" s="4">
        <v>4</v>
      </c>
      <c r="F10" s="4"/>
      <c r="G10" s="4">
        <f t="shared" si="0"/>
        <v>4</v>
      </c>
      <c r="H10" s="5">
        <f t="shared" si="1"/>
        <v>0</v>
      </c>
      <c r="I10" s="16"/>
      <c r="J10" s="17"/>
    </row>
    <row r="11" spans="1:12" x14ac:dyDescent="0.35">
      <c r="A11" s="1" t="s">
        <v>5</v>
      </c>
      <c r="B11" s="1" t="s">
        <v>16</v>
      </c>
      <c r="C11" s="1" t="s">
        <v>6</v>
      </c>
      <c r="D11" s="1" t="s">
        <v>6</v>
      </c>
      <c r="E11" s="4">
        <v>3</v>
      </c>
      <c r="F11" s="4"/>
      <c r="G11" s="4">
        <f t="shared" si="0"/>
        <v>3</v>
      </c>
      <c r="H11" s="5">
        <f t="shared" si="1"/>
        <v>3</v>
      </c>
      <c r="I11" s="16"/>
      <c r="J11" s="17"/>
    </row>
    <row r="12" spans="1:12" x14ac:dyDescent="0.35">
      <c r="A12" s="1" t="s">
        <v>5</v>
      </c>
      <c r="B12" s="1" t="s">
        <v>17</v>
      </c>
      <c r="C12" s="1" t="s">
        <v>13</v>
      </c>
      <c r="D12" s="1" t="s">
        <v>13</v>
      </c>
      <c r="E12" s="4">
        <v>2</v>
      </c>
      <c r="F12" s="4"/>
      <c r="G12" s="4">
        <f t="shared" si="0"/>
        <v>2</v>
      </c>
      <c r="H12" s="5">
        <f t="shared" si="1"/>
        <v>0</v>
      </c>
      <c r="I12" s="16"/>
      <c r="J12" s="17"/>
    </row>
    <row r="13" spans="1:12" x14ac:dyDescent="0.35">
      <c r="A13" s="1" t="s">
        <v>5</v>
      </c>
      <c r="B13" s="1" t="s">
        <v>18</v>
      </c>
      <c r="C13" s="1" t="s">
        <v>13</v>
      </c>
      <c r="D13" s="1" t="s">
        <v>13</v>
      </c>
      <c r="E13" s="4">
        <v>1</v>
      </c>
      <c r="F13" s="4"/>
      <c r="G13" s="4">
        <f t="shared" si="0"/>
        <v>1</v>
      </c>
      <c r="H13" s="5">
        <f t="shared" si="1"/>
        <v>0</v>
      </c>
      <c r="I13" s="16"/>
      <c r="J13" s="17"/>
    </row>
    <row r="14" spans="1:12" x14ac:dyDescent="0.35">
      <c r="A14" s="1" t="s">
        <v>19</v>
      </c>
      <c r="B14" s="1" t="s">
        <v>6</v>
      </c>
      <c r="C14" s="1" t="s">
        <v>14</v>
      </c>
      <c r="D14" s="1" t="s">
        <v>14</v>
      </c>
      <c r="E14" s="4">
        <v>12</v>
      </c>
      <c r="F14" s="4"/>
      <c r="G14" s="4">
        <f t="shared" si="0"/>
        <v>12</v>
      </c>
      <c r="H14" s="5">
        <f>G14*C14</f>
        <v>96</v>
      </c>
      <c r="I14" s="16">
        <f>SUM(H14:H25)</f>
        <v>184</v>
      </c>
      <c r="J14" s="17">
        <f>I14/$I$1</f>
        <v>0.12415654520917679</v>
      </c>
    </row>
    <row r="15" spans="1:12" x14ac:dyDescent="0.35">
      <c r="A15" s="1" t="s">
        <v>19</v>
      </c>
      <c r="B15" s="1" t="s">
        <v>8</v>
      </c>
      <c r="C15" s="1" t="s">
        <v>6</v>
      </c>
      <c r="D15" s="1" t="s">
        <v>6</v>
      </c>
      <c r="E15" s="4">
        <v>11</v>
      </c>
      <c r="F15" s="4"/>
      <c r="G15" s="4">
        <f t="shared" si="0"/>
        <v>11</v>
      </c>
      <c r="H15" s="5">
        <f t="shared" ref="H15:H38" si="2">G15*C15</f>
        <v>11</v>
      </c>
      <c r="I15" s="16"/>
      <c r="J15" s="17"/>
    </row>
    <row r="16" spans="1:12" x14ac:dyDescent="0.35">
      <c r="A16" s="1" t="s">
        <v>19</v>
      </c>
      <c r="B16" s="1" t="s">
        <v>10</v>
      </c>
      <c r="C16" s="1" t="s">
        <v>9</v>
      </c>
      <c r="D16" s="1" t="s">
        <v>9</v>
      </c>
      <c r="E16" s="4">
        <v>10</v>
      </c>
      <c r="F16" s="4"/>
      <c r="G16" s="4">
        <f t="shared" si="0"/>
        <v>10</v>
      </c>
      <c r="H16" s="5">
        <f t="shared" si="2"/>
        <v>40</v>
      </c>
      <c r="I16" s="16"/>
      <c r="J16" s="17"/>
    </row>
    <row r="17" spans="1:10" x14ac:dyDescent="0.35">
      <c r="A17" s="1" t="s">
        <v>19</v>
      </c>
      <c r="B17" s="1" t="s">
        <v>9</v>
      </c>
      <c r="C17" s="1" t="s">
        <v>13</v>
      </c>
      <c r="D17" s="1" t="s">
        <v>13</v>
      </c>
      <c r="E17" s="4">
        <v>9</v>
      </c>
      <c r="F17" s="4"/>
      <c r="G17" s="4">
        <f t="shared" si="0"/>
        <v>9</v>
      </c>
      <c r="H17" s="5">
        <f t="shared" si="2"/>
        <v>0</v>
      </c>
      <c r="I17" s="16"/>
      <c r="J17" s="17"/>
    </row>
    <row r="18" spans="1:10" x14ac:dyDescent="0.35">
      <c r="A18" s="1" t="s">
        <v>19</v>
      </c>
      <c r="B18" s="1" t="s">
        <v>7</v>
      </c>
      <c r="C18" s="1" t="s">
        <v>8</v>
      </c>
      <c r="D18" s="1" t="s">
        <v>8</v>
      </c>
      <c r="E18" s="4">
        <v>8</v>
      </c>
      <c r="F18" s="4"/>
      <c r="G18" s="4">
        <f t="shared" si="0"/>
        <v>8</v>
      </c>
      <c r="H18" s="5">
        <f t="shared" si="2"/>
        <v>16</v>
      </c>
      <c r="I18" s="16"/>
      <c r="J18" s="17"/>
    </row>
    <row r="19" spans="1:10" x14ac:dyDescent="0.35">
      <c r="A19" s="1" t="s">
        <v>19</v>
      </c>
      <c r="B19" s="1" t="s">
        <v>11</v>
      </c>
      <c r="C19" s="1" t="s">
        <v>6</v>
      </c>
      <c r="D19" s="1" t="s">
        <v>6</v>
      </c>
      <c r="E19" s="4">
        <v>7</v>
      </c>
      <c r="F19" s="4"/>
      <c r="G19" s="4">
        <f t="shared" si="0"/>
        <v>7</v>
      </c>
      <c r="H19" s="5">
        <f t="shared" si="2"/>
        <v>7</v>
      </c>
      <c r="I19" s="16"/>
      <c r="J19" s="17"/>
    </row>
    <row r="20" spans="1:10" x14ac:dyDescent="0.35">
      <c r="A20" s="1" t="s">
        <v>19</v>
      </c>
      <c r="B20" s="1" t="s">
        <v>12</v>
      </c>
      <c r="C20" s="1" t="s">
        <v>6</v>
      </c>
      <c r="D20" s="1" t="s">
        <v>6</v>
      </c>
      <c r="E20" s="4">
        <v>6</v>
      </c>
      <c r="F20" s="4"/>
      <c r="G20" s="4">
        <f t="shared" si="0"/>
        <v>6</v>
      </c>
      <c r="H20" s="5">
        <f t="shared" si="2"/>
        <v>6</v>
      </c>
      <c r="I20" s="16"/>
      <c r="J20" s="17"/>
    </row>
    <row r="21" spans="1:10" x14ac:dyDescent="0.35">
      <c r="A21" s="1" t="s">
        <v>19</v>
      </c>
      <c r="B21" s="1" t="s">
        <v>14</v>
      </c>
      <c r="C21" s="1" t="s">
        <v>6</v>
      </c>
      <c r="D21" s="1" t="s">
        <v>6</v>
      </c>
      <c r="E21" s="4">
        <v>5</v>
      </c>
      <c r="F21" s="4"/>
      <c r="G21" s="4">
        <f t="shared" si="0"/>
        <v>5</v>
      </c>
      <c r="H21" s="5">
        <f t="shared" si="2"/>
        <v>5</v>
      </c>
      <c r="I21" s="16"/>
      <c r="J21" s="17"/>
    </row>
    <row r="22" spans="1:10" x14ac:dyDescent="0.35">
      <c r="A22" s="1" t="s">
        <v>19</v>
      </c>
      <c r="B22" s="1" t="s">
        <v>15</v>
      </c>
      <c r="C22" s="1" t="s">
        <v>13</v>
      </c>
      <c r="D22" s="1" t="s">
        <v>13</v>
      </c>
      <c r="E22" s="4">
        <v>4</v>
      </c>
      <c r="F22" s="4"/>
      <c r="G22" s="4">
        <f t="shared" si="0"/>
        <v>4</v>
      </c>
      <c r="H22" s="5">
        <f t="shared" si="2"/>
        <v>0</v>
      </c>
      <c r="I22" s="16"/>
      <c r="J22" s="17"/>
    </row>
    <row r="23" spans="1:10" x14ac:dyDescent="0.35">
      <c r="A23" s="1" t="s">
        <v>19</v>
      </c>
      <c r="B23" s="1" t="s">
        <v>16</v>
      </c>
      <c r="C23" s="1" t="s">
        <v>6</v>
      </c>
      <c r="D23" s="1" t="s">
        <v>6</v>
      </c>
      <c r="E23" s="4">
        <v>3</v>
      </c>
      <c r="F23" s="4"/>
      <c r="G23" s="4">
        <f t="shared" si="0"/>
        <v>3</v>
      </c>
      <c r="H23" s="5">
        <f t="shared" si="2"/>
        <v>3</v>
      </c>
      <c r="I23" s="16"/>
      <c r="J23" s="17"/>
    </row>
    <row r="24" spans="1:10" x14ac:dyDescent="0.35">
      <c r="A24" s="1" t="s">
        <v>19</v>
      </c>
      <c r="B24" s="1" t="s">
        <v>17</v>
      </c>
      <c r="C24" s="1" t="s">
        <v>13</v>
      </c>
      <c r="D24" s="1" t="s">
        <v>13</v>
      </c>
      <c r="E24" s="4">
        <v>2</v>
      </c>
      <c r="F24" s="4"/>
      <c r="G24" s="4">
        <f t="shared" si="0"/>
        <v>2</v>
      </c>
      <c r="H24" s="5">
        <f t="shared" si="2"/>
        <v>0</v>
      </c>
      <c r="I24" s="16"/>
      <c r="J24" s="17"/>
    </row>
    <row r="25" spans="1:10" x14ac:dyDescent="0.35">
      <c r="A25" s="1" t="s">
        <v>19</v>
      </c>
      <c r="B25" s="1" t="s">
        <v>18</v>
      </c>
      <c r="C25" s="1" t="s">
        <v>13</v>
      </c>
      <c r="D25" s="1" t="s">
        <v>13</v>
      </c>
      <c r="E25" s="4">
        <v>1</v>
      </c>
      <c r="F25" s="4"/>
      <c r="G25" s="4">
        <f t="shared" si="0"/>
        <v>1</v>
      </c>
      <c r="H25" s="5">
        <f t="shared" si="2"/>
        <v>0</v>
      </c>
      <c r="I25" s="16"/>
      <c r="J25" s="17"/>
    </row>
    <row r="26" spans="1:10" x14ac:dyDescent="0.35">
      <c r="A26" s="1" t="s">
        <v>20</v>
      </c>
      <c r="B26" s="1" t="s">
        <v>6</v>
      </c>
      <c r="C26" s="1" t="s">
        <v>6</v>
      </c>
      <c r="D26" s="1" t="s">
        <v>6</v>
      </c>
      <c r="E26" s="4">
        <v>12</v>
      </c>
      <c r="F26" s="4"/>
      <c r="G26" s="4">
        <f t="shared" si="0"/>
        <v>12</v>
      </c>
      <c r="H26" s="5">
        <f t="shared" si="2"/>
        <v>12</v>
      </c>
      <c r="I26" s="16">
        <f t="shared" ref="I26" si="3">SUM(H26:H37)</f>
        <v>173</v>
      </c>
      <c r="J26" s="17">
        <f>I26/$I$1</f>
        <v>0.11673414304993253</v>
      </c>
    </row>
    <row r="27" spans="1:10" x14ac:dyDescent="0.35">
      <c r="A27" s="1" t="s">
        <v>20</v>
      </c>
      <c r="B27" s="1" t="s">
        <v>8</v>
      </c>
      <c r="C27" s="1" t="s">
        <v>12</v>
      </c>
      <c r="D27" s="1" t="s">
        <v>12</v>
      </c>
      <c r="E27" s="4">
        <v>11</v>
      </c>
      <c r="F27" s="4"/>
      <c r="G27" s="4">
        <f t="shared" si="0"/>
        <v>11</v>
      </c>
      <c r="H27" s="5">
        <f t="shared" si="2"/>
        <v>77</v>
      </c>
      <c r="I27" s="16"/>
      <c r="J27" s="17"/>
    </row>
    <row r="28" spans="1:10" x14ac:dyDescent="0.35">
      <c r="A28" s="1" t="s">
        <v>20</v>
      </c>
      <c r="B28" s="1" t="s">
        <v>10</v>
      </c>
      <c r="C28" s="1" t="s">
        <v>9</v>
      </c>
      <c r="D28" s="1" t="s">
        <v>9</v>
      </c>
      <c r="E28" s="4">
        <v>10</v>
      </c>
      <c r="F28" s="4"/>
      <c r="G28" s="4">
        <f t="shared" si="0"/>
        <v>10</v>
      </c>
      <c r="H28" s="5">
        <f t="shared" si="2"/>
        <v>40</v>
      </c>
      <c r="I28" s="16"/>
      <c r="J28" s="17"/>
    </row>
    <row r="29" spans="1:10" x14ac:dyDescent="0.35">
      <c r="A29" s="1" t="s">
        <v>20</v>
      </c>
      <c r="B29" s="1" t="s">
        <v>9</v>
      </c>
      <c r="C29" s="1" t="s">
        <v>8</v>
      </c>
      <c r="D29" s="1" t="s">
        <v>8</v>
      </c>
      <c r="E29" s="4">
        <v>9</v>
      </c>
      <c r="F29" s="4"/>
      <c r="G29" s="4">
        <f t="shared" si="0"/>
        <v>9</v>
      </c>
      <c r="H29" s="5">
        <f t="shared" si="2"/>
        <v>18</v>
      </c>
      <c r="I29" s="16"/>
      <c r="J29" s="17"/>
    </row>
    <row r="30" spans="1:10" x14ac:dyDescent="0.35">
      <c r="A30" s="1" t="s">
        <v>20</v>
      </c>
      <c r="B30" s="1" t="s">
        <v>7</v>
      </c>
      <c r="C30" s="1" t="s">
        <v>13</v>
      </c>
      <c r="D30" s="1" t="s">
        <v>13</v>
      </c>
      <c r="E30" s="4">
        <v>8</v>
      </c>
      <c r="F30" s="4"/>
      <c r="G30" s="4">
        <f t="shared" si="0"/>
        <v>8</v>
      </c>
      <c r="H30" s="5">
        <f t="shared" si="2"/>
        <v>0</v>
      </c>
      <c r="I30" s="16"/>
      <c r="J30" s="17"/>
    </row>
    <row r="31" spans="1:10" x14ac:dyDescent="0.35">
      <c r="A31" s="1" t="s">
        <v>20</v>
      </c>
      <c r="B31" s="1" t="s">
        <v>11</v>
      </c>
      <c r="C31" s="1" t="s">
        <v>6</v>
      </c>
      <c r="D31" s="1" t="s">
        <v>6</v>
      </c>
      <c r="E31" s="4">
        <v>7</v>
      </c>
      <c r="F31" s="4"/>
      <c r="G31" s="4">
        <f t="shared" si="0"/>
        <v>7</v>
      </c>
      <c r="H31" s="5">
        <f t="shared" si="2"/>
        <v>7</v>
      </c>
      <c r="I31" s="16"/>
      <c r="J31" s="17"/>
    </row>
    <row r="32" spans="1:10" x14ac:dyDescent="0.35">
      <c r="A32" s="1" t="s">
        <v>20</v>
      </c>
      <c r="B32" s="1" t="s">
        <v>12</v>
      </c>
      <c r="C32" s="1" t="s">
        <v>6</v>
      </c>
      <c r="D32" s="1" t="s">
        <v>6</v>
      </c>
      <c r="E32" s="4">
        <v>6</v>
      </c>
      <c r="F32" s="4"/>
      <c r="G32" s="4">
        <f t="shared" si="0"/>
        <v>6</v>
      </c>
      <c r="H32" s="5">
        <f t="shared" si="2"/>
        <v>6</v>
      </c>
      <c r="I32" s="16"/>
      <c r="J32" s="17"/>
    </row>
    <row r="33" spans="1:10" x14ac:dyDescent="0.35">
      <c r="A33" s="1" t="s">
        <v>20</v>
      </c>
      <c r="B33" s="1" t="s">
        <v>14</v>
      </c>
      <c r="C33" s="1" t="s">
        <v>6</v>
      </c>
      <c r="D33" s="1" t="s">
        <v>6</v>
      </c>
      <c r="E33" s="4">
        <v>5</v>
      </c>
      <c r="F33" s="4"/>
      <c r="G33" s="4">
        <f t="shared" si="0"/>
        <v>5</v>
      </c>
      <c r="H33" s="5">
        <f t="shared" si="2"/>
        <v>5</v>
      </c>
      <c r="I33" s="16"/>
      <c r="J33" s="17"/>
    </row>
    <row r="34" spans="1:10" x14ac:dyDescent="0.35">
      <c r="A34" s="1" t="s">
        <v>20</v>
      </c>
      <c r="B34" s="1" t="s">
        <v>15</v>
      </c>
      <c r="C34" s="1" t="s">
        <v>8</v>
      </c>
      <c r="D34" s="1" t="s">
        <v>8</v>
      </c>
      <c r="E34" s="4">
        <v>4</v>
      </c>
      <c r="F34" s="4"/>
      <c r="G34" s="4">
        <f t="shared" si="0"/>
        <v>4</v>
      </c>
      <c r="H34" s="5">
        <f t="shared" si="2"/>
        <v>8</v>
      </c>
      <c r="I34" s="16"/>
      <c r="J34" s="17"/>
    </row>
    <row r="35" spans="1:10" x14ac:dyDescent="0.35">
      <c r="A35" s="1" t="s">
        <v>20</v>
      </c>
      <c r="B35" s="1" t="s">
        <v>16</v>
      </c>
      <c r="C35" s="1" t="s">
        <v>13</v>
      </c>
      <c r="D35" s="1" t="s">
        <v>13</v>
      </c>
      <c r="E35" s="4">
        <v>3</v>
      </c>
      <c r="F35" s="4"/>
      <c r="G35" s="4">
        <f t="shared" si="0"/>
        <v>3</v>
      </c>
      <c r="H35" s="5">
        <f t="shared" si="2"/>
        <v>0</v>
      </c>
      <c r="I35" s="16"/>
      <c r="J35" s="17"/>
    </row>
    <row r="36" spans="1:10" x14ac:dyDescent="0.35">
      <c r="A36" s="1" t="s">
        <v>20</v>
      </c>
      <c r="B36" s="1" t="s">
        <v>17</v>
      </c>
      <c r="C36" s="1" t="s">
        <v>13</v>
      </c>
      <c r="D36" s="1" t="s">
        <v>13</v>
      </c>
      <c r="E36" s="4">
        <v>2</v>
      </c>
      <c r="F36" s="4"/>
      <c r="G36" s="4">
        <f t="shared" si="0"/>
        <v>2</v>
      </c>
      <c r="H36" s="5">
        <f t="shared" si="2"/>
        <v>0</v>
      </c>
      <c r="I36" s="16"/>
      <c r="J36" s="17"/>
    </row>
    <row r="37" spans="1:10" x14ac:dyDescent="0.35">
      <c r="A37" s="1" t="s">
        <v>20</v>
      </c>
      <c r="B37" s="1" t="s">
        <v>18</v>
      </c>
      <c r="C37" s="1" t="s">
        <v>13</v>
      </c>
      <c r="D37" s="1" t="s">
        <v>13</v>
      </c>
      <c r="E37" s="4">
        <v>1</v>
      </c>
      <c r="F37" s="4"/>
      <c r="G37" s="4">
        <f t="shared" si="0"/>
        <v>1</v>
      </c>
      <c r="H37" s="5">
        <f t="shared" si="2"/>
        <v>0</v>
      </c>
      <c r="I37" s="16"/>
      <c r="J37" s="17"/>
    </row>
    <row r="38" spans="1:10" x14ac:dyDescent="0.35">
      <c r="A38" s="1" t="s">
        <v>21</v>
      </c>
      <c r="B38" s="1" t="s">
        <v>6</v>
      </c>
      <c r="C38" s="1" t="s">
        <v>8</v>
      </c>
      <c r="D38" s="1" t="s">
        <v>8</v>
      </c>
      <c r="E38" s="4">
        <v>12</v>
      </c>
      <c r="F38" s="4"/>
      <c r="G38" s="4">
        <f t="shared" si="0"/>
        <v>12</v>
      </c>
      <c r="H38" s="5">
        <f t="shared" si="2"/>
        <v>24</v>
      </c>
      <c r="I38" s="16">
        <f t="shared" ref="I38" si="4">SUM(H38:H49)</f>
        <v>160</v>
      </c>
      <c r="J38" s="17">
        <f>I38/$I$1</f>
        <v>0.10796221322537113</v>
      </c>
    </row>
    <row r="39" spans="1:10" x14ac:dyDescent="0.35">
      <c r="A39" s="1" t="s">
        <v>21</v>
      </c>
      <c r="B39" s="1" t="s">
        <v>8</v>
      </c>
      <c r="C39" s="1" t="s">
        <v>10</v>
      </c>
      <c r="D39" s="1" t="s">
        <v>10</v>
      </c>
      <c r="E39" s="4">
        <v>11</v>
      </c>
      <c r="F39" s="4"/>
      <c r="G39" s="4">
        <f t="shared" si="0"/>
        <v>11</v>
      </c>
      <c r="H39" s="5">
        <f t="shared" ref="H39:H102" si="5">G39*C39</f>
        <v>33</v>
      </c>
      <c r="I39" s="16"/>
      <c r="J39" s="17"/>
    </row>
    <row r="40" spans="1:10" x14ac:dyDescent="0.35">
      <c r="A40" s="1" t="s">
        <v>21</v>
      </c>
      <c r="B40" s="1" t="s">
        <v>10</v>
      </c>
      <c r="C40" s="1" t="s">
        <v>10</v>
      </c>
      <c r="D40" s="1" t="s">
        <v>10</v>
      </c>
      <c r="E40" s="4">
        <v>10</v>
      </c>
      <c r="F40" s="4"/>
      <c r="G40" s="4">
        <f t="shared" si="0"/>
        <v>10</v>
      </c>
      <c r="H40" s="5">
        <f t="shared" si="5"/>
        <v>30</v>
      </c>
      <c r="I40" s="16"/>
      <c r="J40" s="17"/>
    </row>
    <row r="41" spans="1:10" x14ac:dyDescent="0.35">
      <c r="A41" s="1" t="s">
        <v>21</v>
      </c>
      <c r="B41" s="1" t="s">
        <v>9</v>
      </c>
      <c r="C41" s="1" t="s">
        <v>10</v>
      </c>
      <c r="D41" s="1" t="s">
        <v>10</v>
      </c>
      <c r="E41" s="4">
        <v>9</v>
      </c>
      <c r="F41" s="4"/>
      <c r="G41" s="4">
        <f t="shared" si="0"/>
        <v>9</v>
      </c>
      <c r="H41" s="5">
        <f t="shared" si="5"/>
        <v>27</v>
      </c>
      <c r="I41" s="16"/>
      <c r="J41" s="17"/>
    </row>
    <row r="42" spans="1:10" x14ac:dyDescent="0.35">
      <c r="A42" s="1" t="s">
        <v>21</v>
      </c>
      <c r="B42" s="1" t="s">
        <v>7</v>
      </c>
      <c r="C42" s="1" t="s">
        <v>9</v>
      </c>
      <c r="D42" s="1" t="s">
        <v>9</v>
      </c>
      <c r="E42" s="4">
        <v>8</v>
      </c>
      <c r="F42" s="4"/>
      <c r="G42" s="4">
        <f t="shared" si="0"/>
        <v>8</v>
      </c>
      <c r="H42" s="5">
        <f t="shared" si="5"/>
        <v>32</v>
      </c>
      <c r="I42" s="16"/>
      <c r="J42" s="17"/>
    </row>
    <row r="43" spans="1:10" x14ac:dyDescent="0.35">
      <c r="A43" s="1" t="s">
        <v>21</v>
      </c>
      <c r="B43" s="1" t="s">
        <v>11</v>
      </c>
      <c r="C43" s="1" t="s">
        <v>13</v>
      </c>
      <c r="D43" s="1" t="s">
        <v>13</v>
      </c>
      <c r="E43" s="4">
        <v>7</v>
      </c>
      <c r="F43" s="4"/>
      <c r="G43" s="4">
        <f t="shared" si="0"/>
        <v>7</v>
      </c>
      <c r="H43" s="5">
        <f t="shared" si="5"/>
        <v>0</v>
      </c>
      <c r="I43" s="16"/>
      <c r="J43" s="17"/>
    </row>
    <row r="44" spans="1:10" x14ac:dyDescent="0.35">
      <c r="A44" s="1" t="s">
        <v>21</v>
      </c>
      <c r="B44" s="1" t="s">
        <v>12</v>
      </c>
      <c r="C44" s="1" t="s">
        <v>6</v>
      </c>
      <c r="D44" s="1" t="s">
        <v>6</v>
      </c>
      <c r="E44" s="4">
        <v>6</v>
      </c>
      <c r="F44" s="4"/>
      <c r="G44" s="4">
        <f t="shared" si="0"/>
        <v>6</v>
      </c>
      <c r="H44" s="5">
        <f t="shared" si="5"/>
        <v>6</v>
      </c>
      <c r="I44" s="16"/>
      <c r="J44" s="17"/>
    </row>
    <row r="45" spans="1:10" x14ac:dyDescent="0.35">
      <c r="A45" s="1" t="s">
        <v>21</v>
      </c>
      <c r="B45" s="1" t="s">
        <v>14</v>
      </c>
      <c r="C45" s="1" t="s">
        <v>13</v>
      </c>
      <c r="D45" s="1" t="s">
        <v>13</v>
      </c>
      <c r="E45" s="4">
        <v>5</v>
      </c>
      <c r="F45" s="4"/>
      <c r="G45" s="4">
        <f t="shared" si="0"/>
        <v>5</v>
      </c>
      <c r="H45" s="5">
        <f t="shared" si="5"/>
        <v>0</v>
      </c>
      <c r="I45" s="16"/>
      <c r="J45" s="17"/>
    </row>
    <row r="46" spans="1:10" x14ac:dyDescent="0.35">
      <c r="A46" s="1" t="s">
        <v>21</v>
      </c>
      <c r="B46" s="1" t="s">
        <v>15</v>
      </c>
      <c r="C46" s="1" t="s">
        <v>13</v>
      </c>
      <c r="D46" s="1" t="s">
        <v>13</v>
      </c>
      <c r="E46" s="4">
        <v>4</v>
      </c>
      <c r="F46" s="4"/>
      <c r="G46" s="4">
        <f t="shared" si="0"/>
        <v>4</v>
      </c>
      <c r="H46" s="5">
        <f t="shared" si="5"/>
        <v>0</v>
      </c>
      <c r="I46" s="16"/>
      <c r="J46" s="17"/>
    </row>
    <row r="47" spans="1:10" x14ac:dyDescent="0.35">
      <c r="A47" s="1" t="s">
        <v>21</v>
      </c>
      <c r="B47" s="1" t="s">
        <v>16</v>
      </c>
      <c r="C47" s="1" t="s">
        <v>8</v>
      </c>
      <c r="D47" s="1" t="s">
        <v>8</v>
      </c>
      <c r="E47" s="4">
        <v>3</v>
      </c>
      <c r="F47" s="4"/>
      <c r="G47" s="4">
        <f t="shared" si="0"/>
        <v>3</v>
      </c>
      <c r="H47" s="5">
        <f t="shared" si="5"/>
        <v>6</v>
      </c>
      <c r="I47" s="16"/>
      <c r="J47" s="17"/>
    </row>
    <row r="48" spans="1:10" x14ac:dyDescent="0.35">
      <c r="A48" s="1" t="s">
        <v>21</v>
      </c>
      <c r="B48" s="1" t="s">
        <v>17</v>
      </c>
      <c r="C48" s="1" t="s">
        <v>6</v>
      </c>
      <c r="D48" s="1" t="s">
        <v>6</v>
      </c>
      <c r="E48" s="4">
        <v>2</v>
      </c>
      <c r="F48" s="4"/>
      <c r="G48" s="4">
        <f t="shared" si="0"/>
        <v>2</v>
      </c>
      <c r="H48" s="5">
        <f t="shared" si="5"/>
        <v>2</v>
      </c>
      <c r="I48" s="16"/>
      <c r="J48" s="17"/>
    </row>
    <row r="49" spans="1:10" x14ac:dyDescent="0.35">
      <c r="A49" s="1" t="s">
        <v>21</v>
      </c>
      <c r="B49" s="1" t="s">
        <v>18</v>
      </c>
      <c r="C49" s="1" t="s">
        <v>13</v>
      </c>
      <c r="D49" s="1" t="s">
        <v>13</v>
      </c>
      <c r="E49" s="4">
        <v>1</v>
      </c>
      <c r="F49" s="4"/>
      <c r="G49" s="4">
        <f t="shared" si="0"/>
        <v>1</v>
      </c>
      <c r="H49" s="5">
        <f t="shared" si="5"/>
        <v>0</v>
      </c>
      <c r="I49" s="16"/>
      <c r="J49" s="17"/>
    </row>
    <row r="50" spans="1:10" x14ac:dyDescent="0.35">
      <c r="A50" s="1" t="s">
        <v>22</v>
      </c>
      <c r="B50" s="1" t="s">
        <v>6</v>
      </c>
      <c r="C50" s="1" t="s">
        <v>13</v>
      </c>
      <c r="D50" s="1" t="s">
        <v>13</v>
      </c>
      <c r="E50" s="4">
        <v>12</v>
      </c>
      <c r="F50" s="4"/>
      <c r="G50" s="4">
        <f t="shared" si="0"/>
        <v>12</v>
      </c>
      <c r="H50" s="5">
        <f t="shared" si="5"/>
        <v>0</v>
      </c>
      <c r="I50" s="16">
        <f t="shared" ref="I50" si="6">SUM(H50:H61)</f>
        <v>100</v>
      </c>
      <c r="J50" s="17">
        <f>I50/$I$1</f>
        <v>6.7476383265856948E-2</v>
      </c>
    </row>
    <row r="51" spans="1:10" x14ac:dyDescent="0.35">
      <c r="A51" s="1" t="s">
        <v>22</v>
      </c>
      <c r="B51" s="1" t="s">
        <v>8</v>
      </c>
      <c r="C51" s="1" t="s">
        <v>13</v>
      </c>
      <c r="D51" s="1" t="s">
        <v>13</v>
      </c>
      <c r="E51" s="4">
        <v>11</v>
      </c>
      <c r="F51" s="4"/>
      <c r="G51" s="4">
        <f t="shared" si="0"/>
        <v>11</v>
      </c>
      <c r="H51" s="5">
        <f t="shared" si="5"/>
        <v>0</v>
      </c>
      <c r="I51" s="16"/>
      <c r="J51" s="17"/>
    </row>
    <row r="52" spans="1:10" x14ac:dyDescent="0.35">
      <c r="A52" s="1" t="s">
        <v>22</v>
      </c>
      <c r="B52" s="1" t="s">
        <v>10</v>
      </c>
      <c r="C52" s="1" t="s">
        <v>6</v>
      </c>
      <c r="D52" s="1" t="s">
        <v>6</v>
      </c>
      <c r="E52" s="4">
        <v>10</v>
      </c>
      <c r="F52" s="4"/>
      <c r="G52" s="4">
        <f t="shared" si="0"/>
        <v>10</v>
      </c>
      <c r="H52" s="5">
        <f t="shared" si="5"/>
        <v>10</v>
      </c>
      <c r="I52" s="16"/>
      <c r="J52" s="17"/>
    </row>
    <row r="53" spans="1:10" x14ac:dyDescent="0.35">
      <c r="A53" s="1" t="s">
        <v>22</v>
      </c>
      <c r="B53" s="1" t="s">
        <v>9</v>
      </c>
      <c r="C53" s="1" t="s">
        <v>6</v>
      </c>
      <c r="D53" s="1" t="s">
        <v>6</v>
      </c>
      <c r="E53" s="4">
        <v>9</v>
      </c>
      <c r="F53" s="4"/>
      <c r="G53" s="4">
        <f t="shared" si="0"/>
        <v>9</v>
      </c>
      <c r="H53" s="5">
        <f t="shared" si="5"/>
        <v>9</v>
      </c>
      <c r="I53" s="16"/>
      <c r="J53" s="17"/>
    </row>
    <row r="54" spans="1:10" x14ac:dyDescent="0.35">
      <c r="A54" s="1" t="s">
        <v>22</v>
      </c>
      <c r="B54" s="1" t="s">
        <v>7</v>
      </c>
      <c r="C54" s="1" t="s">
        <v>13</v>
      </c>
      <c r="D54" s="1" t="s">
        <v>13</v>
      </c>
      <c r="E54" s="4">
        <v>8</v>
      </c>
      <c r="F54" s="4"/>
      <c r="G54" s="4">
        <f t="shared" si="0"/>
        <v>8</v>
      </c>
      <c r="H54" s="5">
        <f t="shared" si="5"/>
        <v>0</v>
      </c>
      <c r="I54" s="16"/>
      <c r="J54" s="17"/>
    </row>
    <row r="55" spans="1:10" x14ac:dyDescent="0.35">
      <c r="A55" s="1" t="s">
        <v>22</v>
      </c>
      <c r="B55" s="1" t="s">
        <v>11</v>
      </c>
      <c r="C55" s="1" t="s">
        <v>9</v>
      </c>
      <c r="D55" s="1" t="s">
        <v>9</v>
      </c>
      <c r="E55" s="4">
        <v>7</v>
      </c>
      <c r="F55" s="4"/>
      <c r="G55" s="4">
        <f t="shared" si="0"/>
        <v>7</v>
      </c>
      <c r="H55" s="5">
        <f t="shared" si="5"/>
        <v>28</v>
      </c>
      <c r="I55" s="16"/>
      <c r="J55" s="17"/>
    </row>
    <row r="56" spans="1:10" x14ac:dyDescent="0.35">
      <c r="A56" s="1" t="s">
        <v>22</v>
      </c>
      <c r="B56" s="1" t="s">
        <v>12</v>
      </c>
      <c r="C56" s="1" t="s">
        <v>10</v>
      </c>
      <c r="D56" s="1" t="s">
        <v>10</v>
      </c>
      <c r="E56" s="4">
        <v>6</v>
      </c>
      <c r="F56" s="4"/>
      <c r="G56" s="4">
        <f t="shared" si="0"/>
        <v>6</v>
      </c>
      <c r="H56" s="5">
        <f t="shared" si="5"/>
        <v>18</v>
      </c>
      <c r="I56" s="16"/>
      <c r="J56" s="17"/>
    </row>
    <row r="57" spans="1:10" x14ac:dyDescent="0.35">
      <c r="A57" s="1" t="s">
        <v>22</v>
      </c>
      <c r="B57" s="1" t="s">
        <v>14</v>
      </c>
      <c r="C57" s="1" t="s">
        <v>10</v>
      </c>
      <c r="D57" s="1" t="s">
        <v>10</v>
      </c>
      <c r="E57" s="4">
        <v>5</v>
      </c>
      <c r="F57" s="4"/>
      <c r="G57" s="4">
        <f t="shared" si="0"/>
        <v>5</v>
      </c>
      <c r="H57" s="5">
        <f t="shared" si="5"/>
        <v>15</v>
      </c>
      <c r="I57" s="16"/>
      <c r="J57" s="17"/>
    </row>
    <row r="58" spans="1:10" x14ac:dyDescent="0.35">
      <c r="A58" s="1" t="s">
        <v>22</v>
      </c>
      <c r="B58" s="1" t="s">
        <v>15</v>
      </c>
      <c r="C58" s="1" t="s">
        <v>9</v>
      </c>
      <c r="D58" s="1" t="s">
        <v>9</v>
      </c>
      <c r="E58" s="4">
        <v>4</v>
      </c>
      <c r="F58" s="4"/>
      <c r="G58" s="4">
        <f t="shared" si="0"/>
        <v>4</v>
      </c>
      <c r="H58" s="5">
        <f t="shared" si="5"/>
        <v>16</v>
      </c>
      <c r="I58" s="16"/>
      <c r="J58" s="17"/>
    </row>
    <row r="59" spans="1:10" x14ac:dyDescent="0.35">
      <c r="A59" s="1" t="s">
        <v>22</v>
      </c>
      <c r="B59" s="1" t="s">
        <v>16</v>
      </c>
      <c r="C59" s="1" t="s">
        <v>13</v>
      </c>
      <c r="D59" s="1" t="s">
        <v>13</v>
      </c>
      <c r="E59" s="4">
        <v>3</v>
      </c>
      <c r="F59" s="4"/>
      <c r="G59" s="4">
        <f t="shared" si="0"/>
        <v>3</v>
      </c>
      <c r="H59" s="5">
        <f t="shared" si="5"/>
        <v>0</v>
      </c>
      <c r="I59" s="16"/>
      <c r="J59" s="17"/>
    </row>
    <row r="60" spans="1:10" x14ac:dyDescent="0.35">
      <c r="A60" s="1" t="s">
        <v>22</v>
      </c>
      <c r="B60" s="1" t="s">
        <v>17</v>
      </c>
      <c r="C60" s="1" t="s">
        <v>6</v>
      </c>
      <c r="D60" s="1" t="s">
        <v>6</v>
      </c>
      <c r="E60" s="4">
        <v>2</v>
      </c>
      <c r="F60" s="4"/>
      <c r="G60" s="4">
        <f t="shared" si="0"/>
        <v>2</v>
      </c>
      <c r="H60" s="5">
        <f t="shared" si="5"/>
        <v>2</v>
      </c>
      <c r="I60" s="16"/>
      <c r="J60" s="17"/>
    </row>
    <row r="61" spans="1:10" x14ac:dyDescent="0.35">
      <c r="A61" s="1" t="s">
        <v>22</v>
      </c>
      <c r="B61" s="1" t="s">
        <v>18</v>
      </c>
      <c r="C61" s="1" t="s">
        <v>8</v>
      </c>
      <c r="D61" s="1" t="s">
        <v>8</v>
      </c>
      <c r="E61" s="4">
        <v>1</v>
      </c>
      <c r="F61" s="4"/>
      <c r="G61" s="4">
        <f t="shared" si="0"/>
        <v>1</v>
      </c>
      <c r="H61" s="5">
        <f t="shared" si="5"/>
        <v>2</v>
      </c>
      <c r="I61" s="16"/>
      <c r="J61" s="17"/>
    </row>
    <row r="62" spans="1:10" x14ac:dyDescent="0.35">
      <c r="A62" s="1" t="s">
        <v>23</v>
      </c>
      <c r="B62" s="1" t="s">
        <v>6</v>
      </c>
      <c r="C62" s="1" t="s">
        <v>13</v>
      </c>
      <c r="D62" s="1" t="s">
        <v>13</v>
      </c>
      <c r="E62" s="4">
        <v>12</v>
      </c>
      <c r="F62" s="4"/>
      <c r="G62" s="4">
        <f t="shared" si="0"/>
        <v>12</v>
      </c>
      <c r="H62" s="5">
        <f t="shared" si="5"/>
        <v>0</v>
      </c>
      <c r="I62" s="16">
        <f t="shared" ref="I62" si="7">SUM(H62:H73)</f>
        <v>108</v>
      </c>
      <c r="J62" s="17">
        <f>I62/$I$1</f>
        <v>7.28744939271255E-2</v>
      </c>
    </row>
    <row r="63" spans="1:10" x14ac:dyDescent="0.35">
      <c r="A63" s="1" t="s">
        <v>23</v>
      </c>
      <c r="B63" s="1" t="s">
        <v>8</v>
      </c>
      <c r="C63" s="1" t="s">
        <v>13</v>
      </c>
      <c r="D63" s="1" t="s">
        <v>13</v>
      </c>
      <c r="E63" s="4">
        <v>11</v>
      </c>
      <c r="F63" s="4"/>
      <c r="G63" s="4">
        <f t="shared" si="0"/>
        <v>11</v>
      </c>
      <c r="H63" s="5">
        <f t="shared" si="5"/>
        <v>0</v>
      </c>
      <c r="I63" s="16"/>
      <c r="J63" s="17"/>
    </row>
    <row r="64" spans="1:10" x14ac:dyDescent="0.35">
      <c r="A64" s="1" t="s">
        <v>23</v>
      </c>
      <c r="B64" s="1" t="s">
        <v>10</v>
      </c>
      <c r="C64" s="1" t="s">
        <v>6</v>
      </c>
      <c r="D64" s="1" t="s">
        <v>6</v>
      </c>
      <c r="E64" s="4">
        <v>10</v>
      </c>
      <c r="F64" s="4"/>
      <c r="G64" s="4">
        <f t="shared" si="0"/>
        <v>10</v>
      </c>
      <c r="H64" s="5">
        <f t="shared" si="5"/>
        <v>10</v>
      </c>
      <c r="I64" s="16"/>
      <c r="J64" s="17"/>
    </row>
    <row r="65" spans="1:10" x14ac:dyDescent="0.35">
      <c r="A65" s="1" t="s">
        <v>23</v>
      </c>
      <c r="B65" s="1" t="s">
        <v>9</v>
      </c>
      <c r="C65" s="1" t="s">
        <v>6</v>
      </c>
      <c r="D65" s="1" t="s">
        <v>6</v>
      </c>
      <c r="E65" s="4">
        <v>9</v>
      </c>
      <c r="F65" s="4"/>
      <c r="G65" s="4">
        <f t="shared" si="0"/>
        <v>9</v>
      </c>
      <c r="H65" s="5">
        <f t="shared" si="5"/>
        <v>9</v>
      </c>
      <c r="I65" s="16"/>
      <c r="J65" s="17"/>
    </row>
    <row r="66" spans="1:10" x14ac:dyDescent="0.35">
      <c r="A66" s="1" t="s">
        <v>23</v>
      </c>
      <c r="B66" s="1" t="s">
        <v>7</v>
      </c>
      <c r="C66" s="1" t="s">
        <v>10</v>
      </c>
      <c r="D66" s="1" t="s">
        <v>10</v>
      </c>
      <c r="E66" s="4">
        <v>8</v>
      </c>
      <c r="F66" s="4"/>
      <c r="G66" s="4">
        <f t="shared" si="0"/>
        <v>8</v>
      </c>
      <c r="H66" s="5">
        <f t="shared" si="5"/>
        <v>24</v>
      </c>
      <c r="I66" s="16"/>
      <c r="J66" s="17"/>
    </row>
    <row r="67" spans="1:10" x14ac:dyDescent="0.35">
      <c r="A67" s="1" t="s">
        <v>23</v>
      </c>
      <c r="B67" s="1" t="s">
        <v>11</v>
      </c>
      <c r="C67" s="1" t="s">
        <v>6</v>
      </c>
      <c r="D67" s="1" t="s">
        <v>6</v>
      </c>
      <c r="E67" s="4">
        <v>7</v>
      </c>
      <c r="F67" s="4"/>
      <c r="G67" s="4">
        <f t="shared" ref="G67:G130" si="8">IF(C67&gt;=1,E67,0)</f>
        <v>7</v>
      </c>
      <c r="H67" s="5">
        <f t="shared" si="5"/>
        <v>7</v>
      </c>
      <c r="I67" s="16"/>
      <c r="J67" s="17"/>
    </row>
    <row r="68" spans="1:10" x14ac:dyDescent="0.35">
      <c r="A68" s="1" t="s">
        <v>23</v>
      </c>
      <c r="B68" s="1" t="s">
        <v>12</v>
      </c>
      <c r="C68" s="1" t="s">
        <v>9</v>
      </c>
      <c r="D68" s="1" t="s">
        <v>9</v>
      </c>
      <c r="E68" s="4">
        <v>6</v>
      </c>
      <c r="F68" s="4"/>
      <c r="G68" s="4">
        <f t="shared" si="8"/>
        <v>6</v>
      </c>
      <c r="H68" s="5">
        <f t="shared" si="5"/>
        <v>24</v>
      </c>
      <c r="I68" s="16"/>
      <c r="J68" s="17"/>
    </row>
    <row r="69" spans="1:10" x14ac:dyDescent="0.35">
      <c r="A69" s="1" t="s">
        <v>23</v>
      </c>
      <c r="B69" s="1" t="s">
        <v>14</v>
      </c>
      <c r="C69" s="1" t="s">
        <v>8</v>
      </c>
      <c r="D69" s="1" t="s">
        <v>8</v>
      </c>
      <c r="E69" s="4">
        <v>5</v>
      </c>
      <c r="F69" s="4"/>
      <c r="G69" s="4">
        <f t="shared" si="8"/>
        <v>5</v>
      </c>
      <c r="H69" s="5">
        <f t="shared" si="5"/>
        <v>10</v>
      </c>
      <c r="I69" s="16"/>
      <c r="J69" s="17"/>
    </row>
    <row r="70" spans="1:10" x14ac:dyDescent="0.35">
      <c r="A70" s="1" t="s">
        <v>23</v>
      </c>
      <c r="B70" s="1" t="s">
        <v>15</v>
      </c>
      <c r="C70" s="1" t="s">
        <v>9</v>
      </c>
      <c r="D70" s="1" t="s">
        <v>9</v>
      </c>
      <c r="E70" s="4">
        <v>4</v>
      </c>
      <c r="F70" s="4"/>
      <c r="G70" s="4">
        <f t="shared" si="8"/>
        <v>4</v>
      </c>
      <c r="H70" s="5">
        <f t="shared" si="5"/>
        <v>16</v>
      </c>
      <c r="I70" s="16"/>
      <c r="J70" s="17"/>
    </row>
    <row r="71" spans="1:10" x14ac:dyDescent="0.35">
      <c r="A71" s="1" t="s">
        <v>23</v>
      </c>
      <c r="B71" s="1" t="s">
        <v>16</v>
      </c>
      <c r="C71" s="1" t="s">
        <v>8</v>
      </c>
      <c r="D71" s="1" t="s">
        <v>8</v>
      </c>
      <c r="E71" s="4">
        <v>3</v>
      </c>
      <c r="F71" s="4"/>
      <c r="G71" s="4">
        <f t="shared" si="8"/>
        <v>3</v>
      </c>
      <c r="H71" s="5">
        <f t="shared" si="5"/>
        <v>6</v>
      </c>
      <c r="I71" s="16"/>
      <c r="J71" s="17"/>
    </row>
    <row r="72" spans="1:10" x14ac:dyDescent="0.35">
      <c r="A72" s="1" t="s">
        <v>23</v>
      </c>
      <c r="B72" s="1" t="s">
        <v>17</v>
      </c>
      <c r="C72" s="1" t="s">
        <v>6</v>
      </c>
      <c r="D72" s="1" t="s">
        <v>6</v>
      </c>
      <c r="E72" s="4">
        <v>2</v>
      </c>
      <c r="F72" s="4"/>
      <c r="G72" s="4">
        <f t="shared" si="8"/>
        <v>2</v>
      </c>
      <c r="H72" s="5">
        <f t="shared" si="5"/>
        <v>2</v>
      </c>
      <c r="I72" s="16"/>
      <c r="J72" s="17"/>
    </row>
    <row r="73" spans="1:10" x14ac:dyDescent="0.35">
      <c r="A73" s="1" t="s">
        <v>23</v>
      </c>
      <c r="B73" s="1" t="s">
        <v>18</v>
      </c>
      <c r="C73" s="1" t="s">
        <v>13</v>
      </c>
      <c r="D73" s="1" t="s">
        <v>13</v>
      </c>
      <c r="E73" s="4">
        <v>1</v>
      </c>
      <c r="F73" s="4"/>
      <c r="G73" s="4">
        <f t="shared" si="8"/>
        <v>1</v>
      </c>
      <c r="H73" s="5">
        <f t="shared" si="5"/>
        <v>0</v>
      </c>
      <c r="I73" s="16"/>
      <c r="J73" s="17"/>
    </row>
    <row r="74" spans="1:10" x14ac:dyDescent="0.35">
      <c r="A74" s="1" t="s">
        <v>24</v>
      </c>
      <c r="B74" s="1" t="s">
        <v>6</v>
      </c>
      <c r="C74" s="1" t="s">
        <v>10</v>
      </c>
      <c r="D74" s="1" t="s">
        <v>10</v>
      </c>
      <c r="E74" s="4">
        <v>12</v>
      </c>
      <c r="F74" s="4"/>
      <c r="G74" s="4">
        <f t="shared" si="8"/>
        <v>12</v>
      </c>
      <c r="H74" s="5">
        <f t="shared" si="5"/>
        <v>36</v>
      </c>
      <c r="I74" s="16">
        <f t="shared" ref="I74" si="9">SUM(H74:H85)</f>
        <v>157</v>
      </c>
      <c r="J74" s="17">
        <f>I74/$I$1</f>
        <v>0.10593792172739541</v>
      </c>
    </row>
    <row r="75" spans="1:10" x14ac:dyDescent="0.35">
      <c r="A75" s="1" t="s">
        <v>24</v>
      </c>
      <c r="B75" s="1" t="s">
        <v>8</v>
      </c>
      <c r="C75" s="1" t="s">
        <v>6</v>
      </c>
      <c r="D75" s="1" t="s">
        <v>6</v>
      </c>
      <c r="E75" s="4">
        <v>11</v>
      </c>
      <c r="F75" s="4"/>
      <c r="G75" s="4">
        <f t="shared" si="8"/>
        <v>11</v>
      </c>
      <c r="H75" s="5">
        <f t="shared" si="5"/>
        <v>11</v>
      </c>
      <c r="I75" s="16"/>
      <c r="J75" s="17"/>
    </row>
    <row r="76" spans="1:10" x14ac:dyDescent="0.35">
      <c r="A76" s="1" t="s">
        <v>24</v>
      </c>
      <c r="B76" s="1" t="s">
        <v>10</v>
      </c>
      <c r="C76" s="1" t="s">
        <v>6</v>
      </c>
      <c r="D76" s="1" t="s">
        <v>6</v>
      </c>
      <c r="E76" s="4">
        <v>10</v>
      </c>
      <c r="F76" s="4"/>
      <c r="G76" s="4">
        <f t="shared" si="8"/>
        <v>10</v>
      </c>
      <c r="H76" s="5">
        <f t="shared" si="5"/>
        <v>10</v>
      </c>
      <c r="I76" s="16"/>
      <c r="J76" s="17"/>
    </row>
    <row r="77" spans="1:10" x14ac:dyDescent="0.35">
      <c r="A77" s="1" t="s">
        <v>24</v>
      </c>
      <c r="B77" s="1" t="s">
        <v>9</v>
      </c>
      <c r="C77" s="1" t="s">
        <v>9</v>
      </c>
      <c r="D77" s="1" t="s">
        <v>9</v>
      </c>
      <c r="E77" s="4">
        <v>9</v>
      </c>
      <c r="F77" s="4"/>
      <c r="G77" s="4">
        <f t="shared" si="8"/>
        <v>9</v>
      </c>
      <c r="H77" s="5">
        <f t="shared" si="5"/>
        <v>36</v>
      </c>
      <c r="I77" s="16"/>
      <c r="J77" s="17"/>
    </row>
    <row r="78" spans="1:10" x14ac:dyDescent="0.35">
      <c r="A78" s="1" t="s">
        <v>24</v>
      </c>
      <c r="B78" s="1" t="s">
        <v>7</v>
      </c>
      <c r="C78" s="1" t="s">
        <v>9</v>
      </c>
      <c r="D78" s="1" t="s">
        <v>9</v>
      </c>
      <c r="E78" s="4">
        <v>8</v>
      </c>
      <c r="F78" s="4"/>
      <c r="G78" s="4">
        <f t="shared" si="8"/>
        <v>8</v>
      </c>
      <c r="H78" s="5">
        <f t="shared" si="5"/>
        <v>32</v>
      </c>
      <c r="I78" s="16"/>
      <c r="J78" s="17"/>
    </row>
    <row r="79" spans="1:10" x14ac:dyDescent="0.35">
      <c r="A79" s="1" t="s">
        <v>24</v>
      </c>
      <c r="B79" s="1" t="s">
        <v>11</v>
      </c>
      <c r="C79" s="1" t="s">
        <v>8</v>
      </c>
      <c r="D79" s="1" t="s">
        <v>8</v>
      </c>
      <c r="E79" s="4">
        <v>7</v>
      </c>
      <c r="F79" s="4"/>
      <c r="G79" s="4">
        <f t="shared" si="8"/>
        <v>7</v>
      </c>
      <c r="H79" s="5">
        <f t="shared" si="5"/>
        <v>14</v>
      </c>
      <c r="I79" s="16"/>
      <c r="J79" s="17"/>
    </row>
    <row r="80" spans="1:10" x14ac:dyDescent="0.35">
      <c r="A80" s="1" t="s">
        <v>24</v>
      </c>
      <c r="B80" s="1" t="s">
        <v>12</v>
      </c>
      <c r="C80" s="1" t="s">
        <v>6</v>
      </c>
      <c r="D80" s="1" t="s">
        <v>6</v>
      </c>
      <c r="E80" s="4">
        <v>6</v>
      </c>
      <c r="F80" s="4"/>
      <c r="G80" s="4">
        <f t="shared" si="8"/>
        <v>6</v>
      </c>
      <c r="H80" s="5">
        <f t="shared" si="5"/>
        <v>6</v>
      </c>
      <c r="I80" s="16"/>
      <c r="J80" s="17"/>
    </row>
    <row r="81" spans="1:10" x14ac:dyDescent="0.35">
      <c r="A81" s="1" t="s">
        <v>24</v>
      </c>
      <c r="B81" s="1" t="s">
        <v>14</v>
      </c>
      <c r="C81" s="1" t="s">
        <v>6</v>
      </c>
      <c r="D81" s="1" t="s">
        <v>6</v>
      </c>
      <c r="E81" s="4">
        <v>5</v>
      </c>
      <c r="F81" s="4"/>
      <c r="G81" s="4">
        <f t="shared" si="8"/>
        <v>5</v>
      </c>
      <c r="H81" s="5">
        <f t="shared" si="5"/>
        <v>5</v>
      </c>
      <c r="I81" s="16"/>
      <c r="J81" s="17"/>
    </row>
    <row r="82" spans="1:10" x14ac:dyDescent="0.35">
      <c r="A82" s="1" t="s">
        <v>24</v>
      </c>
      <c r="B82" s="1" t="s">
        <v>15</v>
      </c>
      <c r="C82" s="1" t="s">
        <v>6</v>
      </c>
      <c r="D82" s="1" t="s">
        <v>6</v>
      </c>
      <c r="E82" s="4">
        <v>4</v>
      </c>
      <c r="F82" s="4"/>
      <c r="G82" s="4">
        <f t="shared" si="8"/>
        <v>4</v>
      </c>
      <c r="H82" s="5">
        <f t="shared" si="5"/>
        <v>4</v>
      </c>
      <c r="I82" s="16"/>
      <c r="J82" s="17"/>
    </row>
    <row r="83" spans="1:10" x14ac:dyDescent="0.35">
      <c r="A83" s="1" t="s">
        <v>24</v>
      </c>
      <c r="B83" s="1" t="s">
        <v>16</v>
      </c>
      <c r="C83" s="1" t="s">
        <v>6</v>
      </c>
      <c r="D83" s="1" t="s">
        <v>6</v>
      </c>
      <c r="E83" s="4">
        <v>3</v>
      </c>
      <c r="F83" s="4"/>
      <c r="G83" s="4">
        <f t="shared" si="8"/>
        <v>3</v>
      </c>
      <c r="H83" s="5">
        <f t="shared" si="5"/>
        <v>3</v>
      </c>
      <c r="I83" s="16"/>
      <c r="J83" s="17"/>
    </row>
    <row r="84" spans="1:10" x14ac:dyDescent="0.35">
      <c r="A84" s="1" t="s">
        <v>24</v>
      </c>
      <c r="B84" s="1" t="s">
        <v>17</v>
      </c>
      <c r="C84" s="1" t="s">
        <v>13</v>
      </c>
      <c r="D84" s="1" t="s">
        <v>13</v>
      </c>
      <c r="E84" s="4">
        <v>2</v>
      </c>
      <c r="F84" s="4"/>
      <c r="G84" s="4">
        <f t="shared" si="8"/>
        <v>2</v>
      </c>
      <c r="H84" s="5">
        <f t="shared" si="5"/>
        <v>0</v>
      </c>
      <c r="I84" s="16"/>
      <c r="J84" s="17"/>
    </row>
    <row r="85" spans="1:10" x14ac:dyDescent="0.35">
      <c r="A85" s="1" t="s">
        <v>24</v>
      </c>
      <c r="B85" s="1" t="s">
        <v>18</v>
      </c>
      <c r="C85" s="1" t="s">
        <v>13</v>
      </c>
      <c r="D85" s="1" t="s">
        <v>13</v>
      </c>
      <c r="E85" s="4">
        <v>1</v>
      </c>
      <c r="F85" s="4"/>
      <c r="G85" s="4">
        <f t="shared" si="8"/>
        <v>1</v>
      </c>
      <c r="H85" s="5">
        <f t="shared" si="5"/>
        <v>0</v>
      </c>
      <c r="I85" s="16"/>
      <c r="J85" s="17"/>
    </row>
    <row r="86" spans="1:10" x14ac:dyDescent="0.35">
      <c r="A86" s="1" t="s">
        <v>25</v>
      </c>
      <c r="B86" s="1" t="s">
        <v>6</v>
      </c>
      <c r="C86" s="1" t="s">
        <v>13</v>
      </c>
      <c r="D86" s="1" t="s">
        <v>13</v>
      </c>
      <c r="E86" s="4">
        <v>12</v>
      </c>
      <c r="F86" s="4"/>
      <c r="G86" s="4">
        <f t="shared" si="8"/>
        <v>12</v>
      </c>
      <c r="H86" s="5">
        <f t="shared" si="5"/>
        <v>0</v>
      </c>
      <c r="I86" s="16">
        <f t="shared" ref="I86" si="10">SUM(H86:H97)</f>
        <v>71</v>
      </c>
      <c r="J86" s="17">
        <f>I86/$I$1</f>
        <v>4.7908232118758436E-2</v>
      </c>
    </row>
    <row r="87" spans="1:10" x14ac:dyDescent="0.35">
      <c r="A87" s="1" t="s">
        <v>25</v>
      </c>
      <c r="B87" s="1" t="s">
        <v>8</v>
      </c>
      <c r="C87" s="1" t="s">
        <v>13</v>
      </c>
      <c r="D87" s="1" t="s">
        <v>13</v>
      </c>
      <c r="E87" s="4">
        <v>11</v>
      </c>
      <c r="F87" s="4"/>
      <c r="G87" s="4">
        <f t="shared" si="8"/>
        <v>11</v>
      </c>
      <c r="H87" s="5">
        <f t="shared" si="5"/>
        <v>0</v>
      </c>
      <c r="I87" s="16"/>
      <c r="J87" s="17"/>
    </row>
    <row r="88" spans="1:10" x14ac:dyDescent="0.35">
      <c r="A88" s="1" t="s">
        <v>25</v>
      </c>
      <c r="B88" s="1" t="s">
        <v>10</v>
      </c>
      <c r="C88" s="1" t="s">
        <v>13</v>
      </c>
      <c r="D88" s="1" t="s">
        <v>13</v>
      </c>
      <c r="E88" s="4">
        <v>10</v>
      </c>
      <c r="F88" s="4"/>
      <c r="G88" s="4">
        <f t="shared" si="8"/>
        <v>10</v>
      </c>
      <c r="H88" s="5">
        <f t="shared" si="5"/>
        <v>0</v>
      </c>
      <c r="I88" s="16"/>
      <c r="J88" s="17"/>
    </row>
    <row r="89" spans="1:10" x14ac:dyDescent="0.35">
      <c r="A89" s="1" t="s">
        <v>25</v>
      </c>
      <c r="B89" s="1" t="s">
        <v>9</v>
      </c>
      <c r="C89" s="1" t="s">
        <v>6</v>
      </c>
      <c r="D89" s="1" t="s">
        <v>6</v>
      </c>
      <c r="E89" s="4">
        <v>9</v>
      </c>
      <c r="F89" s="4"/>
      <c r="G89" s="4">
        <f t="shared" si="8"/>
        <v>9</v>
      </c>
      <c r="H89" s="5">
        <f t="shared" si="5"/>
        <v>9</v>
      </c>
      <c r="I89" s="16"/>
      <c r="J89" s="17"/>
    </row>
    <row r="90" spans="1:10" x14ac:dyDescent="0.35">
      <c r="A90" s="1" t="s">
        <v>25</v>
      </c>
      <c r="B90" s="1" t="s">
        <v>7</v>
      </c>
      <c r="C90" s="1" t="s">
        <v>13</v>
      </c>
      <c r="D90" s="1" t="s">
        <v>13</v>
      </c>
      <c r="E90" s="4">
        <v>8</v>
      </c>
      <c r="F90" s="4"/>
      <c r="G90" s="4">
        <f t="shared" si="8"/>
        <v>8</v>
      </c>
      <c r="H90" s="5">
        <f t="shared" si="5"/>
        <v>0</v>
      </c>
      <c r="I90" s="16"/>
      <c r="J90" s="17"/>
    </row>
    <row r="91" spans="1:10" x14ac:dyDescent="0.35">
      <c r="A91" s="1" t="s">
        <v>25</v>
      </c>
      <c r="B91" s="1" t="s">
        <v>11</v>
      </c>
      <c r="C91" s="1" t="s">
        <v>6</v>
      </c>
      <c r="D91" s="1" t="s">
        <v>6</v>
      </c>
      <c r="E91" s="4">
        <v>7</v>
      </c>
      <c r="F91" s="4"/>
      <c r="G91" s="4">
        <f t="shared" si="8"/>
        <v>7</v>
      </c>
      <c r="H91" s="5">
        <f t="shared" si="5"/>
        <v>7</v>
      </c>
      <c r="I91" s="16"/>
      <c r="J91" s="17"/>
    </row>
    <row r="92" spans="1:10" x14ac:dyDescent="0.35">
      <c r="A92" s="1" t="s">
        <v>25</v>
      </c>
      <c r="B92" s="1" t="s">
        <v>12</v>
      </c>
      <c r="C92" s="1" t="s">
        <v>6</v>
      </c>
      <c r="D92" s="1" t="s">
        <v>6</v>
      </c>
      <c r="E92" s="4">
        <v>6</v>
      </c>
      <c r="F92" s="4"/>
      <c r="G92" s="4">
        <f t="shared" si="8"/>
        <v>6</v>
      </c>
      <c r="H92" s="5">
        <f t="shared" si="5"/>
        <v>6</v>
      </c>
      <c r="I92" s="16"/>
      <c r="J92" s="17"/>
    </row>
    <row r="93" spans="1:10" x14ac:dyDescent="0.35">
      <c r="A93" s="1" t="s">
        <v>25</v>
      </c>
      <c r="B93" s="1" t="s">
        <v>14</v>
      </c>
      <c r="C93" s="1" t="s">
        <v>7</v>
      </c>
      <c r="D93" s="1" t="s">
        <v>7</v>
      </c>
      <c r="E93" s="4">
        <v>5</v>
      </c>
      <c r="F93" s="4"/>
      <c r="G93" s="4">
        <f t="shared" si="8"/>
        <v>5</v>
      </c>
      <c r="H93" s="5">
        <f t="shared" si="5"/>
        <v>25</v>
      </c>
      <c r="I93" s="16"/>
      <c r="J93" s="17"/>
    </row>
    <row r="94" spans="1:10" x14ac:dyDescent="0.35">
      <c r="A94" s="1" t="s">
        <v>25</v>
      </c>
      <c r="B94" s="1" t="s">
        <v>15</v>
      </c>
      <c r="C94" s="1" t="s">
        <v>8</v>
      </c>
      <c r="D94" s="1" t="s">
        <v>8</v>
      </c>
      <c r="E94" s="4">
        <v>4</v>
      </c>
      <c r="F94" s="4"/>
      <c r="G94" s="4">
        <f t="shared" si="8"/>
        <v>4</v>
      </c>
      <c r="H94" s="5">
        <f t="shared" si="5"/>
        <v>8</v>
      </c>
      <c r="I94" s="16"/>
      <c r="J94" s="17"/>
    </row>
    <row r="95" spans="1:10" x14ac:dyDescent="0.35">
      <c r="A95" s="1" t="s">
        <v>25</v>
      </c>
      <c r="B95" s="1" t="s">
        <v>16</v>
      </c>
      <c r="C95" s="1" t="s">
        <v>8</v>
      </c>
      <c r="D95" s="1" t="s">
        <v>8</v>
      </c>
      <c r="E95" s="4">
        <v>3</v>
      </c>
      <c r="F95" s="4"/>
      <c r="G95" s="4">
        <f t="shared" si="8"/>
        <v>3</v>
      </c>
      <c r="H95" s="5">
        <f t="shared" si="5"/>
        <v>6</v>
      </c>
      <c r="I95" s="16"/>
      <c r="J95" s="17"/>
    </row>
    <row r="96" spans="1:10" x14ac:dyDescent="0.35">
      <c r="A96" s="1" t="s">
        <v>25</v>
      </c>
      <c r="B96" s="1" t="s">
        <v>17</v>
      </c>
      <c r="C96" s="1" t="s">
        <v>10</v>
      </c>
      <c r="D96" s="1" t="s">
        <v>10</v>
      </c>
      <c r="E96" s="4">
        <v>2</v>
      </c>
      <c r="F96" s="4"/>
      <c r="G96" s="4">
        <f t="shared" si="8"/>
        <v>2</v>
      </c>
      <c r="H96" s="5">
        <f t="shared" si="5"/>
        <v>6</v>
      </c>
      <c r="I96" s="16"/>
      <c r="J96" s="17"/>
    </row>
    <row r="97" spans="1:10" x14ac:dyDescent="0.35">
      <c r="A97" s="1" t="s">
        <v>25</v>
      </c>
      <c r="B97" s="1" t="s">
        <v>18</v>
      </c>
      <c r="C97" s="1" t="s">
        <v>9</v>
      </c>
      <c r="D97" s="1" t="s">
        <v>9</v>
      </c>
      <c r="E97" s="4">
        <v>1</v>
      </c>
      <c r="F97" s="4"/>
      <c r="G97" s="4">
        <f t="shared" si="8"/>
        <v>1</v>
      </c>
      <c r="H97" s="5">
        <f t="shared" si="5"/>
        <v>4</v>
      </c>
      <c r="I97" s="16"/>
      <c r="J97" s="17"/>
    </row>
    <row r="98" spans="1:10" x14ac:dyDescent="0.35">
      <c r="A98" s="1" t="s">
        <v>26</v>
      </c>
      <c r="B98" s="1" t="s">
        <v>6</v>
      </c>
      <c r="C98" s="1" t="s">
        <v>13</v>
      </c>
      <c r="D98" s="1" t="s">
        <v>13</v>
      </c>
      <c r="E98" s="4">
        <v>12</v>
      </c>
      <c r="F98" s="4"/>
      <c r="G98" s="4">
        <f t="shared" si="8"/>
        <v>12</v>
      </c>
      <c r="H98" s="5">
        <f t="shared" si="5"/>
        <v>0</v>
      </c>
      <c r="I98" s="16">
        <f t="shared" ref="I98" si="11">SUM(H98:H109)</f>
        <v>95</v>
      </c>
      <c r="J98" s="17">
        <f>I98/$I$1</f>
        <v>6.4102564102564097E-2</v>
      </c>
    </row>
    <row r="99" spans="1:10" x14ac:dyDescent="0.35">
      <c r="A99" s="1" t="s">
        <v>26</v>
      </c>
      <c r="B99" s="1" t="s">
        <v>8</v>
      </c>
      <c r="C99" s="1" t="s">
        <v>6</v>
      </c>
      <c r="D99" s="1" t="s">
        <v>6</v>
      </c>
      <c r="E99" s="4">
        <v>11</v>
      </c>
      <c r="F99" s="4"/>
      <c r="G99" s="4">
        <f t="shared" si="8"/>
        <v>11</v>
      </c>
      <c r="H99" s="5">
        <f t="shared" si="5"/>
        <v>11</v>
      </c>
      <c r="I99" s="16"/>
      <c r="J99" s="17"/>
    </row>
    <row r="100" spans="1:10" x14ac:dyDescent="0.35">
      <c r="A100" s="1" t="s">
        <v>26</v>
      </c>
      <c r="B100" s="1" t="s">
        <v>10</v>
      </c>
      <c r="C100" s="1" t="s">
        <v>13</v>
      </c>
      <c r="D100" s="1" t="s">
        <v>13</v>
      </c>
      <c r="E100" s="4">
        <v>10</v>
      </c>
      <c r="F100" s="4"/>
      <c r="G100" s="4">
        <f t="shared" si="8"/>
        <v>10</v>
      </c>
      <c r="H100" s="5">
        <f t="shared" si="5"/>
        <v>0</v>
      </c>
      <c r="I100" s="16"/>
      <c r="J100" s="17"/>
    </row>
    <row r="101" spans="1:10" x14ac:dyDescent="0.35">
      <c r="A101" s="1" t="s">
        <v>26</v>
      </c>
      <c r="B101" s="1" t="s">
        <v>9</v>
      </c>
      <c r="C101" s="1" t="s">
        <v>8</v>
      </c>
      <c r="D101" s="1" t="s">
        <v>8</v>
      </c>
      <c r="E101" s="4">
        <v>9</v>
      </c>
      <c r="F101" s="4"/>
      <c r="G101" s="4">
        <f t="shared" si="8"/>
        <v>9</v>
      </c>
      <c r="H101" s="5">
        <f t="shared" si="5"/>
        <v>18</v>
      </c>
      <c r="I101" s="16"/>
      <c r="J101" s="17"/>
    </row>
    <row r="102" spans="1:10" x14ac:dyDescent="0.35">
      <c r="A102" s="1" t="s">
        <v>26</v>
      </c>
      <c r="B102" s="1" t="s">
        <v>7</v>
      </c>
      <c r="C102" s="1" t="s">
        <v>13</v>
      </c>
      <c r="D102" s="1" t="s">
        <v>13</v>
      </c>
      <c r="E102" s="4">
        <v>8</v>
      </c>
      <c r="F102" s="4"/>
      <c r="G102" s="4">
        <f t="shared" si="8"/>
        <v>8</v>
      </c>
      <c r="H102" s="5">
        <f t="shared" si="5"/>
        <v>0</v>
      </c>
      <c r="I102" s="16"/>
      <c r="J102" s="17"/>
    </row>
    <row r="103" spans="1:10" x14ac:dyDescent="0.35">
      <c r="A103" s="1" t="s">
        <v>26</v>
      </c>
      <c r="B103" s="1" t="s">
        <v>11</v>
      </c>
      <c r="C103" s="1" t="s">
        <v>9</v>
      </c>
      <c r="D103" s="1" t="s">
        <v>9</v>
      </c>
      <c r="E103" s="4">
        <v>7</v>
      </c>
      <c r="F103" s="4"/>
      <c r="G103" s="4">
        <f t="shared" si="8"/>
        <v>7</v>
      </c>
      <c r="H103" s="5">
        <f t="shared" ref="H103:H145" si="12">G103*C103</f>
        <v>28</v>
      </c>
      <c r="I103" s="16"/>
      <c r="J103" s="17"/>
    </row>
    <row r="104" spans="1:10" x14ac:dyDescent="0.35">
      <c r="A104" s="1" t="s">
        <v>26</v>
      </c>
      <c r="B104" s="1" t="s">
        <v>12</v>
      </c>
      <c r="C104" s="1" t="s">
        <v>6</v>
      </c>
      <c r="D104" s="1" t="s">
        <v>6</v>
      </c>
      <c r="E104" s="4">
        <v>6</v>
      </c>
      <c r="F104" s="4"/>
      <c r="G104" s="4">
        <f t="shared" si="8"/>
        <v>6</v>
      </c>
      <c r="H104" s="5">
        <f t="shared" si="12"/>
        <v>6</v>
      </c>
      <c r="I104" s="16"/>
      <c r="J104" s="17"/>
    </row>
    <row r="105" spans="1:10" x14ac:dyDescent="0.35">
      <c r="A105" s="1" t="s">
        <v>26</v>
      </c>
      <c r="B105" s="1" t="s">
        <v>14</v>
      </c>
      <c r="C105" s="1" t="s">
        <v>6</v>
      </c>
      <c r="D105" s="1" t="s">
        <v>6</v>
      </c>
      <c r="E105" s="4">
        <v>5</v>
      </c>
      <c r="F105" s="4"/>
      <c r="G105" s="4">
        <f t="shared" si="8"/>
        <v>5</v>
      </c>
      <c r="H105" s="5">
        <f t="shared" si="12"/>
        <v>5</v>
      </c>
      <c r="I105" s="16"/>
      <c r="J105" s="17"/>
    </row>
    <row r="106" spans="1:10" x14ac:dyDescent="0.35">
      <c r="A106" s="1" t="s">
        <v>26</v>
      </c>
      <c r="B106" s="1" t="s">
        <v>15</v>
      </c>
      <c r="C106" s="1" t="s">
        <v>10</v>
      </c>
      <c r="D106" s="1" t="s">
        <v>10</v>
      </c>
      <c r="E106" s="4">
        <v>4</v>
      </c>
      <c r="F106" s="4"/>
      <c r="G106" s="4">
        <f t="shared" si="8"/>
        <v>4</v>
      </c>
      <c r="H106" s="5">
        <f t="shared" si="12"/>
        <v>12</v>
      </c>
      <c r="I106" s="16"/>
      <c r="J106" s="17"/>
    </row>
    <row r="107" spans="1:10" x14ac:dyDescent="0.35">
      <c r="A107" s="1" t="s">
        <v>26</v>
      </c>
      <c r="B107" s="1" t="s">
        <v>16</v>
      </c>
      <c r="C107" s="1" t="s">
        <v>10</v>
      </c>
      <c r="D107" s="1" t="s">
        <v>10</v>
      </c>
      <c r="E107" s="4">
        <v>3</v>
      </c>
      <c r="F107" s="4"/>
      <c r="G107" s="4">
        <f t="shared" si="8"/>
        <v>3</v>
      </c>
      <c r="H107" s="5">
        <f t="shared" si="12"/>
        <v>9</v>
      </c>
      <c r="I107" s="16"/>
      <c r="J107" s="17"/>
    </row>
    <row r="108" spans="1:10" x14ac:dyDescent="0.35">
      <c r="A108" s="1" t="s">
        <v>26</v>
      </c>
      <c r="B108" s="1" t="s">
        <v>17</v>
      </c>
      <c r="C108" s="1" t="s">
        <v>8</v>
      </c>
      <c r="D108" s="1" t="s">
        <v>8</v>
      </c>
      <c r="E108" s="4">
        <v>2</v>
      </c>
      <c r="F108" s="4"/>
      <c r="G108" s="4">
        <f t="shared" si="8"/>
        <v>2</v>
      </c>
      <c r="H108" s="5">
        <f t="shared" si="12"/>
        <v>4</v>
      </c>
      <c r="I108" s="16"/>
      <c r="J108" s="17"/>
    </row>
    <row r="109" spans="1:10" x14ac:dyDescent="0.35">
      <c r="A109" s="1" t="s">
        <v>26</v>
      </c>
      <c r="B109" s="1" t="s">
        <v>18</v>
      </c>
      <c r="C109" s="1" t="s">
        <v>8</v>
      </c>
      <c r="D109" s="1" t="s">
        <v>8</v>
      </c>
      <c r="E109" s="4">
        <v>1</v>
      </c>
      <c r="F109" s="4"/>
      <c r="G109" s="4">
        <f t="shared" si="8"/>
        <v>1</v>
      </c>
      <c r="H109" s="5">
        <f t="shared" si="12"/>
        <v>2</v>
      </c>
      <c r="I109" s="16"/>
      <c r="J109" s="17"/>
    </row>
    <row r="110" spans="1:10" x14ac:dyDescent="0.35">
      <c r="A110" s="1" t="s">
        <v>27</v>
      </c>
      <c r="B110" s="1" t="s">
        <v>6</v>
      </c>
      <c r="C110" s="1" t="s">
        <v>13</v>
      </c>
      <c r="D110" s="1" t="s">
        <v>13</v>
      </c>
      <c r="E110" s="4">
        <v>12</v>
      </c>
      <c r="F110" s="4"/>
      <c r="G110" s="4">
        <f t="shared" si="8"/>
        <v>12</v>
      </c>
      <c r="H110" s="5">
        <f t="shared" si="12"/>
        <v>0</v>
      </c>
      <c r="I110" s="16">
        <f t="shared" ref="I110" si="13">SUM(H110:H121)</f>
        <v>102</v>
      </c>
      <c r="J110" s="17">
        <f>I110/$I$1</f>
        <v>6.8825910931174086E-2</v>
      </c>
    </row>
    <row r="111" spans="1:10" x14ac:dyDescent="0.35">
      <c r="A111" s="1" t="s">
        <v>27</v>
      </c>
      <c r="B111" s="1" t="s">
        <v>8</v>
      </c>
      <c r="C111" s="1" t="s">
        <v>8</v>
      </c>
      <c r="D111" s="1" t="s">
        <v>8</v>
      </c>
      <c r="E111" s="4">
        <v>11</v>
      </c>
      <c r="F111" s="4"/>
      <c r="G111" s="4">
        <f t="shared" si="8"/>
        <v>11</v>
      </c>
      <c r="H111" s="5">
        <f t="shared" si="12"/>
        <v>22</v>
      </c>
      <c r="I111" s="16"/>
      <c r="J111" s="17"/>
    </row>
    <row r="112" spans="1:10" x14ac:dyDescent="0.35">
      <c r="A112" s="1" t="s">
        <v>27</v>
      </c>
      <c r="B112" s="1" t="s">
        <v>10</v>
      </c>
      <c r="C112" s="1" t="s">
        <v>6</v>
      </c>
      <c r="D112" s="1" t="s">
        <v>6</v>
      </c>
      <c r="E112" s="4">
        <v>10</v>
      </c>
      <c r="F112" s="4"/>
      <c r="G112" s="4">
        <f t="shared" si="8"/>
        <v>10</v>
      </c>
      <c r="H112" s="5">
        <f t="shared" si="12"/>
        <v>10</v>
      </c>
      <c r="I112" s="16"/>
      <c r="J112" s="17"/>
    </row>
    <row r="113" spans="1:10" x14ac:dyDescent="0.35">
      <c r="A113" s="1" t="s">
        <v>27</v>
      </c>
      <c r="B113" s="1" t="s">
        <v>9</v>
      </c>
      <c r="C113" s="1" t="s">
        <v>8</v>
      </c>
      <c r="D113" s="1" t="s">
        <v>8</v>
      </c>
      <c r="E113" s="4">
        <v>9</v>
      </c>
      <c r="F113" s="4"/>
      <c r="G113" s="4">
        <f t="shared" si="8"/>
        <v>9</v>
      </c>
      <c r="H113" s="5">
        <f t="shared" si="12"/>
        <v>18</v>
      </c>
      <c r="I113" s="16"/>
      <c r="J113" s="17"/>
    </row>
    <row r="114" spans="1:10" x14ac:dyDescent="0.35">
      <c r="A114" s="1" t="s">
        <v>27</v>
      </c>
      <c r="B114" s="1" t="s">
        <v>7</v>
      </c>
      <c r="C114" s="1" t="s">
        <v>8</v>
      </c>
      <c r="D114" s="1" t="s">
        <v>8</v>
      </c>
      <c r="E114" s="4">
        <v>8</v>
      </c>
      <c r="F114" s="4"/>
      <c r="G114" s="4">
        <f t="shared" si="8"/>
        <v>8</v>
      </c>
      <c r="H114" s="5">
        <f t="shared" si="12"/>
        <v>16</v>
      </c>
      <c r="I114" s="16"/>
      <c r="J114" s="17"/>
    </row>
    <row r="115" spans="1:10" x14ac:dyDescent="0.35">
      <c r="A115" s="1" t="s">
        <v>27</v>
      </c>
      <c r="B115" s="1" t="s">
        <v>11</v>
      </c>
      <c r="C115" s="1" t="s">
        <v>6</v>
      </c>
      <c r="D115" s="1" t="s">
        <v>6</v>
      </c>
      <c r="E115" s="4">
        <v>7</v>
      </c>
      <c r="F115" s="4"/>
      <c r="G115" s="4">
        <f t="shared" si="8"/>
        <v>7</v>
      </c>
      <c r="H115" s="5">
        <f t="shared" si="12"/>
        <v>7</v>
      </c>
      <c r="I115" s="16"/>
      <c r="J115" s="17"/>
    </row>
    <row r="116" spans="1:10" x14ac:dyDescent="0.35">
      <c r="A116" s="1" t="s">
        <v>27</v>
      </c>
      <c r="B116" s="1" t="s">
        <v>12</v>
      </c>
      <c r="C116" s="1" t="s">
        <v>13</v>
      </c>
      <c r="D116" s="1" t="s">
        <v>13</v>
      </c>
      <c r="E116" s="4">
        <v>6</v>
      </c>
      <c r="F116" s="4"/>
      <c r="G116" s="4">
        <f t="shared" si="8"/>
        <v>6</v>
      </c>
      <c r="H116" s="5">
        <f t="shared" si="12"/>
        <v>0</v>
      </c>
      <c r="I116" s="16"/>
      <c r="J116" s="17"/>
    </row>
    <row r="117" spans="1:10" x14ac:dyDescent="0.35">
      <c r="A117" s="1" t="s">
        <v>27</v>
      </c>
      <c r="B117" s="1" t="s">
        <v>14</v>
      </c>
      <c r="C117" s="1" t="s">
        <v>6</v>
      </c>
      <c r="D117" s="1" t="s">
        <v>6</v>
      </c>
      <c r="E117" s="4">
        <v>5</v>
      </c>
      <c r="F117" s="4"/>
      <c r="G117" s="4">
        <f t="shared" si="8"/>
        <v>5</v>
      </c>
      <c r="H117" s="5">
        <f t="shared" si="12"/>
        <v>5</v>
      </c>
      <c r="I117" s="16"/>
      <c r="J117" s="17"/>
    </row>
    <row r="118" spans="1:10" x14ac:dyDescent="0.35">
      <c r="A118" s="1" t="s">
        <v>27</v>
      </c>
      <c r="B118" s="1" t="s">
        <v>15</v>
      </c>
      <c r="C118" s="1" t="s">
        <v>13</v>
      </c>
      <c r="D118" s="1" t="s">
        <v>13</v>
      </c>
      <c r="E118" s="4">
        <v>4</v>
      </c>
      <c r="F118" s="4"/>
      <c r="G118" s="4">
        <f t="shared" si="8"/>
        <v>4</v>
      </c>
      <c r="H118" s="5">
        <f t="shared" si="12"/>
        <v>0</v>
      </c>
      <c r="I118" s="16"/>
      <c r="J118" s="17"/>
    </row>
    <row r="119" spans="1:10" x14ac:dyDescent="0.35">
      <c r="A119" s="1" t="s">
        <v>27</v>
      </c>
      <c r="B119" s="1" t="s">
        <v>16</v>
      </c>
      <c r="C119" s="1" t="s">
        <v>9</v>
      </c>
      <c r="D119" s="1" t="s">
        <v>9</v>
      </c>
      <c r="E119" s="4">
        <v>3</v>
      </c>
      <c r="F119" s="4"/>
      <c r="G119" s="4">
        <f t="shared" si="8"/>
        <v>3</v>
      </c>
      <c r="H119" s="5">
        <f t="shared" si="12"/>
        <v>12</v>
      </c>
      <c r="I119" s="16"/>
      <c r="J119" s="17"/>
    </row>
    <row r="120" spans="1:10" x14ac:dyDescent="0.35">
      <c r="A120" s="1" t="s">
        <v>27</v>
      </c>
      <c r="B120" s="1" t="s">
        <v>17</v>
      </c>
      <c r="C120" s="1" t="s">
        <v>11</v>
      </c>
      <c r="D120" s="1" t="s">
        <v>11</v>
      </c>
      <c r="E120" s="4">
        <v>2</v>
      </c>
      <c r="F120" s="4"/>
      <c r="G120" s="4">
        <f t="shared" si="8"/>
        <v>2</v>
      </c>
      <c r="H120" s="5">
        <f t="shared" si="12"/>
        <v>12</v>
      </c>
      <c r="I120" s="16"/>
      <c r="J120" s="17"/>
    </row>
    <row r="121" spans="1:10" x14ac:dyDescent="0.35">
      <c r="A121" s="1" t="s">
        <v>27</v>
      </c>
      <c r="B121" s="1" t="s">
        <v>18</v>
      </c>
      <c r="C121" s="1" t="s">
        <v>13</v>
      </c>
      <c r="D121" s="1" t="s">
        <v>13</v>
      </c>
      <c r="E121" s="4">
        <v>1</v>
      </c>
      <c r="F121" s="4"/>
      <c r="G121" s="4">
        <f t="shared" si="8"/>
        <v>1</v>
      </c>
      <c r="H121" s="5">
        <f t="shared" si="12"/>
        <v>0</v>
      </c>
      <c r="I121" s="16"/>
      <c r="J121" s="17"/>
    </row>
    <row r="122" spans="1:10" x14ac:dyDescent="0.35">
      <c r="A122" s="1" t="s">
        <v>28</v>
      </c>
      <c r="B122" s="1" t="s">
        <v>6</v>
      </c>
      <c r="C122" s="1" t="s">
        <v>13</v>
      </c>
      <c r="D122" s="1" t="s">
        <v>13</v>
      </c>
      <c r="E122" s="4">
        <v>12</v>
      </c>
      <c r="F122" s="4"/>
      <c r="G122" s="4">
        <f t="shared" si="8"/>
        <v>12</v>
      </c>
      <c r="H122" s="5">
        <f t="shared" si="12"/>
        <v>0</v>
      </c>
      <c r="I122" s="16">
        <f t="shared" ref="I122" si="14">SUM(H122:H133)</f>
        <v>99</v>
      </c>
      <c r="J122" s="17">
        <f>I122/$I$1</f>
        <v>6.6801619433198386E-2</v>
      </c>
    </row>
    <row r="123" spans="1:10" x14ac:dyDescent="0.35">
      <c r="A123" s="1" t="s">
        <v>28</v>
      </c>
      <c r="B123" s="1" t="s">
        <v>8</v>
      </c>
      <c r="C123" s="1" t="s">
        <v>13</v>
      </c>
      <c r="D123" s="1" t="s">
        <v>13</v>
      </c>
      <c r="E123" s="4">
        <v>11</v>
      </c>
      <c r="F123" s="4"/>
      <c r="G123" s="4">
        <f t="shared" si="8"/>
        <v>11</v>
      </c>
      <c r="H123" s="5">
        <f t="shared" si="12"/>
        <v>0</v>
      </c>
      <c r="I123" s="16"/>
      <c r="J123" s="17"/>
    </row>
    <row r="124" spans="1:10" x14ac:dyDescent="0.35">
      <c r="A124" s="1" t="s">
        <v>28</v>
      </c>
      <c r="B124" s="1" t="s">
        <v>10</v>
      </c>
      <c r="C124" s="1" t="s">
        <v>10</v>
      </c>
      <c r="D124" s="1" t="s">
        <v>10</v>
      </c>
      <c r="E124" s="4">
        <v>10</v>
      </c>
      <c r="F124" s="4"/>
      <c r="G124" s="4">
        <f t="shared" si="8"/>
        <v>10</v>
      </c>
      <c r="H124" s="5">
        <f t="shared" si="12"/>
        <v>30</v>
      </c>
      <c r="I124" s="16"/>
      <c r="J124" s="17"/>
    </row>
    <row r="125" spans="1:10" x14ac:dyDescent="0.35">
      <c r="A125" s="1" t="s">
        <v>28</v>
      </c>
      <c r="B125" s="1" t="s">
        <v>9</v>
      </c>
      <c r="C125" s="1" t="s">
        <v>13</v>
      </c>
      <c r="D125" s="1" t="s">
        <v>13</v>
      </c>
      <c r="E125" s="4">
        <v>9</v>
      </c>
      <c r="F125" s="4"/>
      <c r="G125" s="4">
        <f t="shared" si="8"/>
        <v>9</v>
      </c>
      <c r="H125" s="5">
        <f t="shared" si="12"/>
        <v>0</v>
      </c>
      <c r="I125" s="16"/>
      <c r="J125" s="17"/>
    </row>
    <row r="126" spans="1:10" x14ac:dyDescent="0.35">
      <c r="A126" s="1" t="s">
        <v>28</v>
      </c>
      <c r="B126" s="1" t="s">
        <v>7</v>
      </c>
      <c r="C126" s="1" t="s">
        <v>8</v>
      </c>
      <c r="D126" s="1" t="s">
        <v>8</v>
      </c>
      <c r="E126" s="4">
        <v>8</v>
      </c>
      <c r="F126" s="4"/>
      <c r="G126" s="4">
        <f t="shared" si="8"/>
        <v>8</v>
      </c>
      <c r="H126" s="5">
        <f t="shared" si="12"/>
        <v>16</v>
      </c>
      <c r="I126" s="16"/>
      <c r="J126" s="17"/>
    </row>
    <row r="127" spans="1:10" x14ac:dyDescent="0.35">
      <c r="A127" s="1" t="s">
        <v>28</v>
      </c>
      <c r="B127" s="1" t="s">
        <v>11</v>
      </c>
      <c r="C127" s="1" t="s">
        <v>6</v>
      </c>
      <c r="D127" s="1" t="s">
        <v>6</v>
      </c>
      <c r="E127" s="4">
        <v>7</v>
      </c>
      <c r="F127" s="4"/>
      <c r="G127" s="4">
        <f t="shared" si="8"/>
        <v>7</v>
      </c>
      <c r="H127" s="5">
        <f t="shared" si="12"/>
        <v>7</v>
      </c>
      <c r="I127" s="16"/>
      <c r="J127" s="17"/>
    </row>
    <row r="128" spans="1:10" x14ac:dyDescent="0.35">
      <c r="A128" s="1" t="s">
        <v>28</v>
      </c>
      <c r="B128" s="1" t="s">
        <v>12</v>
      </c>
      <c r="C128" s="1" t="s">
        <v>10</v>
      </c>
      <c r="D128" s="1" t="s">
        <v>10</v>
      </c>
      <c r="E128" s="4">
        <v>6</v>
      </c>
      <c r="F128" s="4"/>
      <c r="G128" s="4">
        <f t="shared" si="8"/>
        <v>6</v>
      </c>
      <c r="H128" s="5">
        <f t="shared" si="12"/>
        <v>18</v>
      </c>
      <c r="I128" s="16"/>
      <c r="J128" s="17"/>
    </row>
    <row r="129" spans="1:10" x14ac:dyDescent="0.35">
      <c r="A129" s="1" t="s">
        <v>28</v>
      </c>
      <c r="B129" s="1" t="s">
        <v>14</v>
      </c>
      <c r="C129" s="1" t="s">
        <v>8</v>
      </c>
      <c r="D129" s="1" t="s">
        <v>8</v>
      </c>
      <c r="E129" s="4">
        <v>5</v>
      </c>
      <c r="F129" s="4"/>
      <c r="G129" s="4">
        <f t="shared" si="8"/>
        <v>5</v>
      </c>
      <c r="H129" s="5">
        <f t="shared" si="12"/>
        <v>10</v>
      </c>
      <c r="I129" s="16"/>
      <c r="J129" s="17"/>
    </row>
    <row r="130" spans="1:10" x14ac:dyDescent="0.35">
      <c r="A130" s="1" t="s">
        <v>28</v>
      </c>
      <c r="B130" s="1" t="s">
        <v>15</v>
      </c>
      <c r="C130" s="1" t="s">
        <v>8</v>
      </c>
      <c r="D130" s="1" t="s">
        <v>8</v>
      </c>
      <c r="E130" s="4">
        <v>4</v>
      </c>
      <c r="F130" s="4"/>
      <c r="G130" s="4">
        <f t="shared" si="8"/>
        <v>4</v>
      </c>
      <c r="H130" s="5">
        <f t="shared" si="12"/>
        <v>8</v>
      </c>
      <c r="I130" s="16"/>
      <c r="J130" s="17"/>
    </row>
    <row r="131" spans="1:10" x14ac:dyDescent="0.35">
      <c r="A131" s="1" t="s">
        <v>28</v>
      </c>
      <c r="B131" s="1" t="s">
        <v>16</v>
      </c>
      <c r="C131" s="1" t="s">
        <v>6</v>
      </c>
      <c r="D131" s="1" t="s">
        <v>6</v>
      </c>
      <c r="E131" s="4">
        <v>3</v>
      </c>
      <c r="F131" s="4"/>
      <c r="G131" s="4">
        <f t="shared" ref="G131:G145" si="15">IF(C131&gt;=1,E131,0)</f>
        <v>3</v>
      </c>
      <c r="H131" s="5">
        <f t="shared" si="12"/>
        <v>3</v>
      </c>
      <c r="I131" s="16"/>
      <c r="J131" s="17"/>
    </row>
    <row r="132" spans="1:10" x14ac:dyDescent="0.35">
      <c r="A132" s="1" t="s">
        <v>28</v>
      </c>
      <c r="B132" s="1" t="s">
        <v>17</v>
      </c>
      <c r="C132" s="1" t="s">
        <v>8</v>
      </c>
      <c r="D132" s="1" t="s">
        <v>8</v>
      </c>
      <c r="E132" s="4">
        <v>2</v>
      </c>
      <c r="F132" s="4"/>
      <c r="G132" s="4">
        <f t="shared" si="15"/>
        <v>2</v>
      </c>
      <c r="H132" s="5">
        <f t="shared" si="12"/>
        <v>4</v>
      </c>
      <c r="I132" s="16"/>
      <c r="J132" s="17"/>
    </row>
    <row r="133" spans="1:10" x14ac:dyDescent="0.35">
      <c r="A133" s="1" t="s">
        <v>28</v>
      </c>
      <c r="B133" s="1" t="s">
        <v>18</v>
      </c>
      <c r="C133" s="1" t="s">
        <v>10</v>
      </c>
      <c r="D133" s="1" t="s">
        <v>10</v>
      </c>
      <c r="E133" s="4">
        <v>1</v>
      </c>
      <c r="F133" s="4"/>
      <c r="G133" s="4">
        <f t="shared" si="15"/>
        <v>1</v>
      </c>
      <c r="H133" s="5">
        <f t="shared" si="12"/>
        <v>3</v>
      </c>
      <c r="I133" s="16"/>
      <c r="J133" s="17"/>
    </row>
    <row r="134" spans="1:10" x14ac:dyDescent="0.35">
      <c r="A134" s="1" t="s">
        <v>29</v>
      </c>
      <c r="B134" s="1" t="s">
        <v>6</v>
      </c>
      <c r="C134" s="1" t="s">
        <v>13</v>
      </c>
      <c r="D134" s="1" t="s">
        <v>13</v>
      </c>
      <c r="E134" s="4">
        <v>12</v>
      </c>
      <c r="F134" s="4"/>
      <c r="G134" s="4">
        <f t="shared" si="15"/>
        <v>12</v>
      </c>
      <c r="H134" s="5">
        <f t="shared" si="12"/>
        <v>0</v>
      </c>
      <c r="I134" s="16">
        <f t="shared" ref="I134" si="16">SUM(H134:H145)</f>
        <v>54</v>
      </c>
      <c r="J134" s="17">
        <f>I134/$I$1</f>
        <v>3.643724696356275E-2</v>
      </c>
    </row>
    <row r="135" spans="1:10" x14ac:dyDescent="0.35">
      <c r="A135" s="1" t="s">
        <v>29</v>
      </c>
      <c r="B135" s="1" t="s">
        <v>8</v>
      </c>
      <c r="C135" s="1" t="s">
        <v>13</v>
      </c>
      <c r="D135" s="1" t="s">
        <v>13</v>
      </c>
      <c r="E135" s="4">
        <v>11</v>
      </c>
      <c r="F135" s="4"/>
      <c r="G135" s="4">
        <f t="shared" si="15"/>
        <v>11</v>
      </c>
      <c r="H135" s="5">
        <f t="shared" si="12"/>
        <v>0</v>
      </c>
      <c r="I135" s="16"/>
      <c r="J135" s="17"/>
    </row>
    <row r="136" spans="1:10" x14ac:dyDescent="0.35">
      <c r="A136" s="1" t="s">
        <v>29</v>
      </c>
      <c r="B136" s="1" t="s">
        <v>10</v>
      </c>
      <c r="C136" s="1" t="s">
        <v>13</v>
      </c>
      <c r="D136" s="1" t="s">
        <v>13</v>
      </c>
      <c r="E136" s="4">
        <v>10</v>
      </c>
      <c r="F136" s="4"/>
      <c r="G136" s="4">
        <f t="shared" si="15"/>
        <v>10</v>
      </c>
      <c r="H136" s="5">
        <f t="shared" si="12"/>
        <v>0</v>
      </c>
      <c r="I136" s="16"/>
      <c r="J136" s="17"/>
    </row>
    <row r="137" spans="1:10" x14ac:dyDescent="0.35">
      <c r="A137" s="1" t="s">
        <v>29</v>
      </c>
      <c r="B137" s="1" t="s">
        <v>9</v>
      </c>
      <c r="C137" s="1" t="s">
        <v>13</v>
      </c>
      <c r="D137" s="1" t="s">
        <v>13</v>
      </c>
      <c r="E137" s="4">
        <v>9</v>
      </c>
      <c r="F137" s="4"/>
      <c r="G137" s="4">
        <f t="shared" si="15"/>
        <v>9</v>
      </c>
      <c r="H137" s="5">
        <f t="shared" si="12"/>
        <v>0</v>
      </c>
      <c r="I137" s="16"/>
      <c r="J137" s="17"/>
    </row>
    <row r="138" spans="1:10" x14ac:dyDescent="0.35">
      <c r="A138" s="1" t="s">
        <v>29</v>
      </c>
      <c r="B138" s="1" t="s">
        <v>7</v>
      </c>
      <c r="C138" s="1" t="s">
        <v>13</v>
      </c>
      <c r="D138" s="1" t="s">
        <v>13</v>
      </c>
      <c r="E138" s="4">
        <v>8</v>
      </c>
      <c r="F138" s="4"/>
      <c r="G138" s="4">
        <f t="shared" si="15"/>
        <v>8</v>
      </c>
      <c r="H138" s="5">
        <f t="shared" si="12"/>
        <v>0</v>
      </c>
      <c r="I138" s="16"/>
      <c r="J138" s="17"/>
    </row>
    <row r="139" spans="1:10" x14ac:dyDescent="0.35">
      <c r="A139" s="1" t="s">
        <v>29</v>
      </c>
      <c r="B139" s="1" t="s">
        <v>11</v>
      </c>
      <c r="C139" s="1" t="s">
        <v>6</v>
      </c>
      <c r="D139" s="1" t="s">
        <v>6</v>
      </c>
      <c r="E139" s="4">
        <v>7</v>
      </c>
      <c r="F139" s="4"/>
      <c r="G139" s="4">
        <f t="shared" si="15"/>
        <v>7</v>
      </c>
      <c r="H139" s="5">
        <f t="shared" si="12"/>
        <v>7</v>
      </c>
      <c r="I139" s="16"/>
      <c r="J139" s="17"/>
    </row>
    <row r="140" spans="1:10" x14ac:dyDescent="0.35">
      <c r="A140" s="1" t="s">
        <v>29</v>
      </c>
      <c r="B140" s="1" t="s">
        <v>12</v>
      </c>
      <c r="C140" s="1" t="s">
        <v>10</v>
      </c>
      <c r="D140" s="1" t="s">
        <v>10</v>
      </c>
      <c r="E140" s="4">
        <v>6</v>
      </c>
      <c r="F140" s="4"/>
      <c r="G140" s="4">
        <f t="shared" si="15"/>
        <v>6</v>
      </c>
      <c r="H140" s="5">
        <f t="shared" si="12"/>
        <v>18</v>
      </c>
      <c r="I140" s="16"/>
      <c r="J140" s="17"/>
    </row>
    <row r="141" spans="1:10" x14ac:dyDescent="0.35">
      <c r="A141" s="1" t="s">
        <v>29</v>
      </c>
      <c r="B141" s="1" t="s">
        <v>14</v>
      </c>
      <c r="C141" s="1" t="s">
        <v>6</v>
      </c>
      <c r="D141" s="1" t="s">
        <v>6</v>
      </c>
      <c r="E141" s="4">
        <v>5</v>
      </c>
      <c r="F141" s="4"/>
      <c r="G141" s="4">
        <f t="shared" si="15"/>
        <v>5</v>
      </c>
      <c r="H141" s="5">
        <f t="shared" si="12"/>
        <v>5</v>
      </c>
      <c r="I141" s="16"/>
      <c r="J141" s="17"/>
    </row>
    <row r="142" spans="1:10" x14ac:dyDescent="0.35">
      <c r="A142" s="1" t="s">
        <v>29</v>
      </c>
      <c r="B142" s="1" t="s">
        <v>15</v>
      </c>
      <c r="C142" s="1" t="s">
        <v>6</v>
      </c>
      <c r="D142" s="1" t="s">
        <v>6</v>
      </c>
      <c r="E142" s="4">
        <v>4</v>
      </c>
      <c r="F142" s="4"/>
      <c r="G142" s="4">
        <f t="shared" si="15"/>
        <v>4</v>
      </c>
      <c r="H142" s="5">
        <f t="shared" si="12"/>
        <v>4</v>
      </c>
      <c r="I142" s="16"/>
      <c r="J142" s="17"/>
    </row>
    <row r="143" spans="1:10" x14ac:dyDescent="0.35">
      <c r="A143" s="1" t="s">
        <v>29</v>
      </c>
      <c r="B143" s="1" t="s">
        <v>16</v>
      </c>
      <c r="C143" s="1" t="s">
        <v>8</v>
      </c>
      <c r="D143" s="1" t="s">
        <v>8</v>
      </c>
      <c r="E143" s="4">
        <v>3</v>
      </c>
      <c r="F143" s="4"/>
      <c r="G143" s="4">
        <f t="shared" si="15"/>
        <v>3</v>
      </c>
      <c r="H143" s="5">
        <f t="shared" si="12"/>
        <v>6</v>
      </c>
      <c r="I143" s="16"/>
      <c r="J143" s="17"/>
    </row>
    <row r="144" spans="1:10" x14ac:dyDescent="0.35">
      <c r="A144" s="1" t="s">
        <v>29</v>
      </c>
      <c r="B144" s="1" t="s">
        <v>17</v>
      </c>
      <c r="C144" s="1" t="s">
        <v>10</v>
      </c>
      <c r="D144" s="1" t="s">
        <v>10</v>
      </c>
      <c r="E144" s="4">
        <v>2</v>
      </c>
      <c r="F144" s="4"/>
      <c r="G144" s="4">
        <f t="shared" si="15"/>
        <v>2</v>
      </c>
      <c r="H144" s="5">
        <f t="shared" si="12"/>
        <v>6</v>
      </c>
      <c r="I144" s="16"/>
      <c r="J144" s="17"/>
    </row>
    <row r="145" spans="1:10" x14ac:dyDescent="0.35">
      <c r="A145" s="1" t="s">
        <v>29</v>
      </c>
      <c r="B145" s="1" t="s">
        <v>18</v>
      </c>
      <c r="C145" s="1" t="s">
        <v>14</v>
      </c>
      <c r="D145" s="1" t="s">
        <v>14</v>
      </c>
      <c r="E145" s="4">
        <v>1</v>
      </c>
      <c r="F145" s="4"/>
      <c r="G145" s="4">
        <f t="shared" si="15"/>
        <v>1</v>
      </c>
      <c r="H145" s="5">
        <f t="shared" si="12"/>
        <v>8</v>
      </c>
      <c r="I145" s="16"/>
      <c r="J145" s="17"/>
    </row>
    <row r="147" spans="1:10" x14ac:dyDescent="0.35">
      <c r="J147" s="7">
        <f>SUM(J2:J145)</f>
        <v>1</v>
      </c>
    </row>
  </sheetData>
  <autoFilter ref="A1:L145" xr:uid="{00000000-0001-0000-0000-000000000000}"/>
  <mergeCells count="24">
    <mergeCell ref="I110:I121"/>
    <mergeCell ref="J110:J121"/>
    <mergeCell ref="I122:I133"/>
    <mergeCell ref="J122:J133"/>
    <mergeCell ref="I134:I145"/>
    <mergeCell ref="J134:J145"/>
    <mergeCell ref="I74:I85"/>
    <mergeCell ref="J74:J85"/>
    <mergeCell ref="I86:I97"/>
    <mergeCell ref="J86:J97"/>
    <mergeCell ref="I98:I109"/>
    <mergeCell ref="J98:J109"/>
    <mergeCell ref="I38:I49"/>
    <mergeCell ref="J38:J49"/>
    <mergeCell ref="I50:I61"/>
    <mergeCell ref="J50:J61"/>
    <mergeCell ref="I62:I73"/>
    <mergeCell ref="J62:J73"/>
    <mergeCell ref="I2:I13"/>
    <mergeCell ref="J2:J13"/>
    <mergeCell ref="I14:I25"/>
    <mergeCell ref="J14:J25"/>
    <mergeCell ref="I26:I37"/>
    <mergeCell ref="J26:J37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9042C-A213-476C-A6D9-981999D88832}">
  <dimension ref="A1:J5"/>
  <sheetViews>
    <sheetView zoomScale="85" zoomScaleNormal="85" workbookViewId="0">
      <selection activeCell="H2" sqref="H2"/>
    </sheetView>
  </sheetViews>
  <sheetFormatPr baseColWidth="10" defaultColWidth="31.1796875" defaultRowHeight="14.5" x14ac:dyDescent="0.35"/>
  <cols>
    <col min="1" max="1" width="60.1796875" bestFit="1" customWidth="1"/>
    <col min="2" max="2" width="13.81640625" bestFit="1" customWidth="1"/>
    <col min="3" max="3" width="9" bestFit="1" customWidth="1"/>
    <col min="4" max="4" width="6" customWidth="1"/>
    <col min="5" max="5" width="10.453125" bestFit="1" customWidth="1"/>
    <col min="6" max="6" width="6.26953125" customWidth="1"/>
    <col min="7" max="7" width="17" bestFit="1" customWidth="1"/>
    <col min="8" max="8" width="8.26953125" customWidth="1"/>
    <col min="9" max="9" width="3.81640625" bestFit="1" customWidth="1"/>
    <col min="10" max="10" width="7.81640625" bestFit="1" customWidth="1"/>
  </cols>
  <sheetData>
    <row r="1" spans="1:10" x14ac:dyDescent="0.35">
      <c r="A1" s="2" t="s">
        <v>0</v>
      </c>
      <c r="B1" s="3" t="s">
        <v>1</v>
      </c>
      <c r="C1" s="3" t="s">
        <v>2</v>
      </c>
      <c r="D1" s="3"/>
      <c r="E1" s="3" t="s">
        <v>3</v>
      </c>
      <c r="F1" s="4"/>
      <c r="G1" s="4" t="s">
        <v>4</v>
      </c>
      <c r="H1" s="6">
        <f>SUM(C2:C5)</f>
        <v>0</v>
      </c>
      <c r="I1" s="6">
        <f>SUM(I2:I5)</f>
        <v>39</v>
      </c>
    </row>
    <row r="2" spans="1:10" x14ac:dyDescent="0.35">
      <c r="A2" t="s">
        <v>30</v>
      </c>
      <c r="B2" t="s">
        <v>6</v>
      </c>
      <c r="C2" t="s">
        <v>14</v>
      </c>
      <c r="E2" s="4">
        <v>2</v>
      </c>
      <c r="F2" s="4"/>
      <c r="G2" s="4">
        <f>IF(C2&gt;=1,E2,0)</f>
        <v>2</v>
      </c>
      <c r="H2" s="5">
        <f>G2*C2</f>
        <v>16</v>
      </c>
      <c r="I2" s="18">
        <f>SUM(H2:H3)</f>
        <v>21</v>
      </c>
      <c r="J2" s="20">
        <f>I2/$I$1</f>
        <v>0.53846153846153844</v>
      </c>
    </row>
    <row r="3" spans="1:10" x14ac:dyDescent="0.35">
      <c r="A3" t="s">
        <v>30</v>
      </c>
      <c r="B3" t="s">
        <v>8</v>
      </c>
      <c r="C3" t="s">
        <v>7</v>
      </c>
      <c r="E3" s="4">
        <v>1</v>
      </c>
      <c r="F3" s="4"/>
      <c r="G3" s="4">
        <f>IF(C3&gt;=1,E3,0)</f>
        <v>1</v>
      </c>
      <c r="H3" s="5">
        <f>G3*C3</f>
        <v>5</v>
      </c>
      <c r="I3" s="19"/>
      <c r="J3" s="21"/>
    </row>
    <row r="4" spans="1:10" x14ac:dyDescent="0.35">
      <c r="A4" t="s">
        <v>31</v>
      </c>
      <c r="B4" t="s">
        <v>6</v>
      </c>
      <c r="C4" t="s">
        <v>7</v>
      </c>
      <c r="E4" s="4">
        <v>2</v>
      </c>
      <c r="F4" s="4"/>
      <c r="G4" s="4">
        <f>IF(C4&gt;=1,E4,0)</f>
        <v>2</v>
      </c>
      <c r="H4" s="5">
        <f>G4*C4</f>
        <v>10</v>
      </c>
      <c r="I4" s="18">
        <f>SUM(H4:H5)</f>
        <v>18</v>
      </c>
      <c r="J4" s="20">
        <f>I4/$I$1</f>
        <v>0.46153846153846156</v>
      </c>
    </row>
    <row r="5" spans="1:10" x14ac:dyDescent="0.35">
      <c r="A5" t="s">
        <v>31</v>
      </c>
      <c r="B5" t="s">
        <v>8</v>
      </c>
      <c r="C5" t="s">
        <v>14</v>
      </c>
      <c r="E5" s="4">
        <v>1</v>
      </c>
      <c r="F5" s="4"/>
      <c r="G5" s="4">
        <f>IF(C5&gt;=1,E5,0)</f>
        <v>1</v>
      </c>
      <c r="H5" s="5">
        <f>G5*C5</f>
        <v>8</v>
      </c>
      <c r="I5" s="19"/>
      <c r="J5" s="21"/>
    </row>
  </sheetData>
  <mergeCells count="4">
    <mergeCell ref="I2:I3"/>
    <mergeCell ref="I4:I5"/>
    <mergeCell ref="J2:J3"/>
    <mergeCell ref="J4: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507A-57C9-4E11-BCE6-E7CAAF28F391}">
  <sheetPr filterMode="1"/>
  <dimension ref="A1:J26"/>
  <sheetViews>
    <sheetView workbookViewId="0">
      <selection activeCell="J7" sqref="J7:J11"/>
    </sheetView>
  </sheetViews>
  <sheetFormatPr baseColWidth="10" defaultColWidth="11.453125" defaultRowHeight="14.5" x14ac:dyDescent="0.35"/>
  <cols>
    <col min="1" max="1" width="43.453125" bestFit="1" customWidth="1"/>
    <col min="2" max="2" width="8.54296875" bestFit="1" customWidth="1"/>
    <col min="3" max="3" width="9" bestFit="1" customWidth="1"/>
    <col min="5" max="5" width="10.453125" bestFit="1" customWidth="1"/>
    <col min="7" max="7" width="17" bestFit="1" customWidth="1"/>
    <col min="8" max="8" width="2.81640625" bestFit="1" customWidth="1"/>
    <col min="9" max="9" width="3.81640625" bestFit="1" customWidth="1"/>
    <col min="10" max="10" width="6.81640625" bestFit="1" customWidth="1"/>
  </cols>
  <sheetData>
    <row r="1" spans="1:10" ht="29" x14ac:dyDescent="0.35">
      <c r="A1" s="2" t="s">
        <v>0</v>
      </c>
      <c r="B1" s="3" t="s">
        <v>1</v>
      </c>
      <c r="C1" s="3" t="s">
        <v>2</v>
      </c>
      <c r="D1" s="3"/>
      <c r="E1" s="3" t="s">
        <v>3</v>
      </c>
      <c r="F1" s="4"/>
      <c r="G1" s="4" t="s">
        <v>4</v>
      </c>
      <c r="H1" s="6">
        <f>SUM(C2:C6)</f>
        <v>0</v>
      </c>
      <c r="I1" s="6">
        <f>SUM(I2:I26)</f>
        <v>172</v>
      </c>
      <c r="J1" s="5"/>
    </row>
    <row r="2" spans="1:10" x14ac:dyDescent="0.35">
      <c r="A2" s="5" t="s">
        <v>32</v>
      </c>
      <c r="B2" s="5" t="s">
        <v>6</v>
      </c>
      <c r="C2" s="5" t="s">
        <v>7</v>
      </c>
      <c r="D2" s="5"/>
      <c r="E2" s="4">
        <v>5</v>
      </c>
      <c r="F2" s="4"/>
      <c r="G2" s="4">
        <f t="shared" ref="G2:G26" si="0">IF(C2&gt;=1,E2,0)</f>
        <v>5</v>
      </c>
      <c r="H2" s="5">
        <f t="shared" ref="H2:H26" si="1">G2*C2</f>
        <v>25</v>
      </c>
      <c r="I2" s="16">
        <f>SUM(H2:H6)</f>
        <v>57</v>
      </c>
      <c r="J2" s="17">
        <f>I2/$I$1</f>
        <v>0.33139534883720928</v>
      </c>
    </row>
    <row r="3" spans="1:10" hidden="1" x14ac:dyDescent="0.35">
      <c r="A3" s="5" t="s">
        <v>32</v>
      </c>
      <c r="B3" s="5" t="s">
        <v>8</v>
      </c>
      <c r="C3" s="5" t="s">
        <v>9</v>
      </c>
      <c r="D3" s="5"/>
      <c r="E3" s="4">
        <v>4</v>
      </c>
      <c r="F3" s="4"/>
      <c r="G3" s="4">
        <f t="shared" si="0"/>
        <v>4</v>
      </c>
      <c r="H3" s="5">
        <f t="shared" si="1"/>
        <v>16</v>
      </c>
      <c r="I3" s="16"/>
      <c r="J3" s="17"/>
    </row>
    <row r="4" spans="1:10" hidden="1" x14ac:dyDescent="0.35">
      <c r="A4" s="5" t="s">
        <v>32</v>
      </c>
      <c r="B4" s="5" t="s">
        <v>10</v>
      </c>
      <c r="C4" s="5" t="s">
        <v>10</v>
      </c>
      <c r="D4" s="5"/>
      <c r="E4" s="4">
        <v>3</v>
      </c>
      <c r="F4" s="4"/>
      <c r="G4" s="4">
        <f t="shared" si="0"/>
        <v>3</v>
      </c>
      <c r="H4" s="5">
        <f t="shared" si="1"/>
        <v>9</v>
      </c>
      <c r="I4" s="16"/>
      <c r="J4" s="17"/>
    </row>
    <row r="5" spans="1:10" hidden="1" x14ac:dyDescent="0.35">
      <c r="A5" s="5" t="s">
        <v>32</v>
      </c>
      <c r="B5" s="5" t="s">
        <v>9</v>
      </c>
      <c r="C5" s="5" t="s">
        <v>8</v>
      </c>
      <c r="D5" s="5"/>
      <c r="E5" s="4">
        <v>2</v>
      </c>
      <c r="F5" s="4"/>
      <c r="G5" s="4">
        <f t="shared" si="0"/>
        <v>2</v>
      </c>
      <c r="H5" s="5">
        <f t="shared" si="1"/>
        <v>4</v>
      </c>
      <c r="I5" s="16"/>
      <c r="J5" s="17"/>
    </row>
    <row r="6" spans="1:10" hidden="1" x14ac:dyDescent="0.35">
      <c r="A6" s="5" t="s">
        <v>32</v>
      </c>
      <c r="B6" s="5" t="s">
        <v>7</v>
      </c>
      <c r="C6" s="5" t="s">
        <v>10</v>
      </c>
      <c r="D6" s="5"/>
      <c r="E6" s="4">
        <v>1</v>
      </c>
      <c r="F6" s="5"/>
      <c r="G6" s="4">
        <f t="shared" si="0"/>
        <v>1</v>
      </c>
      <c r="H6" s="5">
        <f t="shared" si="1"/>
        <v>3</v>
      </c>
      <c r="I6" s="16"/>
      <c r="J6" s="17"/>
    </row>
    <row r="7" spans="1:10" x14ac:dyDescent="0.35">
      <c r="A7" s="5" t="s">
        <v>33</v>
      </c>
      <c r="B7" s="5" t="s">
        <v>6</v>
      </c>
      <c r="C7" s="5" t="s">
        <v>10</v>
      </c>
      <c r="D7" s="5"/>
      <c r="E7" s="4">
        <v>3</v>
      </c>
      <c r="F7" s="5"/>
      <c r="G7" s="4">
        <f t="shared" si="0"/>
        <v>3</v>
      </c>
      <c r="H7" s="5">
        <f t="shared" si="1"/>
        <v>9</v>
      </c>
      <c r="I7" s="16">
        <f>SUM(H7:H10)</f>
        <v>31</v>
      </c>
      <c r="J7" s="17">
        <f>I7/$I$1</f>
        <v>0.18023255813953487</v>
      </c>
    </row>
    <row r="8" spans="1:10" hidden="1" x14ac:dyDescent="0.35">
      <c r="A8" s="5" t="s">
        <v>33</v>
      </c>
      <c r="B8" s="5" t="s">
        <v>8</v>
      </c>
      <c r="C8" s="5" t="s">
        <v>10</v>
      </c>
      <c r="D8" s="5"/>
      <c r="E8" s="4">
        <v>2</v>
      </c>
      <c r="F8" s="5"/>
      <c r="G8" s="4">
        <f t="shared" si="0"/>
        <v>2</v>
      </c>
      <c r="H8" s="5">
        <f t="shared" si="1"/>
        <v>6</v>
      </c>
      <c r="I8" s="16"/>
      <c r="J8" s="17"/>
    </row>
    <row r="9" spans="1:10" hidden="1" x14ac:dyDescent="0.35">
      <c r="A9" s="5" t="s">
        <v>33</v>
      </c>
      <c r="B9" s="5" t="s">
        <v>10</v>
      </c>
      <c r="C9" s="5" t="s">
        <v>14</v>
      </c>
      <c r="D9" s="5"/>
      <c r="E9" s="4">
        <v>1</v>
      </c>
      <c r="F9" s="5"/>
      <c r="G9" s="4">
        <f t="shared" si="0"/>
        <v>1</v>
      </c>
      <c r="H9" s="5">
        <f t="shared" si="1"/>
        <v>8</v>
      </c>
      <c r="I9" s="16"/>
      <c r="J9" s="17"/>
    </row>
    <row r="10" spans="1:10" hidden="1" x14ac:dyDescent="0.35">
      <c r="A10" s="5" t="s">
        <v>33</v>
      </c>
      <c r="B10" s="5" t="s">
        <v>9</v>
      </c>
      <c r="C10" s="5" t="s">
        <v>8</v>
      </c>
      <c r="D10" s="5"/>
      <c r="E10" s="4">
        <v>4</v>
      </c>
      <c r="F10" s="5"/>
      <c r="G10" s="4">
        <f t="shared" si="0"/>
        <v>4</v>
      </c>
      <c r="H10" s="5">
        <f t="shared" si="1"/>
        <v>8</v>
      </c>
      <c r="I10" s="16"/>
      <c r="J10" s="17"/>
    </row>
    <row r="11" spans="1:10" hidden="1" x14ac:dyDescent="0.35">
      <c r="A11" s="5" t="s">
        <v>33</v>
      </c>
      <c r="B11" s="5" t="s">
        <v>7</v>
      </c>
      <c r="C11" s="5" t="s">
        <v>6</v>
      </c>
      <c r="D11" s="5"/>
      <c r="E11" s="4">
        <v>3</v>
      </c>
      <c r="F11" s="5"/>
      <c r="G11" s="4">
        <f t="shared" si="0"/>
        <v>3</v>
      </c>
      <c r="H11" s="5">
        <f t="shared" si="1"/>
        <v>3</v>
      </c>
      <c r="I11" s="16"/>
      <c r="J11" s="17"/>
    </row>
    <row r="12" spans="1:10" x14ac:dyDescent="0.35">
      <c r="A12" s="5" t="s">
        <v>34</v>
      </c>
      <c r="B12" s="5" t="s">
        <v>6</v>
      </c>
      <c r="C12" s="5" t="s">
        <v>13</v>
      </c>
      <c r="D12" s="5"/>
      <c r="E12" s="4">
        <v>2</v>
      </c>
      <c r="F12" s="5"/>
      <c r="G12" s="4">
        <f t="shared" si="0"/>
        <v>2</v>
      </c>
      <c r="H12" s="5">
        <f t="shared" si="1"/>
        <v>0</v>
      </c>
      <c r="I12" s="16">
        <f>SUM(H12:H15)</f>
        <v>33</v>
      </c>
      <c r="J12" s="17">
        <f>I12/$I$1</f>
        <v>0.19186046511627908</v>
      </c>
    </row>
    <row r="13" spans="1:10" hidden="1" x14ac:dyDescent="0.35">
      <c r="A13" s="5" t="s">
        <v>34</v>
      </c>
      <c r="B13" s="5" t="s">
        <v>8</v>
      </c>
      <c r="C13" s="5" t="s">
        <v>9</v>
      </c>
      <c r="D13" s="5"/>
      <c r="E13" s="4">
        <v>1</v>
      </c>
      <c r="F13" s="5"/>
      <c r="G13" s="4">
        <f t="shared" si="0"/>
        <v>1</v>
      </c>
      <c r="H13" s="5">
        <f t="shared" si="1"/>
        <v>4</v>
      </c>
      <c r="I13" s="16"/>
      <c r="J13" s="17"/>
    </row>
    <row r="14" spans="1:10" hidden="1" x14ac:dyDescent="0.35">
      <c r="A14" s="5" t="s">
        <v>34</v>
      </c>
      <c r="B14" s="5" t="s">
        <v>10</v>
      </c>
      <c r="C14" s="5" t="s">
        <v>7</v>
      </c>
      <c r="D14" s="5"/>
      <c r="E14" s="4">
        <v>4</v>
      </c>
      <c r="F14" s="5"/>
      <c r="G14" s="4">
        <f t="shared" si="0"/>
        <v>4</v>
      </c>
      <c r="H14" s="5">
        <f t="shared" si="1"/>
        <v>20</v>
      </c>
      <c r="I14" s="16"/>
      <c r="J14" s="17"/>
    </row>
    <row r="15" spans="1:10" hidden="1" x14ac:dyDescent="0.35">
      <c r="A15" s="5" t="s">
        <v>34</v>
      </c>
      <c r="B15" s="5" t="s">
        <v>9</v>
      </c>
      <c r="C15" s="5" t="s">
        <v>10</v>
      </c>
      <c r="D15" s="5"/>
      <c r="E15" s="4">
        <v>3</v>
      </c>
      <c r="F15" s="5"/>
      <c r="G15" s="4">
        <f t="shared" si="0"/>
        <v>3</v>
      </c>
      <c r="H15" s="5">
        <f t="shared" si="1"/>
        <v>9</v>
      </c>
      <c r="I15" s="16"/>
      <c r="J15" s="17"/>
    </row>
    <row r="16" spans="1:10" hidden="1" x14ac:dyDescent="0.35">
      <c r="A16" s="5" t="s">
        <v>34</v>
      </c>
      <c r="B16" s="5" t="s">
        <v>7</v>
      </c>
      <c r="C16" s="5" t="s">
        <v>7</v>
      </c>
      <c r="D16" s="5"/>
      <c r="E16" s="4">
        <v>2</v>
      </c>
      <c r="F16" s="5"/>
      <c r="G16" s="4">
        <f t="shared" si="0"/>
        <v>2</v>
      </c>
      <c r="H16" s="5">
        <f t="shared" si="1"/>
        <v>10</v>
      </c>
      <c r="I16" s="16"/>
      <c r="J16" s="17"/>
    </row>
    <row r="17" spans="1:10" x14ac:dyDescent="0.35">
      <c r="A17" s="5" t="s">
        <v>35</v>
      </c>
      <c r="B17" s="5" t="s">
        <v>6</v>
      </c>
      <c r="C17" s="5" t="s">
        <v>12</v>
      </c>
      <c r="D17" s="5"/>
      <c r="E17" s="4">
        <v>1</v>
      </c>
      <c r="F17" s="5"/>
      <c r="G17" s="4">
        <f t="shared" si="0"/>
        <v>1</v>
      </c>
      <c r="H17" s="5">
        <f t="shared" si="1"/>
        <v>7</v>
      </c>
      <c r="I17" s="16">
        <f>SUM(H17:H20)</f>
        <v>23</v>
      </c>
      <c r="J17" s="17">
        <f>I17/$I$1</f>
        <v>0.13372093023255813</v>
      </c>
    </row>
    <row r="18" spans="1:10" hidden="1" x14ac:dyDescent="0.35">
      <c r="A18" s="5" t="s">
        <v>35</v>
      </c>
      <c r="B18" s="5" t="s">
        <v>8</v>
      </c>
      <c r="C18" s="5" t="s">
        <v>8</v>
      </c>
      <c r="D18" s="5"/>
      <c r="E18" s="4">
        <v>4</v>
      </c>
      <c r="F18" s="5"/>
      <c r="G18" s="4">
        <f t="shared" si="0"/>
        <v>4</v>
      </c>
      <c r="H18" s="5">
        <f t="shared" si="1"/>
        <v>8</v>
      </c>
      <c r="I18" s="16"/>
      <c r="J18" s="17"/>
    </row>
    <row r="19" spans="1:10" hidden="1" x14ac:dyDescent="0.35">
      <c r="A19" s="5" t="s">
        <v>35</v>
      </c>
      <c r="B19" s="5" t="s">
        <v>10</v>
      </c>
      <c r="C19" s="5" t="s">
        <v>13</v>
      </c>
      <c r="D19" s="5"/>
      <c r="E19" s="4">
        <v>3</v>
      </c>
      <c r="F19" s="5"/>
      <c r="G19" s="4">
        <f t="shared" si="0"/>
        <v>3</v>
      </c>
      <c r="H19" s="5">
        <f t="shared" si="1"/>
        <v>0</v>
      </c>
      <c r="I19" s="16"/>
      <c r="J19" s="17"/>
    </row>
    <row r="20" spans="1:10" hidden="1" x14ac:dyDescent="0.35">
      <c r="A20" s="5" t="s">
        <v>35</v>
      </c>
      <c r="B20" s="5" t="s">
        <v>9</v>
      </c>
      <c r="C20" s="5" t="s">
        <v>9</v>
      </c>
      <c r="D20" s="5"/>
      <c r="E20" s="4">
        <v>2</v>
      </c>
      <c r="F20" s="5"/>
      <c r="G20" s="4">
        <f t="shared" si="0"/>
        <v>2</v>
      </c>
      <c r="H20" s="5">
        <f t="shared" si="1"/>
        <v>8</v>
      </c>
      <c r="I20" s="16"/>
      <c r="J20" s="17"/>
    </row>
    <row r="21" spans="1:10" hidden="1" x14ac:dyDescent="0.35">
      <c r="A21" s="5" t="s">
        <v>35</v>
      </c>
      <c r="B21" s="5" t="s">
        <v>7</v>
      </c>
      <c r="C21" s="5" t="s">
        <v>9</v>
      </c>
      <c r="D21" s="5"/>
      <c r="E21" s="4">
        <v>1</v>
      </c>
      <c r="F21" s="5"/>
      <c r="G21" s="4">
        <f t="shared" si="0"/>
        <v>1</v>
      </c>
      <c r="H21" s="5">
        <f t="shared" si="1"/>
        <v>4</v>
      </c>
      <c r="I21" s="16"/>
      <c r="J21" s="17"/>
    </row>
    <row r="22" spans="1:10" x14ac:dyDescent="0.35">
      <c r="A22" s="5" t="s">
        <v>36</v>
      </c>
      <c r="B22" s="5" t="s">
        <v>6</v>
      </c>
      <c r="C22" s="5" t="s">
        <v>8</v>
      </c>
      <c r="D22" s="5"/>
      <c r="E22" s="4">
        <v>4</v>
      </c>
      <c r="F22" s="5"/>
      <c r="G22" s="4">
        <f t="shared" si="0"/>
        <v>4</v>
      </c>
      <c r="H22" s="5">
        <f t="shared" si="1"/>
        <v>8</v>
      </c>
      <c r="I22" s="16">
        <f>SUM(H22:H25)</f>
        <v>28</v>
      </c>
      <c r="J22" s="17">
        <f>I22/$I$1</f>
        <v>0.16279069767441862</v>
      </c>
    </row>
    <row r="23" spans="1:10" hidden="1" x14ac:dyDescent="0.35">
      <c r="A23" s="5" t="s">
        <v>36</v>
      </c>
      <c r="B23" s="5" t="s">
        <v>8</v>
      </c>
      <c r="C23" s="5" t="s">
        <v>9</v>
      </c>
      <c r="D23" s="5"/>
      <c r="E23" s="4">
        <v>3</v>
      </c>
      <c r="F23" s="5"/>
      <c r="G23" s="4">
        <f t="shared" si="0"/>
        <v>3</v>
      </c>
      <c r="H23" s="5">
        <f t="shared" si="1"/>
        <v>12</v>
      </c>
      <c r="I23" s="16"/>
      <c r="J23" s="17"/>
    </row>
    <row r="24" spans="1:10" hidden="1" x14ac:dyDescent="0.35">
      <c r="A24" s="5" t="s">
        <v>36</v>
      </c>
      <c r="B24" s="5" t="s">
        <v>10</v>
      </c>
      <c r="C24" s="5" t="s">
        <v>6</v>
      </c>
      <c r="D24" s="5"/>
      <c r="E24" s="4">
        <v>2</v>
      </c>
      <c r="F24" s="5"/>
      <c r="G24" s="4">
        <f t="shared" si="0"/>
        <v>2</v>
      </c>
      <c r="H24" s="5">
        <f t="shared" si="1"/>
        <v>2</v>
      </c>
      <c r="I24" s="16"/>
      <c r="J24" s="17"/>
    </row>
    <row r="25" spans="1:10" hidden="1" x14ac:dyDescent="0.35">
      <c r="A25" s="5" t="s">
        <v>36</v>
      </c>
      <c r="B25" s="5" t="s">
        <v>9</v>
      </c>
      <c r="C25" s="5" t="s">
        <v>11</v>
      </c>
      <c r="D25" s="5"/>
      <c r="E25" s="4">
        <v>1</v>
      </c>
      <c r="F25" s="5"/>
      <c r="G25" s="4">
        <f t="shared" si="0"/>
        <v>1</v>
      </c>
      <c r="H25" s="5">
        <f t="shared" si="1"/>
        <v>6</v>
      </c>
      <c r="I25" s="16"/>
      <c r="J25" s="17"/>
    </row>
    <row r="26" spans="1:10" hidden="1" x14ac:dyDescent="0.35">
      <c r="A26" s="5" t="s">
        <v>36</v>
      </c>
      <c r="B26" s="5" t="s">
        <v>7</v>
      </c>
      <c r="C26" s="5" t="s">
        <v>9</v>
      </c>
      <c r="D26" s="5"/>
      <c r="E26" s="4">
        <v>4</v>
      </c>
      <c r="F26" s="5"/>
      <c r="G26" s="4">
        <f t="shared" si="0"/>
        <v>4</v>
      </c>
      <c r="H26" s="5">
        <f t="shared" si="1"/>
        <v>16</v>
      </c>
      <c r="I26" s="16"/>
      <c r="J26" s="17"/>
    </row>
  </sheetData>
  <autoFilter ref="A1:J26" xr:uid="{4299507A-57C9-4E11-BCE6-E7CAAF28F391}">
    <filterColumn colId="1">
      <filters>
        <filter val="1"/>
      </filters>
    </filterColumn>
  </autoFilter>
  <mergeCells count="10">
    <mergeCell ref="I2:I6"/>
    <mergeCell ref="J2:J6"/>
    <mergeCell ref="I7:I11"/>
    <mergeCell ref="J7:J11"/>
    <mergeCell ref="I22:I26"/>
    <mergeCell ref="J22:J26"/>
    <mergeCell ref="I12:I16"/>
    <mergeCell ref="J12:J16"/>
    <mergeCell ref="I17:I21"/>
    <mergeCell ref="J17:J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3CF63-4B50-456C-80E8-59AD7A0F44D3}">
  <sheetPr filterMode="1"/>
  <dimension ref="A1:J65"/>
  <sheetViews>
    <sheetView workbookViewId="0">
      <selection activeCell="F2" sqref="F2"/>
    </sheetView>
  </sheetViews>
  <sheetFormatPr baseColWidth="10" defaultColWidth="11.453125" defaultRowHeight="14.5" x14ac:dyDescent="0.35"/>
  <cols>
    <col min="1" max="1" width="58.453125" bestFit="1" customWidth="1"/>
  </cols>
  <sheetData>
    <row r="1" spans="1:10" ht="29" x14ac:dyDescent="0.35">
      <c r="A1" s="2" t="s">
        <v>0</v>
      </c>
      <c r="B1" s="3" t="s">
        <v>1</v>
      </c>
      <c r="C1" s="3" t="s">
        <v>2</v>
      </c>
      <c r="D1" s="3"/>
      <c r="E1" s="3" t="s">
        <v>3</v>
      </c>
      <c r="F1" s="4"/>
      <c r="G1" s="4" t="s">
        <v>4</v>
      </c>
      <c r="H1" s="6">
        <f>SUM(C2:C9)</f>
        <v>0</v>
      </c>
      <c r="I1" s="6">
        <f>SUM(I2:I65)</f>
        <v>648</v>
      </c>
      <c r="J1" s="5"/>
    </row>
    <row r="2" spans="1:10" x14ac:dyDescent="0.35">
      <c r="A2" s="5" t="s">
        <v>37</v>
      </c>
      <c r="B2" s="5" t="s">
        <v>6</v>
      </c>
      <c r="C2" s="5" t="s">
        <v>11</v>
      </c>
      <c r="D2" s="5"/>
      <c r="E2" s="4">
        <v>8</v>
      </c>
      <c r="F2" s="4"/>
      <c r="G2" s="4">
        <f t="shared" ref="G2:G33" si="0">IF(C2&gt;=1,E2,0)</f>
        <v>8</v>
      </c>
      <c r="H2" s="5">
        <f t="shared" ref="H2:H33" si="1">G2*C2</f>
        <v>48</v>
      </c>
      <c r="I2" s="16">
        <f>SUM(H2:H9)</f>
        <v>111</v>
      </c>
      <c r="J2" s="17">
        <f>I2/$I$1</f>
        <v>0.17129629629629631</v>
      </c>
    </row>
    <row r="3" spans="1:10" hidden="1" x14ac:dyDescent="0.35">
      <c r="A3" s="5" t="s">
        <v>37</v>
      </c>
      <c r="B3" s="5" t="s">
        <v>8</v>
      </c>
      <c r="C3" s="5" t="s">
        <v>9</v>
      </c>
      <c r="D3" s="5"/>
      <c r="E3" s="4">
        <v>7</v>
      </c>
      <c r="F3" s="4"/>
      <c r="G3" s="4">
        <f t="shared" si="0"/>
        <v>7</v>
      </c>
      <c r="H3" s="5">
        <f t="shared" si="1"/>
        <v>28</v>
      </c>
      <c r="I3" s="16"/>
      <c r="J3" s="17"/>
    </row>
    <row r="4" spans="1:10" hidden="1" x14ac:dyDescent="0.35">
      <c r="A4" s="5" t="s">
        <v>37</v>
      </c>
      <c r="B4" s="5" t="s">
        <v>10</v>
      </c>
      <c r="C4" s="5" t="s">
        <v>6</v>
      </c>
      <c r="D4" s="5"/>
      <c r="E4" s="4">
        <v>6</v>
      </c>
      <c r="F4" s="4"/>
      <c r="G4" s="4">
        <f t="shared" si="0"/>
        <v>6</v>
      </c>
      <c r="H4" s="5">
        <f t="shared" si="1"/>
        <v>6</v>
      </c>
      <c r="I4" s="16"/>
      <c r="J4" s="17"/>
    </row>
    <row r="5" spans="1:10" hidden="1" x14ac:dyDescent="0.35">
      <c r="A5" s="5" t="s">
        <v>37</v>
      </c>
      <c r="B5" s="5" t="s">
        <v>9</v>
      </c>
      <c r="C5" s="5" t="s">
        <v>10</v>
      </c>
      <c r="D5" s="5"/>
      <c r="E5" s="4">
        <v>5</v>
      </c>
      <c r="F5" s="4"/>
      <c r="G5" s="4">
        <f t="shared" si="0"/>
        <v>5</v>
      </c>
      <c r="H5" s="5">
        <f t="shared" si="1"/>
        <v>15</v>
      </c>
      <c r="I5" s="16"/>
      <c r="J5" s="17"/>
    </row>
    <row r="6" spans="1:10" hidden="1" x14ac:dyDescent="0.35">
      <c r="A6" s="5" t="s">
        <v>37</v>
      </c>
      <c r="B6" s="5" t="s">
        <v>7</v>
      </c>
      <c r="C6" s="5" t="s">
        <v>10</v>
      </c>
      <c r="D6" s="5"/>
      <c r="E6" s="4">
        <v>4</v>
      </c>
      <c r="F6" s="5"/>
      <c r="G6" s="4">
        <f t="shared" si="0"/>
        <v>4</v>
      </c>
      <c r="H6" s="5">
        <f t="shared" si="1"/>
        <v>12</v>
      </c>
      <c r="I6" s="16"/>
      <c r="J6" s="17"/>
    </row>
    <row r="7" spans="1:10" hidden="1" x14ac:dyDescent="0.35">
      <c r="A7" s="5" t="s">
        <v>37</v>
      </c>
      <c r="B7" s="5" t="s">
        <v>11</v>
      </c>
      <c r="C7" s="5" t="s">
        <v>13</v>
      </c>
      <c r="D7" s="5"/>
      <c r="E7" s="4">
        <v>3</v>
      </c>
      <c r="F7" s="5"/>
      <c r="G7" s="4">
        <f t="shared" si="0"/>
        <v>3</v>
      </c>
      <c r="H7" s="5">
        <f t="shared" si="1"/>
        <v>0</v>
      </c>
      <c r="I7" s="16"/>
      <c r="J7" s="17"/>
    </row>
    <row r="8" spans="1:10" hidden="1" x14ac:dyDescent="0.35">
      <c r="A8" s="5" t="s">
        <v>37</v>
      </c>
      <c r="B8" s="5" t="s">
        <v>12</v>
      </c>
      <c r="C8" s="5" t="s">
        <v>6</v>
      </c>
      <c r="D8" s="5"/>
      <c r="E8" s="4">
        <v>2</v>
      </c>
      <c r="F8" s="5"/>
      <c r="G8" s="4">
        <f t="shared" si="0"/>
        <v>2</v>
      </c>
      <c r="H8" s="5">
        <f t="shared" si="1"/>
        <v>2</v>
      </c>
      <c r="I8" s="16"/>
      <c r="J8" s="17"/>
    </row>
    <row r="9" spans="1:10" hidden="1" x14ac:dyDescent="0.35">
      <c r="A9" s="5" t="s">
        <v>37</v>
      </c>
      <c r="B9" s="5" t="s">
        <v>14</v>
      </c>
      <c r="C9" s="5" t="s">
        <v>13</v>
      </c>
      <c r="D9" s="5"/>
      <c r="E9" s="4">
        <v>1</v>
      </c>
      <c r="F9" s="5"/>
      <c r="G9" s="4">
        <f t="shared" si="0"/>
        <v>1</v>
      </c>
      <c r="H9" s="5">
        <f t="shared" si="1"/>
        <v>0</v>
      </c>
      <c r="I9" s="16"/>
      <c r="J9" s="17"/>
    </row>
    <row r="10" spans="1:10" x14ac:dyDescent="0.35">
      <c r="A10" s="5" t="s">
        <v>38</v>
      </c>
      <c r="B10" s="5" t="s">
        <v>6</v>
      </c>
      <c r="C10" s="5" t="s">
        <v>9</v>
      </c>
      <c r="D10" s="5"/>
      <c r="E10" s="4">
        <v>8</v>
      </c>
      <c r="F10" s="4"/>
      <c r="G10" s="4">
        <f t="shared" si="0"/>
        <v>8</v>
      </c>
      <c r="H10" s="5">
        <f t="shared" si="1"/>
        <v>32</v>
      </c>
      <c r="I10" s="16">
        <f>SUM(H10:H17)</f>
        <v>89</v>
      </c>
      <c r="J10" s="17">
        <f>I10/$I$1</f>
        <v>0.13734567901234568</v>
      </c>
    </row>
    <row r="11" spans="1:10" hidden="1" x14ac:dyDescent="0.35">
      <c r="A11" s="5" t="s">
        <v>38</v>
      </c>
      <c r="B11" s="5" t="s">
        <v>8</v>
      </c>
      <c r="C11" s="5" t="s">
        <v>10</v>
      </c>
      <c r="D11" s="5"/>
      <c r="E11" s="4">
        <v>7</v>
      </c>
      <c r="F11" s="4"/>
      <c r="G11" s="4">
        <f t="shared" si="0"/>
        <v>7</v>
      </c>
      <c r="H11" s="5">
        <f t="shared" si="1"/>
        <v>21</v>
      </c>
      <c r="I11" s="16"/>
      <c r="J11" s="17"/>
    </row>
    <row r="12" spans="1:10" hidden="1" x14ac:dyDescent="0.35">
      <c r="A12" s="5" t="s">
        <v>38</v>
      </c>
      <c r="B12" s="5" t="s">
        <v>10</v>
      </c>
      <c r="C12" s="5" t="s">
        <v>10</v>
      </c>
      <c r="D12" s="5"/>
      <c r="E12" s="4">
        <v>6</v>
      </c>
      <c r="F12" s="4"/>
      <c r="G12" s="4">
        <f t="shared" si="0"/>
        <v>6</v>
      </c>
      <c r="H12" s="5">
        <f t="shared" si="1"/>
        <v>18</v>
      </c>
      <c r="I12" s="16"/>
      <c r="J12" s="17"/>
    </row>
    <row r="13" spans="1:10" hidden="1" x14ac:dyDescent="0.35">
      <c r="A13" s="5" t="s">
        <v>38</v>
      </c>
      <c r="B13" s="5" t="s">
        <v>9</v>
      </c>
      <c r="C13" s="5" t="s">
        <v>13</v>
      </c>
      <c r="D13" s="5"/>
      <c r="E13" s="4">
        <v>5</v>
      </c>
      <c r="F13" s="4"/>
      <c r="G13" s="4">
        <f t="shared" si="0"/>
        <v>5</v>
      </c>
      <c r="H13" s="5">
        <f t="shared" si="1"/>
        <v>0</v>
      </c>
      <c r="I13" s="16"/>
      <c r="J13" s="17"/>
    </row>
    <row r="14" spans="1:10" hidden="1" x14ac:dyDescent="0.35">
      <c r="A14" s="5" t="s">
        <v>38</v>
      </c>
      <c r="B14" s="5" t="s">
        <v>7</v>
      </c>
      <c r="C14" s="5" t="s">
        <v>8</v>
      </c>
      <c r="D14" s="5"/>
      <c r="E14" s="4">
        <v>4</v>
      </c>
      <c r="F14" s="5"/>
      <c r="G14" s="4">
        <f t="shared" si="0"/>
        <v>4</v>
      </c>
      <c r="H14" s="5">
        <f t="shared" si="1"/>
        <v>8</v>
      </c>
      <c r="I14" s="16"/>
      <c r="J14" s="17"/>
    </row>
    <row r="15" spans="1:10" hidden="1" x14ac:dyDescent="0.35">
      <c r="A15" s="5" t="s">
        <v>38</v>
      </c>
      <c r="B15" s="5" t="s">
        <v>11</v>
      </c>
      <c r="C15" s="5" t="s">
        <v>8</v>
      </c>
      <c r="D15" s="5"/>
      <c r="E15" s="4">
        <v>3</v>
      </c>
      <c r="F15" s="5"/>
      <c r="G15" s="4">
        <f t="shared" si="0"/>
        <v>3</v>
      </c>
      <c r="H15" s="5">
        <f t="shared" si="1"/>
        <v>6</v>
      </c>
      <c r="I15" s="16"/>
      <c r="J15" s="17"/>
    </row>
    <row r="16" spans="1:10" hidden="1" x14ac:dyDescent="0.35">
      <c r="A16" s="5" t="s">
        <v>38</v>
      </c>
      <c r="B16" s="5" t="s">
        <v>12</v>
      </c>
      <c r="C16" s="5" t="s">
        <v>13</v>
      </c>
      <c r="D16" s="5"/>
      <c r="E16" s="4">
        <v>2</v>
      </c>
      <c r="F16" s="5"/>
      <c r="G16" s="4">
        <f t="shared" si="0"/>
        <v>2</v>
      </c>
      <c r="H16" s="5">
        <f t="shared" si="1"/>
        <v>0</v>
      </c>
      <c r="I16" s="16"/>
      <c r="J16" s="17"/>
    </row>
    <row r="17" spans="1:10" hidden="1" x14ac:dyDescent="0.35">
      <c r="A17" s="5" t="s">
        <v>38</v>
      </c>
      <c r="B17" s="5" t="s">
        <v>14</v>
      </c>
      <c r="C17" s="5" t="s">
        <v>9</v>
      </c>
      <c r="D17" s="5"/>
      <c r="E17" s="4">
        <v>1</v>
      </c>
      <c r="F17" s="5"/>
      <c r="G17" s="4">
        <f t="shared" si="0"/>
        <v>1</v>
      </c>
      <c r="H17" s="5">
        <f t="shared" si="1"/>
        <v>4</v>
      </c>
      <c r="I17" s="16"/>
      <c r="J17" s="17"/>
    </row>
    <row r="18" spans="1:10" x14ac:dyDescent="0.35">
      <c r="A18" s="5" t="s">
        <v>39</v>
      </c>
      <c r="B18" s="5" t="s">
        <v>6</v>
      </c>
      <c r="C18" s="5" t="s">
        <v>10</v>
      </c>
      <c r="D18" s="5"/>
      <c r="E18" s="4">
        <v>8</v>
      </c>
      <c r="F18" s="4"/>
      <c r="G18" s="4">
        <f t="shared" si="0"/>
        <v>8</v>
      </c>
      <c r="H18" s="5">
        <f t="shared" si="1"/>
        <v>24</v>
      </c>
      <c r="I18" s="16">
        <f>SUM(H18:H25)</f>
        <v>102</v>
      </c>
      <c r="J18" s="17">
        <f>I18/$I$1</f>
        <v>0.15740740740740741</v>
      </c>
    </row>
    <row r="19" spans="1:10" hidden="1" x14ac:dyDescent="0.35">
      <c r="A19" s="5" t="s">
        <v>39</v>
      </c>
      <c r="B19" s="5" t="s">
        <v>8</v>
      </c>
      <c r="C19" s="5" t="s">
        <v>7</v>
      </c>
      <c r="D19" s="5"/>
      <c r="E19" s="4">
        <v>7</v>
      </c>
      <c r="F19" s="4"/>
      <c r="G19" s="4">
        <f t="shared" si="0"/>
        <v>7</v>
      </c>
      <c r="H19" s="5">
        <f t="shared" si="1"/>
        <v>35</v>
      </c>
      <c r="I19" s="16"/>
      <c r="J19" s="17"/>
    </row>
    <row r="20" spans="1:10" hidden="1" x14ac:dyDescent="0.35">
      <c r="A20" s="5" t="s">
        <v>39</v>
      </c>
      <c r="B20" s="5" t="s">
        <v>10</v>
      </c>
      <c r="C20" s="5" t="s">
        <v>6</v>
      </c>
      <c r="D20" s="5"/>
      <c r="E20" s="4">
        <v>6</v>
      </c>
      <c r="F20" s="4"/>
      <c r="G20" s="4">
        <f t="shared" si="0"/>
        <v>6</v>
      </c>
      <c r="H20" s="5">
        <f t="shared" si="1"/>
        <v>6</v>
      </c>
      <c r="I20" s="16"/>
      <c r="J20" s="17"/>
    </row>
    <row r="21" spans="1:10" hidden="1" x14ac:dyDescent="0.35">
      <c r="A21" s="5" t="s">
        <v>39</v>
      </c>
      <c r="B21" s="5" t="s">
        <v>9</v>
      </c>
      <c r="C21" s="5" t="s">
        <v>7</v>
      </c>
      <c r="D21" s="5"/>
      <c r="E21" s="4">
        <v>5</v>
      </c>
      <c r="F21" s="4"/>
      <c r="G21" s="4">
        <f t="shared" si="0"/>
        <v>5</v>
      </c>
      <c r="H21" s="5">
        <f t="shared" si="1"/>
        <v>25</v>
      </c>
      <c r="I21" s="16"/>
      <c r="J21" s="17"/>
    </row>
    <row r="22" spans="1:10" hidden="1" x14ac:dyDescent="0.35">
      <c r="A22" s="5" t="s">
        <v>39</v>
      </c>
      <c r="B22" s="5" t="s">
        <v>7</v>
      </c>
      <c r="C22" s="5" t="s">
        <v>8</v>
      </c>
      <c r="D22" s="5"/>
      <c r="E22" s="4">
        <v>4</v>
      </c>
      <c r="F22" s="5"/>
      <c r="G22" s="4">
        <f t="shared" si="0"/>
        <v>4</v>
      </c>
      <c r="H22" s="5">
        <f t="shared" si="1"/>
        <v>8</v>
      </c>
      <c r="I22" s="16"/>
      <c r="J22" s="17"/>
    </row>
    <row r="23" spans="1:10" hidden="1" x14ac:dyDescent="0.35">
      <c r="A23" s="5" t="s">
        <v>39</v>
      </c>
      <c r="B23" s="5" t="s">
        <v>11</v>
      </c>
      <c r="C23" s="5" t="s">
        <v>6</v>
      </c>
      <c r="D23" s="5"/>
      <c r="E23" s="4">
        <v>3</v>
      </c>
      <c r="F23" s="5"/>
      <c r="G23" s="4">
        <f t="shared" si="0"/>
        <v>3</v>
      </c>
      <c r="H23" s="5">
        <f t="shared" si="1"/>
        <v>3</v>
      </c>
      <c r="I23" s="16"/>
      <c r="J23" s="17"/>
    </row>
    <row r="24" spans="1:10" hidden="1" x14ac:dyDescent="0.35">
      <c r="A24" s="5" t="s">
        <v>39</v>
      </c>
      <c r="B24" s="5" t="s">
        <v>12</v>
      </c>
      <c r="C24" s="5" t="s">
        <v>13</v>
      </c>
      <c r="D24" s="5"/>
      <c r="E24" s="4">
        <v>2</v>
      </c>
      <c r="F24" s="5"/>
      <c r="G24" s="4">
        <f t="shared" si="0"/>
        <v>2</v>
      </c>
      <c r="H24" s="5">
        <f t="shared" si="1"/>
        <v>0</v>
      </c>
      <c r="I24" s="16"/>
      <c r="J24" s="17"/>
    </row>
    <row r="25" spans="1:10" hidden="1" x14ac:dyDescent="0.35">
      <c r="A25" s="5" t="s">
        <v>39</v>
      </c>
      <c r="B25" s="5" t="s">
        <v>14</v>
      </c>
      <c r="C25" s="5" t="s">
        <v>6</v>
      </c>
      <c r="D25" s="5"/>
      <c r="E25" s="4">
        <v>1</v>
      </c>
      <c r="F25" s="5"/>
      <c r="G25" s="4">
        <f t="shared" si="0"/>
        <v>1</v>
      </c>
      <c r="H25" s="5">
        <f t="shared" si="1"/>
        <v>1</v>
      </c>
      <c r="I25" s="16"/>
      <c r="J25" s="17"/>
    </row>
    <row r="26" spans="1:10" x14ac:dyDescent="0.35">
      <c r="A26" s="5" t="s">
        <v>40</v>
      </c>
      <c r="B26" s="5" t="s">
        <v>6</v>
      </c>
      <c r="C26" s="5" t="s">
        <v>10</v>
      </c>
      <c r="D26" s="5"/>
      <c r="E26" s="4">
        <v>8</v>
      </c>
      <c r="F26" s="4"/>
      <c r="G26" s="4">
        <f t="shared" si="0"/>
        <v>8</v>
      </c>
      <c r="H26" s="5">
        <f t="shared" si="1"/>
        <v>24</v>
      </c>
      <c r="I26" s="16">
        <f>SUM(H26:H33)</f>
        <v>99</v>
      </c>
      <c r="J26" s="17">
        <f>I26/$I$1</f>
        <v>0.15277777777777779</v>
      </c>
    </row>
    <row r="27" spans="1:10" hidden="1" x14ac:dyDescent="0.35">
      <c r="A27" s="5" t="s">
        <v>40</v>
      </c>
      <c r="B27" s="5" t="s">
        <v>8</v>
      </c>
      <c r="C27" s="5" t="s">
        <v>8</v>
      </c>
      <c r="D27" s="5"/>
      <c r="E27" s="4">
        <v>7</v>
      </c>
      <c r="F27" s="4"/>
      <c r="G27" s="4">
        <f t="shared" si="0"/>
        <v>7</v>
      </c>
      <c r="H27" s="5">
        <f t="shared" si="1"/>
        <v>14</v>
      </c>
      <c r="I27" s="16"/>
      <c r="J27" s="17"/>
    </row>
    <row r="28" spans="1:10" hidden="1" x14ac:dyDescent="0.35">
      <c r="A28" s="5" t="s">
        <v>40</v>
      </c>
      <c r="B28" s="5" t="s">
        <v>10</v>
      </c>
      <c r="C28" s="5" t="s">
        <v>11</v>
      </c>
      <c r="D28" s="5"/>
      <c r="E28" s="4">
        <v>6</v>
      </c>
      <c r="F28" s="4"/>
      <c r="G28" s="4">
        <f t="shared" si="0"/>
        <v>6</v>
      </c>
      <c r="H28" s="5">
        <f t="shared" si="1"/>
        <v>36</v>
      </c>
      <c r="I28" s="16"/>
      <c r="J28" s="17"/>
    </row>
    <row r="29" spans="1:10" hidden="1" x14ac:dyDescent="0.35">
      <c r="A29" s="5" t="s">
        <v>40</v>
      </c>
      <c r="B29" s="5" t="s">
        <v>9</v>
      </c>
      <c r="C29" s="5" t="s">
        <v>8</v>
      </c>
      <c r="D29" s="5"/>
      <c r="E29" s="4">
        <v>5</v>
      </c>
      <c r="F29" s="4"/>
      <c r="G29" s="4">
        <f t="shared" si="0"/>
        <v>5</v>
      </c>
      <c r="H29" s="5">
        <f t="shared" si="1"/>
        <v>10</v>
      </c>
      <c r="I29" s="16"/>
      <c r="J29" s="17"/>
    </row>
    <row r="30" spans="1:10" hidden="1" x14ac:dyDescent="0.35">
      <c r="A30" s="5" t="s">
        <v>40</v>
      </c>
      <c r="B30" s="5" t="s">
        <v>7</v>
      </c>
      <c r="C30" s="5" t="s">
        <v>6</v>
      </c>
      <c r="D30" s="5"/>
      <c r="E30" s="4">
        <v>4</v>
      </c>
      <c r="F30" s="5"/>
      <c r="G30" s="4">
        <f t="shared" si="0"/>
        <v>4</v>
      </c>
      <c r="H30" s="5">
        <f t="shared" si="1"/>
        <v>4</v>
      </c>
      <c r="I30" s="16"/>
      <c r="J30" s="17"/>
    </row>
    <row r="31" spans="1:10" hidden="1" x14ac:dyDescent="0.35">
      <c r="A31" s="5" t="s">
        <v>40</v>
      </c>
      <c r="B31" s="5" t="s">
        <v>11</v>
      </c>
      <c r="C31" s="5" t="s">
        <v>10</v>
      </c>
      <c r="D31" s="5"/>
      <c r="E31" s="4">
        <v>3</v>
      </c>
      <c r="F31" s="5"/>
      <c r="G31" s="4">
        <f t="shared" si="0"/>
        <v>3</v>
      </c>
      <c r="H31" s="5">
        <f t="shared" si="1"/>
        <v>9</v>
      </c>
      <c r="I31" s="16"/>
      <c r="J31" s="17"/>
    </row>
    <row r="32" spans="1:10" hidden="1" x14ac:dyDescent="0.35">
      <c r="A32" s="5" t="s">
        <v>40</v>
      </c>
      <c r="B32" s="5" t="s">
        <v>12</v>
      </c>
      <c r="C32" s="5" t="s">
        <v>6</v>
      </c>
      <c r="D32" s="5"/>
      <c r="E32" s="4">
        <v>2</v>
      </c>
      <c r="F32" s="5"/>
      <c r="G32" s="4">
        <f t="shared" si="0"/>
        <v>2</v>
      </c>
      <c r="H32" s="5">
        <f t="shared" si="1"/>
        <v>2</v>
      </c>
      <c r="I32" s="16"/>
      <c r="J32" s="17"/>
    </row>
    <row r="33" spans="1:10" hidden="1" x14ac:dyDescent="0.35">
      <c r="A33" s="5" t="s">
        <v>40</v>
      </c>
      <c r="B33" s="5" t="s">
        <v>14</v>
      </c>
      <c r="C33" s="5" t="s">
        <v>13</v>
      </c>
      <c r="D33" s="5"/>
      <c r="E33" s="4">
        <v>1</v>
      </c>
      <c r="F33" s="5"/>
      <c r="G33" s="4">
        <f t="shared" si="0"/>
        <v>1</v>
      </c>
      <c r="H33" s="5">
        <f t="shared" si="1"/>
        <v>0</v>
      </c>
      <c r="I33" s="16"/>
      <c r="J33" s="17"/>
    </row>
    <row r="34" spans="1:10" x14ac:dyDescent="0.35">
      <c r="A34" s="5" t="s">
        <v>41</v>
      </c>
      <c r="B34" s="5" t="s">
        <v>6</v>
      </c>
      <c r="C34" s="5" t="s">
        <v>13</v>
      </c>
      <c r="D34" s="5"/>
      <c r="E34" s="4">
        <v>8</v>
      </c>
      <c r="F34" s="4"/>
      <c r="G34" s="4">
        <f t="shared" ref="G34:G65" si="2">IF(C34&gt;=1,E34,0)</f>
        <v>8</v>
      </c>
      <c r="H34" s="5">
        <f t="shared" ref="H34:H65" si="3">G34*C34</f>
        <v>0</v>
      </c>
      <c r="I34" s="16">
        <f>SUM(H34:H41)</f>
        <v>67</v>
      </c>
      <c r="J34" s="17">
        <f>I34/$I$1</f>
        <v>0.10339506172839506</v>
      </c>
    </row>
    <row r="35" spans="1:10" hidden="1" x14ac:dyDescent="0.35">
      <c r="A35" s="5" t="s">
        <v>41</v>
      </c>
      <c r="B35" s="5" t="s">
        <v>8</v>
      </c>
      <c r="C35" s="5" t="s">
        <v>6</v>
      </c>
      <c r="D35" s="5"/>
      <c r="E35" s="4">
        <v>7</v>
      </c>
      <c r="F35" s="4"/>
      <c r="G35" s="4">
        <f t="shared" si="2"/>
        <v>7</v>
      </c>
      <c r="H35" s="5">
        <f t="shared" si="3"/>
        <v>7</v>
      </c>
      <c r="I35" s="16"/>
      <c r="J35" s="17"/>
    </row>
    <row r="36" spans="1:10" hidden="1" x14ac:dyDescent="0.35">
      <c r="A36" s="5" t="s">
        <v>41</v>
      </c>
      <c r="B36" s="5" t="s">
        <v>10</v>
      </c>
      <c r="C36" s="5" t="s">
        <v>6</v>
      </c>
      <c r="D36" s="5"/>
      <c r="E36" s="4">
        <v>6</v>
      </c>
      <c r="F36" s="4"/>
      <c r="G36" s="4">
        <f t="shared" si="2"/>
        <v>6</v>
      </c>
      <c r="H36" s="5">
        <f t="shared" si="3"/>
        <v>6</v>
      </c>
      <c r="I36" s="16"/>
      <c r="J36" s="17"/>
    </row>
    <row r="37" spans="1:10" hidden="1" x14ac:dyDescent="0.35">
      <c r="A37" s="5" t="s">
        <v>41</v>
      </c>
      <c r="B37" s="5" t="s">
        <v>9</v>
      </c>
      <c r="C37" s="5" t="s">
        <v>9</v>
      </c>
      <c r="D37" s="5"/>
      <c r="E37" s="4">
        <v>5</v>
      </c>
      <c r="F37" s="4"/>
      <c r="G37" s="4">
        <f t="shared" si="2"/>
        <v>5</v>
      </c>
      <c r="H37" s="5">
        <f t="shared" si="3"/>
        <v>20</v>
      </c>
      <c r="I37" s="16"/>
      <c r="J37" s="17"/>
    </row>
    <row r="38" spans="1:10" hidden="1" x14ac:dyDescent="0.35">
      <c r="A38" s="5" t="s">
        <v>41</v>
      </c>
      <c r="B38" s="5" t="s">
        <v>7</v>
      </c>
      <c r="C38" s="5" t="s">
        <v>10</v>
      </c>
      <c r="D38" s="5"/>
      <c r="E38" s="4">
        <v>4</v>
      </c>
      <c r="F38" s="5"/>
      <c r="G38" s="4">
        <f t="shared" si="2"/>
        <v>4</v>
      </c>
      <c r="H38" s="5">
        <f t="shared" si="3"/>
        <v>12</v>
      </c>
      <c r="I38" s="16"/>
      <c r="J38" s="17"/>
    </row>
    <row r="39" spans="1:10" hidden="1" x14ac:dyDescent="0.35">
      <c r="A39" s="5" t="s">
        <v>41</v>
      </c>
      <c r="B39" s="5" t="s">
        <v>11</v>
      </c>
      <c r="C39" s="5" t="s">
        <v>9</v>
      </c>
      <c r="D39" s="5"/>
      <c r="E39" s="4">
        <v>3</v>
      </c>
      <c r="F39" s="5"/>
      <c r="G39" s="4">
        <f t="shared" si="2"/>
        <v>3</v>
      </c>
      <c r="H39" s="5">
        <f t="shared" si="3"/>
        <v>12</v>
      </c>
      <c r="I39" s="16"/>
      <c r="J39" s="17"/>
    </row>
    <row r="40" spans="1:10" hidden="1" x14ac:dyDescent="0.35">
      <c r="A40" s="5" t="s">
        <v>41</v>
      </c>
      <c r="B40" s="5" t="s">
        <v>12</v>
      </c>
      <c r="C40" s="5" t="s">
        <v>7</v>
      </c>
      <c r="D40" s="5"/>
      <c r="E40" s="4">
        <v>2</v>
      </c>
      <c r="F40" s="5"/>
      <c r="G40" s="4">
        <f t="shared" si="2"/>
        <v>2</v>
      </c>
      <c r="H40" s="5">
        <f t="shared" si="3"/>
        <v>10</v>
      </c>
      <c r="I40" s="16"/>
      <c r="J40" s="17"/>
    </row>
    <row r="41" spans="1:10" hidden="1" x14ac:dyDescent="0.35">
      <c r="A41" s="5" t="s">
        <v>41</v>
      </c>
      <c r="B41" s="5" t="s">
        <v>14</v>
      </c>
      <c r="C41" s="5" t="s">
        <v>13</v>
      </c>
      <c r="D41" s="5"/>
      <c r="E41" s="4">
        <v>1</v>
      </c>
      <c r="F41" s="5"/>
      <c r="G41" s="4">
        <f t="shared" si="2"/>
        <v>1</v>
      </c>
      <c r="H41" s="5">
        <f t="shared" si="3"/>
        <v>0</v>
      </c>
      <c r="I41" s="16"/>
      <c r="J41" s="17"/>
    </row>
    <row r="42" spans="1:10" x14ac:dyDescent="0.35">
      <c r="A42" s="5" t="s">
        <v>42</v>
      </c>
      <c r="B42" s="5" t="s">
        <v>6</v>
      </c>
      <c r="C42" s="5" t="s">
        <v>8</v>
      </c>
      <c r="D42" s="5"/>
      <c r="E42" s="4">
        <v>8</v>
      </c>
      <c r="F42" s="4"/>
      <c r="G42" s="4">
        <f t="shared" si="2"/>
        <v>8</v>
      </c>
      <c r="H42" s="5">
        <f t="shared" si="3"/>
        <v>16</v>
      </c>
      <c r="I42" s="16">
        <f>SUM(H42:H49)</f>
        <v>76</v>
      </c>
      <c r="J42" s="17">
        <f>I42/$I$1</f>
        <v>0.11728395061728394</v>
      </c>
    </row>
    <row r="43" spans="1:10" hidden="1" x14ac:dyDescent="0.35">
      <c r="A43" s="5" t="s">
        <v>42</v>
      </c>
      <c r="B43" s="5" t="s">
        <v>8</v>
      </c>
      <c r="C43" s="5" t="s">
        <v>6</v>
      </c>
      <c r="D43" s="5"/>
      <c r="E43" s="4">
        <v>7</v>
      </c>
      <c r="F43" s="4"/>
      <c r="G43" s="4">
        <f t="shared" si="2"/>
        <v>7</v>
      </c>
      <c r="H43" s="5">
        <f t="shared" si="3"/>
        <v>7</v>
      </c>
      <c r="I43" s="16"/>
      <c r="J43" s="17"/>
    </row>
    <row r="44" spans="1:10" hidden="1" x14ac:dyDescent="0.35">
      <c r="A44" s="5" t="s">
        <v>42</v>
      </c>
      <c r="B44" s="5" t="s">
        <v>10</v>
      </c>
      <c r="C44" s="5" t="s">
        <v>8</v>
      </c>
      <c r="D44" s="5"/>
      <c r="E44" s="4">
        <v>6</v>
      </c>
      <c r="F44" s="4"/>
      <c r="G44" s="4">
        <f t="shared" si="2"/>
        <v>6</v>
      </c>
      <c r="H44" s="5">
        <f t="shared" si="3"/>
        <v>12</v>
      </c>
      <c r="I44" s="16"/>
      <c r="J44" s="17"/>
    </row>
    <row r="45" spans="1:10" hidden="1" x14ac:dyDescent="0.35">
      <c r="A45" s="5" t="s">
        <v>42</v>
      </c>
      <c r="B45" s="5" t="s">
        <v>9</v>
      </c>
      <c r="C45" s="5" t="s">
        <v>8</v>
      </c>
      <c r="D45" s="5"/>
      <c r="E45" s="4">
        <v>5</v>
      </c>
      <c r="F45" s="4"/>
      <c r="G45" s="4">
        <f t="shared" si="2"/>
        <v>5</v>
      </c>
      <c r="H45" s="5">
        <f t="shared" si="3"/>
        <v>10</v>
      </c>
      <c r="I45" s="16"/>
      <c r="J45" s="17"/>
    </row>
    <row r="46" spans="1:10" hidden="1" x14ac:dyDescent="0.35">
      <c r="A46" s="5" t="s">
        <v>42</v>
      </c>
      <c r="B46" s="5" t="s">
        <v>7</v>
      </c>
      <c r="C46" s="5" t="s">
        <v>10</v>
      </c>
      <c r="D46" s="5"/>
      <c r="E46" s="4">
        <v>4</v>
      </c>
      <c r="F46" s="5"/>
      <c r="G46" s="4">
        <f t="shared" si="2"/>
        <v>4</v>
      </c>
      <c r="H46" s="5">
        <f t="shared" si="3"/>
        <v>12</v>
      </c>
      <c r="I46" s="16"/>
      <c r="J46" s="17"/>
    </row>
    <row r="47" spans="1:10" hidden="1" x14ac:dyDescent="0.35">
      <c r="A47" s="5" t="s">
        <v>42</v>
      </c>
      <c r="B47" s="5" t="s">
        <v>11</v>
      </c>
      <c r="C47" s="5" t="s">
        <v>10</v>
      </c>
      <c r="D47" s="5"/>
      <c r="E47" s="4">
        <v>3</v>
      </c>
      <c r="F47" s="5"/>
      <c r="G47" s="4">
        <f t="shared" si="2"/>
        <v>3</v>
      </c>
      <c r="H47" s="5">
        <f t="shared" si="3"/>
        <v>9</v>
      </c>
      <c r="I47" s="16"/>
      <c r="J47" s="17"/>
    </row>
    <row r="48" spans="1:10" hidden="1" x14ac:dyDescent="0.35">
      <c r="A48" s="5" t="s">
        <v>42</v>
      </c>
      <c r="B48" s="5" t="s">
        <v>12</v>
      </c>
      <c r="C48" s="5" t="s">
        <v>7</v>
      </c>
      <c r="D48" s="5"/>
      <c r="E48" s="4">
        <v>2</v>
      </c>
      <c r="F48" s="5"/>
      <c r="G48" s="4">
        <f t="shared" si="2"/>
        <v>2</v>
      </c>
      <c r="H48" s="5">
        <f t="shared" si="3"/>
        <v>10</v>
      </c>
      <c r="I48" s="16"/>
      <c r="J48" s="17"/>
    </row>
    <row r="49" spans="1:10" hidden="1" x14ac:dyDescent="0.35">
      <c r="A49" s="5" t="s">
        <v>42</v>
      </c>
      <c r="B49" s="5" t="s">
        <v>14</v>
      </c>
      <c r="C49" s="5" t="s">
        <v>13</v>
      </c>
      <c r="D49" s="5"/>
      <c r="E49" s="4">
        <v>1</v>
      </c>
      <c r="F49" s="5"/>
      <c r="G49" s="4">
        <f t="shared" si="2"/>
        <v>1</v>
      </c>
      <c r="H49" s="5">
        <f t="shared" si="3"/>
        <v>0</v>
      </c>
      <c r="I49" s="16"/>
      <c r="J49" s="17"/>
    </row>
    <row r="50" spans="1:10" x14ac:dyDescent="0.35">
      <c r="A50" s="5" t="s">
        <v>43</v>
      </c>
      <c r="B50" s="5" t="s">
        <v>6</v>
      </c>
      <c r="C50" s="5" t="s">
        <v>13</v>
      </c>
      <c r="D50" s="5"/>
      <c r="E50" s="4">
        <v>8</v>
      </c>
      <c r="F50" s="4"/>
      <c r="G50" s="4">
        <f t="shared" si="2"/>
        <v>8</v>
      </c>
      <c r="H50" s="5">
        <f t="shared" si="3"/>
        <v>0</v>
      </c>
      <c r="I50" s="16">
        <f>SUM(H50:H57)</f>
        <v>61</v>
      </c>
      <c r="J50" s="17">
        <f>I50/$I$1</f>
        <v>9.4135802469135804E-2</v>
      </c>
    </row>
    <row r="51" spans="1:10" hidden="1" x14ac:dyDescent="0.35">
      <c r="A51" s="5" t="s">
        <v>43</v>
      </c>
      <c r="B51" s="5" t="s">
        <v>8</v>
      </c>
      <c r="C51" s="5" t="s">
        <v>6</v>
      </c>
      <c r="D51" s="5"/>
      <c r="E51" s="4">
        <v>7</v>
      </c>
      <c r="F51" s="4"/>
      <c r="G51" s="4">
        <f t="shared" si="2"/>
        <v>7</v>
      </c>
      <c r="H51" s="5">
        <f t="shared" si="3"/>
        <v>7</v>
      </c>
      <c r="I51" s="16"/>
      <c r="J51" s="17"/>
    </row>
    <row r="52" spans="1:10" hidden="1" x14ac:dyDescent="0.35">
      <c r="A52" s="5" t="s">
        <v>43</v>
      </c>
      <c r="B52" s="5" t="s">
        <v>10</v>
      </c>
      <c r="C52" s="5" t="s">
        <v>10</v>
      </c>
      <c r="D52" s="5"/>
      <c r="E52" s="4">
        <v>6</v>
      </c>
      <c r="F52" s="4"/>
      <c r="G52" s="4">
        <f t="shared" si="2"/>
        <v>6</v>
      </c>
      <c r="H52" s="5">
        <f t="shared" si="3"/>
        <v>18</v>
      </c>
      <c r="I52" s="16"/>
      <c r="J52" s="17"/>
    </row>
    <row r="53" spans="1:10" hidden="1" x14ac:dyDescent="0.35">
      <c r="A53" s="5" t="s">
        <v>43</v>
      </c>
      <c r="B53" s="5" t="s">
        <v>9</v>
      </c>
      <c r="C53" s="5" t="s">
        <v>8</v>
      </c>
      <c r="D53" s="5"/>
      <c r="E53" s="4">
        <v>5</v>
      </c>
      <c r="F53" s="4"/>
      <c r="G53" s="4">
        <f t="shared" si="2"/>
        <v>5</v>
      </c>
      <c r="H53" s="5">
        <f t="shared" si="3"/>
        <v>10</v>
      </c>
      <c r="I53" s="16"/>
      <c r="J53" s="17"/>
    </row>
    <row r="54" spans="1:10" hidden="1" x14ac:dyDescent="0.35">
      <c r="A54" s="5" t="s">
        <v>43</v>
      </c>
      <c r="B54" s="5" t="s">
        <v>7</v>
      </c>
      <c r="C54" s="5" t="s">
        <v>8</v>
      </c>
      <c r="D54" s="5"/>
      <c r="E54" s="4">
        <v>4</v>
      </c>
      <c r="F54" s="5"/>
      <c r="G54" s="4">
        <f t="shared" si="2"/>
        <v>4</v>
      </c>
      <c r="H54" s="5">
        <f t="shared" si="3"/>
        <v>8</v>
      </c>
      <c r="I54" s="16"/>
      <c r="J54" s="17"/>
    </row>
    <row r="55" spans="1:10" hidden="1" x14ac:dyDescent="0.35">
      <c r="A55" s="5" t="s">
        <v>43</v>
      </c>
      <c r="B55" s="5" t="s">
        <v>11</v>
      </c>
      <c r="C55" s="5" t="s">
        <v>6</v>
      </c>
      <c r="D55" s="5"/>
      <c r="E55" s="4">
        <v>3</v>
      </c>
      <c r="F55" s="5"/>
      <c r="G55" s="4">
        <f t="shared" si="2"/>
        <v>3</v>
      </c>
      <c r="H55" s="5">
        <f t="shared" si="3"/>
        <v>3</v>
      </c>
      <c r="I55" s="16"/>
      <c r="J55" s="17"/>
    </row>
    <row r="56" spans="1:10" hidden="1" x14ac:dyDescent="0.35">
      <c r="A56" s="5" t="s">
        <v>43</v>
      </c>
      <c r="B56" s="5" t="s">
        <v>12</v>
      </c>
      <c r="C56" s="5" t="s">
        <v>11</v>
      </c>
      <c r="D56" s="5"/>
      <c r="E56" s="4">
        <v>2</v>
      </c>
      <c r="F56" s="5"/>
      <c r="G56" s="4">
        <f t="shared" si="2"/>
        <v>2</v>
      </c>
      <c r="H56" s="5">
        <f t="shared" si="3"/>
        <v>12</v>
      </c>
      <c r="I56" s="16"/>
      <c r="J56" s="17"/>
    </row>
    <row r="57" spans="1:10" hidden="1" x14ac:dyDescent="0.35">
      <c r="A57" s="5" t="s">
        <v>43</v>
      </c>
      <c r="B57" s="5" t="s">
        <v>14</v>
      </c>
      <c r="C57" s="5" t="s">
        <v>10</v>
      </c>
      <c r="D57" s="5"/>
      <c r="E57" s="4">
        <v>1</v>
      </c>
      <c r="F57" s="5"/>
      <c r="G57" s="4">
        <f t="shared" si="2"/>
        <v>1</v>
      </c>
      <c r="H57" s="5">
        <f t="shared" si="3"/>
        <v>3</v>
      </c>
      <c r="I57" s="16"/>
      <c r="J57" s="17"/>
    </row>
    <row r="58" spans="1:10" x14ac:dyDescent="0.35">
      <c r="A58" s="5" t="s">
        <v>44</v>
      </c>
      <c r="B58" s="5" t="s">
        <v>6</v>
      </c>
      <c r="C58" s="5" t="s">
        <v>13</v>
      </c>
      <c r="D58" s="5"/>
      <c r="E58" s="4">
        <v>8</v>
      </c>
      <c r="F58" s="4"/>
      <c r="G58" s="4">
        <f t="shared" si="2"/>
        <v>8</v>
      </c>
      <c r="H58" s="5">
        <f t="shared" si="3"/>
        <v>0</v>
      </c>
      <c r="I58" s="16">
        <f>SUM(H58:H65)</f>
        <v>43</v>
      </c>
      <c r="J58" s="17">
        <f>I58/$I$1</f>
        <v>6.6358024691358028E-2</v>
      </c>
    </row>
    <row r="59" spans="1:10" hidden="1" x14ac:dyDescent="0.35">
      <c r="A59" s="5" t="s">
        <v>44</v>
      </c>
      <c r="B59" s="5" t="s">
        <v>8</v>
      </c>
      <c r="C59" s="5" t="s">
        <v>6</v>
      </c>
      <c r="D59" s="5"/>
      <c r="E59" s="4">
        <v>7</v>
      </c>
      <c r="F59" s="4"/>
      <c r="G59" s="4">
        <f t="shared" si="2"/>
        <v>7</v>
      </c>
      <c r="H59" s="5">
        <f t="shared" si="3"/>
        <v>7</v>
      </c>
      <c r="I59" s="16"/>
      <c r="J59" s="17"/>
    </row>
    <row r="60" spans="1:10" hidden="1" x14ac:dyDescent="0.35">
      <c r="A60" s="5" t="s">
        <v>44</v>
      </c>
      <c r="B60" s="5" t="s">
        <v>10</v>
      </c>
      <c r="C60" s="5" t="s">
        <v>6</v>
      </c>
      <c r="D60" s="5"/>
      <c r="E60" s="4">
        <v>6</v>
      </c>
      <c r="F60" s="4"/>
      <c r="G60" s="4">
        <f t="shared" si="2"/>
        <v>6</v>
      </c>
      <c r="H60" s="5">
        <f t="shared" si="3"/>
        <v>6</v>
      </c>
      <c r="I60" s="16"/>
      <c r="J60" s="17"/>
    </row>
    <row r="61" spans="1:10" hidden="1" x14ac:dyDescent="0.35">
      <c r="A61" s="5" t="s">
        <v>44</v>
      </c>
      <c r="B61" s="5" t="s">
        <v>9</v>
      </c>
      <c r="C61" s="5" t="s">
        <v>13</v>
      </c>
      <c r="D61" s="5"/>
      <c r="E61" s="4">
        <v>5</v>
      </c>
      <c r="F61" s="4"/>
      <c r="G61" s="4">
        <f t="shared" si="2"/>
        <v>5</v>
      </c>
      <c r="H61" s="5">
        <f t="shared" si="3"/>
        <v>0</v>
      </c>
      <c r="I61" s="16"/>
      <c r="J61" s="17"/>
    </row>
    <row r="62" spans="1:10" hidden="1" x14ac:dyDescent="0.35">
      <c r="A62" s="5" t="s">
        <v>44</v>
      </c>
      <c r="B62" s="5" t="s">
        <v>7</v>
      </c>
      <c r="C62" s="5" t="s">
        <v>8</v>
      </c>
      <c r="D62" s="5"/>
      <c r="E62" s="4">
        <v>4</v>
      </c>
      <c r="F62" s="5"/>
      <c r="G62" s="4">
        <f t="shared" si="2"/>
        <v>4</v>
      </c>
      <c r="H62" s="5">
        <f t="shared" si="3"/>
        <v>8</v>
      </c>
      <c r="I62" s="16"/>
      <c r="J62" s="17"/>
    </row>
    <row r="63" spans="1:10" hidden="1" x14ac:dyDescent="0.35">
      <c r="A63" s="5" t="s">
        <v>44</v>
      </c>
      <c r="B63" s="5" t="s">
        <v>11</v>
      </c>
      <c r="C63" s="5" t="s">
        <v>9</v>
      </c>
      <c r="D63" s="5"/>
      <c r="E63" s="4">
        <v>3</v>
      </c>
      <c r="F63" s="5"/>
      <c r="G63" s="4">
        <f t="shared" si="2"/>
        <v>3</v>
      </c>
      <c r="H63" s="5">
        <f t="shared" si="3"/>
        <v>12</v>
      </c>
      <c r="I63" s="16"/>
      <c r="J63" s="17"/>
    </row>
    <row r="64" spans="1:10" hidden="1" x14ac:dyDescent="0.35">
      <c r="A64" s="5" t="s">
        <v>44</v>
      </c>
      <c r="B64" s="5" t="s">
        <v>12</v>
      </c>
      <c r="C64" s="5" t="s">
        <v>13</v>
      </c>
      <c r="D64" s="5"/>
      <c r="E64" s="4">
        <v>2</v>
      </c>
      <c r="F64" s="5"/>
      <c r="G64" s="4">
        <f t="shared" si="2"/>
        <v>2</v>
      </c>
      <c r="H64" s="5">
        <f t="shared" si="3"/>
        <v>0</v>
      </c>
      <c r="I64" s="16"/>
      <c r="J64" s="17"/>
    </row>
    <row r="65" spans="1:10" hidden="1" x14ac:dyDescent="0.35">
      <c r="A65" s="5" t="s">
        <v>44</v>
      </c>
      <c r="B65" s="5" t="s">
        <v>14</v>
      </c>
      <c r="C65" s="5" t="s">
        <v>16</v>
      </c>
      <c r="D65" s="5"/>
      <c r="E65" s="4">
        <v>1</v>
      </c>
      <c r="F65" s="5"/>
      <c r="G65" s="4">
        <f t="shared" si="2"/>
        <v>1</v>
      </c>
      <c r="H65" s="5">
        <f t="shared" si="3"/>
        <v>10</v>
      </c>
      <c r="I65" s="16"/>
      <c r="J65" s="17"/>
    </row>
  </sheetData>
  <autoFilter ref="A1:J65" xr:uid="{EB53CF63-4B50-456C-80E8-59AD7A0F44D3}">
    <filterColumn colId="1">
      <filters>
        <filter val="1"/>
      </filters>
    </filterColumn>
  </autoFilter>
  <mergeCells count="16">
    <mergeCell ref="I26:I33"/>
    <mergeCell ref="J26:J33"/>
    <mergeCell ref="I58:I65"/>
    <mergeCell ref="J58:J65"/>
    <mergeCell ref="I34:I41"/>
    <mergeCell ref="J34:J41"/>
    <mergeCell ref="I42:I49"/>
    <mergeCell ref="J42:J49"/>
    <mergeCell ref="I50:I57"/>
    <mergeCell ref="J50:J57"/>
    <mergeCell ref="I2:I9"/>
    <mergeCell ref="J2:J9"/>
    <mergeCell ref="I10:I17"/>
    <mergeCell ref="J10:J17"/>
    <mergeCell ref="I18:I25"/>
    <mergeCell ref="J18:J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8D57E-FBE2-4D21-BE99-633031052529}">
  <sheetPr filterMode="1"/>
  <dimension ref="A1:J82"/>
  <sheetViews>
    <sheetView workbookViewId="0">
      <selection activeCell="C84" sqref="C84"/>
    </sheetView>
  </sheetViews>
  <sheetFormatPr baseColWidth="10" defaultColWidth="11.453125" defaultRowHeight="14.5" x14ac:dyDescent="0.35"/>
  <cols>
    <col min="1" max="1" width="47" bestFit="1" customWidth="1"/>
  </cols>
  <sheetData>
    <row r="1" spans="1:10" ht="29" x14ac:dyDescent="0.35">
      <c r="A1" s="2" t="s">
        <v>0</v>
      </c>
      <c r="B1" s="3" t="s">
        <v>1</v>
      </c>
      <c r="C1" s="3" t="s">
        <v>2</v>
      </c>
      <c r="D1" s="3"/>
      <c r="E1" s="3" t="s">
        <v>3</v>
      </c>
      <c r="F1" s="4"/>
      <c r="G1" s="3" t="s">
        <v>4</v>
      </c>
      <c r="H1" s="6">
        <f>SUM(C2:C10)</f>
        <v>0</v>
      </c>
      <c r="I1" s="6">
        <f>SUM(I2:I82)</f>
        <v>810</v>
      </c>
      <c r="J1" s="5"/>
    </row>
    <row r="2" spans="1:10" x14ac:dyDescent="0.35">
      <c r="A2" t="s">
        <v>45</v>
      </c>
      <c r="B2" t="s">
        <v>6</v>
      </c>
      <c r="C2" t="s">
        <v>15</v>
      </c>
      <c r="D2" s="5"/>
      <c r="E2" s="4">
        <v>9</v>
      </c>
      <c r="F2" s="4"/>
      <c r="G2" s="4">
        <v>9</v>
      </c>
      <c r="H2" s="5">
        <f>G2*C2</f>
        <v>81</v>
      </c>
      <c r="I2" s="22">
        <f>SUM(H2:H10)</f>
        <v>139</v>
      </c>
      <c r="J2" s="25">
        <f>I2/$I$1</f>
        <v>0.17160493827160495</v>
      </c>
    </row>
    <row r="3" spans="1:10" hidden="1" x14ac:dyDescent="0.35">
      <c r="A3" t="s">
        <v>45</v>
      </c>
      <c r="B3" t="s">
        <v>8</v>
      </c>
      <c r="C3" t="s">
        <v>8</v>
      </c>
      <c r="D3" s="5"/>
      <c r="E3" s="4">
        <v>8</v>
      </c>
      <c r="F3" s="4"/>
      <c r="G3" s="4">
        <v>8</v>
      </c>
      <c r="H3" s="5">
        <f t="shared" ref="H3:H11" si="0">G3*C3</f>
        <v>16</v>
      </c>
      <c r="I3" s="23"/>
      <c r="J3" s="26"/>
    </row>
    <row r="4" spans="1:10" hidden="1" x14ac:dyDescent="0.35">
      <c r="A4" t="s">
        <v>45</v>
      </c>
      <c r="B4" t="s">
        <v>10</v>
      </c>
      <c r="C4" t="s">
        <v>9</v>
      </c>
      <c r="D4" s="5"/>
      <c r="E4" s="4">
        <v>7</v>
      </c>
      <c r="F4" s="4"/>
      <c r="G4" s="4">
        <v>7</v>
      </c>
      <c r="H4" s="5">
        <f t="shared" si="0"/>
        <v>28</v>
      </c>
      <c r="I4" s="23"/>
      <c r="J4" s="26"/>
    </row>
    <row r="5" spans="1:10" hidden="1" x14ac:dyDescent="0.35">
      <c r="A5" t="s">
        <v>45</v>
      </c>
      <c r="B5" t="s">
        <v>9</v>
      </c>
      <c r="C5" t="s">
        <v>8</v>
      </c>
      <c r="D5" s="5"/>
      <c r="E5" s="4">
        <v>6</v>
      </c>
      <c r="F5" s="5"/>
      <c r="G5" s="4">
        <v>6</v>
      </c>
      <c r="H5" s="5">
        <f t="shared" si="0"/>
        <v>12</v>
      </c>
      <c r="I5" s="23"/>
      <c r="J5" s="26"/>
    </row>
    <row r="6" spans="1:10" hidden="1" x14ac:dyDescent="0.35">
      <c r="A6" t="s">
        <v>45</v>
      </c>
      <c r="B6" t="s">
        <v>7</v>
      </c>
      <c r="C6" t="s">
        <v>13</v>
      </c>
      <c r="D6" s="5"/>
      <c r="E6" s="4">
        <v>5</v>
      </c>
      <c r="F6" s="5"/>
      <c r="G6" s="4">
        <v>5</v>
      </c>
      <c r="H6" s="5">
        <f t="shared" si="0"/>
        <v>0</v>
      </c>
      <c r="I6" s="23"/>
      <c r="J6" s="26"/>
    </row>
    <row r="7" spans="1:10" hidden="1" x14ac:dyDescent="0.35">
      <c r="A7" t="s">
        <v>45</v>
      </c>
      <c r="B7" t="s">
        <v>11</v>
      </c>
      <c r="C7" t="s">
        <v>13</v>
      </c>
      <c r="D7" s="5"/>
      <c r="E7" s="4">
        <v>4</v>
      </c>
      <c r="F7" s="5"/>
      <c r="G7" s="4">
        <v>4</v>
      </c>
      <c r="H7" s="5">
        <f t="shared" si="0"/>
        <v>0</v>
      </c>
      <c r="I7" s="23"/>
      <c r="J7" s="26"/>
    </row>
    <row r="8" spans="1:10" hidden="1" x14ac:dyDescent="0.35">
      <c r="A8" t="s">
        <v>45</v>
      </c>
      <c r="B8" t="s">
        <v>12</v>
      </c>
      <c r="C8" t="s">
        <v>13</v>
      </c>
      <c r="D8" s="5"/>
      <c r="E8" s="4">
        <v>3</v>
      </c>
      <c r="F8" s="5"/>
      <c r="G8" s="4">
        <v>3</v>
      </c>
      <c r="H8" s="5">
        <f t="shared" si="0"/>
        <v>0</v>
      </c>
      <c r="I8" s="23"/>
      <c r="J8" s="26"/>
    </row>
    <row r="9" spans="1:10" hidden="1" x14ac:dyDescent="0.35">
      <c r="A9" t="s">
        <v>45</v>
      </c>
      <c r="B9" t="s">
        <v>14</v>
      </c>
      <c r="C9" t="s">
        <v>6</v>
      </c>
      <c r="E9" s="4">
        <v>2</v>
      </c>
      <c r="G9" s="4">
        <v>2</v>
      </c>
      <c r="H9" s="5">
        <f t="shared" si="0"/>
        <v>2</v>
      </c>
      <c r="I9" s="23"/>
      <c r="J9" s="26"/>
    </row>
    <row r="10" spans="1:10" hidden="1" x14ac:dyDescent="0.35">
      <c r="A10" t="s">
        <v>45</v>
      </c>
      <c r="B10" t="s">
        <v>15</v>
      </c>
      <c r="C10" t="s">
        <v>13</v>
      </c>
      <c r="E10" s="4">
        <v>1</v>
      </c>
      <c r="G10" s="4">
        <v>1</v>
      </c>
      <c r="H10" s="5">
        <f t="shared" si="0"/>
        <v>0</v>
      </c>
      <c r="I10" s="24"/>
      <c r="J10" s="27"/>
    </row>
    <row r="11" spans="1:10" x14ac:dyDescent="0.35">
      <c r="A11" t="s">
        <v>46</v>
      </c>
      <c r="B11" t="s">
        <v>6</v>
      </c>
      <c r="C11" t="s">
        <v>8</v>
      </c>
      <c r="E11" s="4">
        <v>9</v>
      </c>
      <c r="F11" s="4"/>
      <c r="G11" s="4">
        <v>9</v>
      </c>
      <c r="H11" s="5">
        <f t="shared" si="0"/>
        <v>18</v>
      </c>
      <c r="I11" s="22">
        <f>SUM(H11:H19)</f>
        <v>119</v>
      </c>
      <c r="J11" s="25">
        <f>I11/$I$1</f>
        <v>0.14691358024691359</v>
      </c>
    </row>
    <row r="12" spans="1:10" hidden="1" x14ac:dyDescent="0.35">
      <c r="A12" t="s">
        <v>46</v>
      </c>
      <c r="B12" t="s">
        <v>8</v>
      </c>
      <c r="C12" t="s">
        <v>7</v>
      </c>
      <c r="E12" s="4">
        <v>8</v>
      </c>
      <c r="F12" s="4"/>
      <c r="G12" s="4">
        <v>8</v>
      </c>
      <c r="H12" s="5">
        <f t="shared" ref="H12:H75" si="1">G12*C12</f>
        <v>40</v>
      </c>
      <c r="I12" s="23"/>
      <c r="J12" s="26"/>
    </row>
    <row r="13" spans="1:10" hidden="1" x14ac:dyDescent="0.35">
      <c r="A13" t="s">
        <v>46</v>
      </c>
      <c r="B13" t="s">
        <v>10</v>
      </c>
      <c r="C13" t="s">
        <v>6</v>
      </c>
      <c r="E13" s="4">
        <v>7</v>
      </c>
      <c r="F13" s="4"/>
      <c r="G13" s="4">
        <v>7</v>
      </c>
      <c r="H13" s="5">
        <f t="shared" si="1"/>
        <v>7</v>
      </c>
      <c r="I13" s="23"/>
      <c r="J13" s="26"/>
    </row>
    <row r="14" spans="1:10" hidden="1" x14ac:dyDescent="0.35">
      <c r="A14" t="s">
        <v>46</v>
      </c>
      <c r="B14" t="s">
        <v>9</v>
      </c>
      <c r="C14" t="s">
        <v>11</v>
      </c>
      <c r="E14" s="4">
        <v>6</v>
      </c>
      <c r="F14" s="5"/>
      <c r="G14" s="4">
        <v>6</v>
      </c>
      <c r="H14" s="5">
        <f t="shared" si="1"/>
        <v>36</v>
      </c>
      <c r="I14" s="23"/>
      <c r="J14" s="26"/>
    </row>
    <row r="15" spans="1:10" hidden="1" x14ac:dyDescent="0.35">
      <c r="A15" t="s">
        <v>46</v>
      </c>
      <c r="B15" t="s">
        <v>7</v>
      </c>
      <c r="C15" t="s">
        <v>8</v>
      </c>
      <c r="E15" s="4">
        <v>5</v>
      </c>
      <c r="F15" s="5"/>
      <c r="G15" s="4">
        <v>5</v>
      </c>
      <c r="H15" s="5">
        <f t="shared" si="1"/>
        <v>10</v>
      </c>
      <c r="I15" s="23"/>
      <c r="J15" s="26"/>
    </row>
    <row r="16" spans="1:10" hidden="1" x14ac:dyDescent="0.35">
      <c r="A16" t="s">
        <v>46</v>
      </c>
      <c r="B16" t="s">
        <v>11</v>
      </c>
      <c r="C16" t="s">
        <v>8</v>
      </c>
      <c r="E16" s="4">
        <v>4</v>
      </c>
      <c r="F16" s="5"/>
      <c r="G16" s="4">
        <v>4</v>
      </c>
      <c r="H16" s="5">
        <f t="shared" si="1"/>
        <v>8</v>
      </c>
      <c r="I16" s="23"/>
      <c r="J16" s="26"/>
    </row>
    <row r="17" spans="1:10" hidden="1" x14ac:dyDescent="0.35">
      <c r="A17" t="s">
        <v>46</v>
      </c>
      <c r="B17" t="s">
        <v>12</v>
      </c>
      <c r="C17" t="s">
        <v>13</v>
      </c>
      <c r="E17" s="4">
        <v>3</v>
      </c>
      <c r="F17" s="5"/>
      <c r="G17" s="4">
        <v>3</v>
      </c>
      <c r="H17" s="5">
        <f t="shared" si="1"/>
        <v>0</v>
      </c>
      <c r="I17" s="23"/>
      <c r="J17" s="26"/>
    </row>
    <row r="18" spans="1:10" hidden="1" x14ac:dyDescent="0.35">
      <c r="A18" t="s">
        <v>46</v>
      </c>
      <c r="B18" t="s">
        <v>14</v>
      </c>
      <c r="C18" t="s">
        <v>13</v>
      </c>
      <c r="E18" s="4">
        <v>2</v>
      </c>
      <c r="G18" s="4">
        <v>2</v>
      </c>
      <c r="H18" s="5">
        <f t="shared" si="1"/>
        <v>0</v>
      </c>
      <c r="I18" s="23"/>
      <c r="J18" s="26"/>
    </row>
    <row r="19" spans="1:10" hidden="1" x14ac:dyDescent="0.35">
      <c r="A19" t="s">
        <v>46</v>
      </c>
      <c r="B19" t="s">
        <v>15</v>
      </c>
      <c r="C19" t="s">
        <v>13</v>
      </c>
      <c r="E19" s="4">
        <v>1</v>
      </c>
      <c r="G19" s="4">
        <v>1</v>
      </c>
      <c r="H19" s="5">
        <f t="shared" si="1"/>
        <v>0</v>
      </c>
      <c r="I19" s="24"/>
      <c r="J19" s="27"/>
    </row>
    <row r="20" spans="1:10" x14ac:dyDescent="0.35">
      <c r="A20" t="s">
        <v>47</v>
      </c>
      <c r="B20" t="s">
        <v>6</v>
      </c>
      <c r="C20" t="s">
        <v>6</v>
      </c>
      <c r="E20" s="4">
        <v>9</v>
      </c>
      <c r="F20" s="4"/>
      <c r="G20" s="4">
        <v>9</v>
      </c>
      <c r="H20" s="5">
        <f t="shared" si="1"/>
        <v>9</v>
      </c>
      <c r="I20" s="22">
        <f t="shared" ref="I20" si="2">SUM(H20:H28)</f>
        <v>104</v>
      </c>
      <c r="J20" s="25">
        <f>I20/$I$1</f>
        <v>0.12839506172839507</v>
      </c>
    </row>
    <row r="21" spans="1:10" hidden="1" x14ac:dyDescent="0.35">
      <c r="A21" t="s">
        <v>47</v>
      </c>
      <c r="B21" t="s">
        <v>8</v>
      </c>
      <c r="C21" t="s">
        <v>10</v>
      </c>
      <c r="E21" s="4">
        <v>8</v>
      </c>
      <c r="F21" s="4"/>
      <c r="G21" s="4">
        <v>8</v>
      </c>
      <c r="H21" s="5">
        <f t="shared" si="1"/>
        <v>24</v>
      </c>
      <c r="I21" s="23"/>
      <c r="J21" s="26"/>
    </row>
    <row r="22" spans="1:10" hidden="1" x14ac:dyDescent="0.35">
      <c r="A22" t="s">
        <v>47</v>
      </c>
      <c r="B22" t="s">
        <v>10</v>
      </c>
      <c r="C22" t="s">
        <v>10</v>
      </c>
      <c r="E22" s="4">
        <v>7</v>
      </c>
      <c r="F22" s="4"/>
      <c r="G22" s="4">
        <v>7</v>
      </c>
      <c r="H22" s="5">
        <f t="shared" si="1"/>
        <v>21</v>
      </c>
      <c r="I22" s="23"/>
      <c r="J22" s="26"/>
    </row>
    <row r="23" spans="1:10" hidden="1" x14ac:dyDescent="0.35">
      <c r="A23" t="s">
        <v>47</v>
      </c>
      <c r="B23" t="s">
        <v>9</v>
      </c>
      <c r="C23" t="s">
        <v>10</v>
      </c>
      <c r="E23" s="4">
        <v>6</v>
      </c>
      <c r="F23" s="5"/>
      <c r="G23" s="4">
        <v>6</v>
      </c>
      <c r="H23" s="5">
        <f t="shared" si="1"/>
        <v>18</v>
      </c>
      <c r="I23" s="23"/>
      <c r="J23" s="26"/>
    </row>
    <row r="24" spans="1:10" hidden="1" x14ac:dyDescent="0.35">
      <c r="A24" t="s">
        <v>47</v>
      </c>
      <c r="B24" t="s">
        <v>7</v>
      </c>
      <c r="C24" t="s">
        <v>9</v>
      </c>
      <c r="E24" s="4">
        <v>5</v>
      </c>
      <c r="F24" s="5"/>
      <c r="G24" s="4">
        <v>5</v>
      </c>
      <c r="H24" s="5">
        <f t="shared" si="1"/>
        <v>20</v>
      </c>
      <c r="I24" s="23"/>
      <c r="J24" s="26"/>
    </row>
    <row r="25" spans="1:10" hidden="1" x14ac:dyDescent="0.35">
      <c r="A25" t="s">
        <v>47</v>
      </c>
      <c r="B25" t="s">
        <v>11</v>
      </c>
      <c r="C25" t="s">
        <v>6</v>
      </c>
      <c r="E25" s="4">
        <v>4</v>
      </c>
      <c r="F25" s="5"/>
      <c r="G25" s="4">
        <v>4</v>
      </c>
      <c r="H25" s="5">
        <f t="shared" si="1"/>
        <v>4</v>
      </c>
      <c r="I25" s="23"/>
      <c r="J25" s="26"/>
    </row>
    <row r="26" spans="1:10" hidden="1" x14ac:dyDescent="0.35">
      <c r="A26" t="s">
        <v>47</v>
      </c>
      <c r="B26" t="s">
        <v>12</v>
      </c>
      <c r="C26" t="s">
        <v>8</v>
      </c>
      <c r="E26" s="4">
        <v>3</v>
      </c>
      <c r="F26" s="5"/>
      <c r="G26" s="4">
        <v>3</v>
      </c>
      <c r="H26" s="5">
        <f t="shared" si="1"/>
        <v>6</v>
      </c>
      <c r="I26" s="23"/>
      <c r="J26" s="26"/>
    </row>
    <row r="27" spans="1:10" hidden="1" x14ac:dyDescent="0.35">
      <c r="A27" t="s">
        <v>47</v>
      </c>
      <c r="B27" t="s">
        <v>14</v>
      </c>
      <c r="C27" t="s">
        <v>6</v>
      </c>
      <c r="E27" s="4">
        <v>2</v>
      </c>
      <c r="G27" s="4">
        <v>2</v>
      </c>
      <c r="H27" s="5">
        <f t="shared" si="1"/>
        <v>2</v>
      </c>
      <c r="I27" s="23"/>
      <c r="J27" s="26"/>
    </row>
    <row r="28" spans="1:10" hidden="1" x14ac:dyDescent="0.35">
      <c r="A28" t="s">
        <v>47</v>
      </c>
      <c r="B28" t="s">
        <v>15</v>
      </c>
      <c r="C28" t="s">
        <v>13</v>
      </c>
      <c r="E28" s="4">
        <v>1</v>
      </c>
      <c r="G28" s="4">
        <v>1</v>
      </c>
      <c r="H28" s="5">
        <f t="shared" si="1"/>
        <v>0</v>
      </c>
      <c r="I28" s="24"/>
      <c r="J28" s="27"/>
    </row>
    <row r="29" spans="1:10" x14ac:dyDescent="0.35">
      <c r="A29" t="s">
        <v>48</v>
      </c>
      <c r="B29" t="s">
        <v>6</v>
      </c>
      <c r="C29" t="s">
        <v>13</v>
      </c>
      <c r="E29" s="4">
        <v>9</v>
      </c>
      <c r="F29" s="4"/>
      <c r="G29" s="4">
        <v>9</v>
      </c>
      <c r="H29" s="5">
        <f t="shared" si="1"/>
        <v>0</v>
      </c>
      <c r="I29" s="22">
        <f t="shared" ref="I29" si="3">SUM(H29:H37)</f>
        <v>92</v>
      </c>
      <c r="J29" s="25">
        <f t="shared" ref="J29" si="4">I29/$I$1</f>
        <v>0.11358024691358025</v>
      </c>
    </row>
    <row r="30" spans="1:10" hidden="1" x14ac:dyDescent="0.35">
      <c r="A30" t="s">
        <v>48</v>
      </c>
      <c r="B30" t="s">
        <v>8</v>
      </c>
      <c r="C30" t="s">
        <v>8</v>
      </c>
      <c r="E30" s="4">
        <v>8</v>
      </c>
      <c r="F30" s="4"/>
      <c r="G30" s="4">
        <v>8</v>
      </c>
      <c r="H30" s="5">
        <f t="shared" si="1"/>
        <v>16</v>
      </c>
      <c r="I30" s="23"/>
      <c r="J30" s="26"/>
    </row>
    <row r="31" spans="1:10" hidden="1" x14ac:dyDescent="0.35">
      <c r="A31" t="s">
        <v>48</v>
      </c>
      <c r="B31" t="s">
        <v>10</v>
      </c>
      <c r="C31" t="s">
        <v>6</v>
      </c>
      <c r="E31" s="4">
        <v>7</v>
      </c>
      <c r="F31" s="4"/>
      <c r="G31" s="4">
        <v>7</v>
      </c>
      <c r="H31" s="5">
        <f t="shared" si="1"/>
        <v>7</v>
      </c>
      <c r="I31" s="23"/>
      <c r="J31" s="26"/>
    </row>
    <row r="32" spans="1:10" hidden="1" x14ac:dyDescent="0.35">
      <c r="A32" t="s">
        <v>48</v>
      </c>
      <c r="B32" t="s">
        <v>9</v>
      </c>
      <c r="C32" t="s">
        <v>10</v>
      </c>
      <c r="E32" s="4">
        <v>6</v>
      </c>
      <c r="F32" s="5"/>
      <c r="G32" s="4">
        <v>6</v>
      </c>
      <c r="H32" s="5">
        <f t="shared" si="1"/>
        <v>18</v>
      </c>
      <c r="I32" s="23"/>
      <c r="J32" s="26"/>
    </row>
    <row r="33" spans="1:10" hidden="1" x14ac:dyDescent="0.35">
      <c r="A33" t="s">
        <v>48</v>
      </c>
      <c r="B33" t="s">
        <v>7</v>
      </c>
      <c r="C33" t="s">
        <v>7</v>
      </c>
      <c r="E33" s="4">
        <v>5</v>
      </c>
      <c r="F33" s="5"/>
      <c r="G33" s="4">
        <v>5</v>
      </c>
      <c r="H33" s="5">
        <f t="shared" si="1"/>
        <v>25</v>
      </c>
      <c r="I33" s="23"/>
      <c r="J33" s="26"/>
    </row>
    <row r="34" spans="1:10" hidden="1" x14ac:dyDescent="0.35">
      <c r="A34" t="s">
        <v>48</v>
      </c>
      <c r="B34" t="s">
        <v>11</v>
      </c>
      <c r="C34" t="s">
        <v>7</v>
      </c>
      <c r="E34" s="4">
        <v>4</v>
      </c>
      <c r="F34" s="5"/>
      <c r="G34" s="4">
        <v>4</v>
      </c>
      <c r="H34" s="5">
        <f t="shared" si="1"/>
        <v>20</v>
      </c>
      <c r="I34" s="23"/>
      <c r="J34" s="26"/>
    </row>
    <row r="35" spans="1:10" hidden="1" x14ac:dyDescent="0.35">
      <c r="A35" t="s">
        <v>48</v>
      </c>
      <c r="B35" t="s">
        <v>12</v>
      </c>
      <c r="C35" t="s">
        <v>8</v>
      </c>
      <c r="E35" s="4">
        <v>3</v>
      </c>
      <c r="F35" s="5"/>
      <c r="G35" s="4">
        <v>3</v>
      </c>
      <c r="H35" s="5">
        <f t="shared" si="1"/>
        <v>6</v>
      </c>
      <c r="I35" s="23"/>
      <c r="J35" s="26"/>
    </row>
    <row r="36" spans="1:10" hidden="1" x14ac:dyDescent="0.35">
      <c r="A36" t="s">
        <v>48</v>
      </c>
      <c r="B36" t="s">
        <v>14</v>
      </c>
      <c r="C36" t="s">
        <v>13</v>
      </c>
      <c r="E36" s="4">
        <v>2</v>
      </c>
      <c r="G36" s="4">
        <v>2</v>
      </c>
      <c r="H36" s="5">
        <f t="shared" si="1"/>
        <v>0</v>
      </c>
      <c r="I36" s="23"/>
      <c r="J36" s="26"/>
    </row>
    <row r="37" spans="1:10" hidden="1" x14ac:dyDescent="0.35">
      <c r="A37" t="s">
        <v>48</v>
      </c>
      <c r="B37" t="s">
        <v>15</v>
      </c>
      <c r="C37" t="s">
        <v>13</v>
      </c>
      <c r="E37" s="4">
        <v>1</v>
      </c>
      <c r="G37" s="4">
        <v>1</v>
      </c>
      <c r="H37" s="5">
        <f t="shared" si="1"/>
        <v>0</v>
      </c>
      <c r="I37" s="24"/>
      <c r="J37" s="27"/>
    </row>
    <row r="38" spans="1:10" x14ac:dyDescent="0.35">
      <c r="A38" t="s">
        <v>49</v>
      </c>
      <c r="B38" t="s">
        <v>6</v>
      </c>
      <c r="C38" t="s">
        <v>13</v>
      </c>
      <c r="E38" s="4">
        <v>9</v>
      </c>
      <c r="F38" s="4"/>
      <c r="G38" s="4">
        <v>9</v>
      </c>
      <c r="H38" s="5">
        <f t="shared" si="1"/>
        <v>0</v>
      </c>
      <c r="I38" s="22">
        <f t="shared" ref="I38" si="5">SUM(H38:H46)</f>
        <v>61</v>
      </c>
      <c r="J38" s="25">
        <f t="shared" ref="J38" si="6">I38/$I$1</f>
        <v>7.5308641975308649E-2</v>
      </c>
    </row>
    <row r="39" spans="1:10" hidden="1" x14ac:dyDescent="0.35">
      <c r="A39" t="s">
        <v>49</v>
      </c>
      <c r="B39" t="s">
        <v>8</v>
      </c>
      <c r="C39" t="s">
        <v>13</v>
      </c>
      <c r="E39" s="4">
        <v>8</v>
      </c>
      <c r="F39" s="4"/>
      <c r="G39" s="4">
        <v>8</v>
      </c>
      <c r="H39" s="5">
        <f t="shared" si="1"/>
        <v>0</v>
      </c>
      <c r="I39" s="23"/>
      <c r="J39" s="26"/>
    </row>
    <row r="40" spans="1:10" hidden="1" x14ac:dyDescent="0.35">
      <c r="A40" t="s">
        <v>49</v>
      </c>
      <c r="B40" t="s">
        <v>10</v>
      </c>
      <c r="C40" t="s">
        <v>13</v>
      </c>
      <c r="E40" s="4">
        <v>7</v>
      </c>
      <c r="F40" s="4"/>
      <c r="G40" s="4">
        <v>7</v>
      </c>
      <c r="H40" s="5">
        <f t="shared" si="1"/>
        <v>0</v>
      </c>
      <c r="I40" s="23"/>
      <c r="J40" s="26"/>
    </row>
    <row r="41" spans="1:10" hidden="1" x14ac:dyDescent="0.35">
      <c r="A41" t="s">
        <v>49</v>
      </c>
      <c r="B41" t="s">
        <v>9</v>
      </c>
      <c r="C41" t="s">
        <v>13</v>
      </c>
      <c r="E41" s="4">
        <v>6</v>
      </c>
      <c r="F41" s="5"/>
      <c r="G41" s="4">
        <v>6</v>
      </c>
      <c r="H41" s="5">
        <f t="shared" si="1"/>
        <v>0</v>
      </c>
      <c r="I41" s="23"/>
      <c r="J41" s="26"/>
    </row>
    <row r="42" spans="1:10" hidden="1" x14ac:dyDescent="0.35">
      <c r="A42" t="s">
        <v>49</v>
      </c>
      <c r="B42" t="s">
        <v>7</v>
      </c>
      <c r="C42" t="s">
        <v>7</v>
      </c>
      <c r="E42" s="4">
        <v>5</v>
      </c>
      <c r="F42" s="5"/>
      <c r="G42" s="4">
        <v>5</v>
      </c>
      <c r="H42" s="5">
        <f t="shared" si="1"/>
        <v>25</v>
      </c>
      <c r="I42" s="23"/>
      <c r="J42" s="26"/>
    </row>
    <row r="43" spans="1:10" hidden="1" x14ac:dyDescent="0.35">
      <c r="A43" t="s">
        <v>49</v>
      </c>
      <c r="B43" t="s">
        <v>11</v>
      </c>
      <c r="C43" t="s">
        <v>7</v>
      </c>
      <c r="E43" s="4">
        <v>4</v>
      </c>
      <c r="F43" s="5"/>
      <c r="G43" s="4">
        <v>4</v>
      </c>
      <c r="H43" s="5">
        <f t="shared" si="1"/>
        <v>20</v>
      </c>
      <c r="I43" s="23"/>
      <c r="J43" s="26"/>
    </row>
    <row r="44" spans="1:10" hidden="1" x14ac:dyDescent="0.35">
      <c r="A44" t="s">
        <v>49</v>
      </c>
      <c r="B44" t="s">
        <v>12</v>
      </c>
      <c r="C44" t="s">
        <v>8</v>
      </c>
      <c r="E44" s="4">
        <v>3</v>
      </c>
      <c r="F44" s="5"/>
      <c r="G44" s="4">
        <v>3</v>
      </c>
      <c r="H44" s="5">
        <f t="shared" si="1"/>
        <v>6</v>
      </c>
      <c r="I44" s="23"/>
      <c r="J44" s="26"/>
    </row>
    <row r="45" spans="1:10" hidden="1" x14ac:dyDescent="0.35">
      <c r="A45" t="s">
        <v>49</v>
      </c>
      <c r="B45" t="s">
        <v>14</v>
      </c>
      <c r="C45" t="s">
        <v>9</v>
      </c>
      <c r="E45" s="4">
        <v>2</v>
      </c>
      <c r="G45" s="4">
        <v>2</v>
      </c>
      <c r="H45" s="5">
        <f t="shared" si="1"/>
        <v>8</v>
      </c>
      <c r="I45" s="23"/>
      <c r="J45" s="26"/>
    </row>
    <row r="46" spans="1:10" hidden="1" x14ac:dyDescent="0.35">
      <c r="A46" t="s">
        <v>49</v>
      </c>
      <c r="B46" t="s">
        <v>15</v>
      </c>
      <c r="C46" t="s">
        <v>8</v>
      </c>
      <c r="E46" s="4">
        <v>1</v>
      </c>
      <c r="G46" s="4">
        <v>1</v>
      </c>
      <c r="H46" s="5">
        <f t="shared" si="1"/>
        <v>2</v>
      </c>
      <c r="I46" s="24"/>
      <c r="J46" s="27"/>
    </row>
    <row r="47" spans="1:10" x14ac:dyDescent="0.35">
      <c r="A47" t="s">
        <v>50</v>
      </c>
      <c r="B47" t="s">
        <v>6</v>
      </c>
      <c r="C47" t="s">
        <v>10</v>
      </c>
      <c r="E47" s="4">
        <v>9</v>
      </c>
      <c r="F47" s="4"/>
      <c r="G47" s="4">
        <v>9</v>
      </c>
      <c r="H47" s="5">
        <f t="shared" si="1"/>
        <v>27</v>
      </c>
      <c r="I47" s="22">
        <f t="shared" ref="I47" si="7">SUM(H47:H55)</f>
        <v>104</v>
      </c>
      <c r="J47" s="25">
        <f t="shared" ref="J47" si="8">I47/$I$1</f>
        <v>0.12839506172839507</v>
      </c>
    </row>
    <row r="48" spans="1:10" hidden="1" x14ac:dyDescent="0.35">
      <c r="A48" t="s">
        <v>50</v>
      </c>
      <c r="B48" t="s">
        <v>8</v>
      </c>
      <c r="C48" t="s">
        <v>10</v>
      </c>
      <c r="E48" s="4">
        <v>8</v>
      </c>
      <c r="F48" s="4"/>
      <c r="G48" s="4">
        <v>8</v>
      </c>
      <c r="H48" s="5">
        <f t="shared" si="1"/>
        <v>24</v>
      </c>
      <c r="I48" s="23"/>
      <c r="J48" s="26"/>
    </row>
    <row r="49" spans="1:10" hidden="1" x14ac:dyDescent="0.35">
      <c r="A49" t="s">
        <v>50</v>
      </c>
      <c r="B49" t="s">
        <v>10</v>
      </c>
      <c r="C49" t="s">
        <v>10</v>
      </c>
      <c r="E49" s="4">
        <v>7</v>
      </c>
      <c r="F49" s="4"/>
      <c r="G49" s="4">
        <v>7</v>
      </c>
      <c r="H49" s="5">
        <f t="shared" si="1"/>
        <v>21</v>
      </c>
      <c r="I49" s="23"/>
      <c r="J49" s="26"/>
    </row>
    <row r="50" spans="1:10" hidden="1" x14ac:dyDescent="0.35">
      <c r="A50" t="s">
        <v>50</v>
      </c>
      <c r="B50" t="s">
        <v>9</v>
      </c>
      <c r="C50" t="s">
        <v>6</v>
      </c>
      <c r="E50" s="4">
        <v>6</v>
      </c>
      <c r="F50" s="5"/>
      <c r="G50" s="4">
        <v>6</v>
      </c>
      <c r="H50" s="5">
        <f t="shared" si="1"/>
        <v>6</v>
      </c>
      <c r="I50" s="23"/>
      <c r="J50" s="26"/>
    </row>
    <row r="51" spans="1:10" hidden="1" x14ac:dyDescent="0.35">
      <c r="A51" t="s">
        <v>50</v>
      </c>
      <c r="B51" t="s">
        <v>7</v>
      </c>
      <c r="C51" t="s">
        <v>6</v>
      </c>
      <c r="E51" s="4">
        <v>5</v>
      </c>
      <c r="F51" s="5"/>
      <c r="G51" s="4">
        <v>5</v>
      </c>
      <c r="H51" s="5">
        <f t="shared" si="1"/>
        <v>5</v>
      </c>
      <c r="I51" s="23"/>
      <c r="J51" s="26"/>
    </row>
    <row r="52" spans="1:10" hidden="1" x14ac:dyDescent="0.35">
      <c r="A52" t="s">
        <v>50</v>
      </c>
      <c r="B52" t="s">
        <v>11</v>
      </c>
      <c r="C52" t="s">
        <v>10</v>
      </c>
      <c r="E52" s="4">
        <v>4</v>
      </c>
      <c r="F52" s="5"/>
      <c r="G52" s="4">
        <v>4</v>
      </c>
      <c r="H52" s="5">
        <f t="shared" si="1"/>
        <v>12</v>
      </c>
      <c r="I52" s="23"/>
      <c r="J52" s="26"/>
    </row>
    <row r="53" spans="1:10" hidden="1" x14ac:dyDescent="0.35">
      <c r="A53" t="s">
        <v>50</v>
      </c>
      <c r="B53" t="s">
        <v>12</v>
      </c>
      <c r="C53" t="s">
        <v>8</v>
      </c>
      <c r="E53" s="4">
        <v>3</v>
      </c>
      <c r="F53" s="5"/>
      <c r="G53" s="4">
        <v>3</v>
      </c>
      <c r="H53" s="5">
        <f t="shared" si="1"/>
        <v>6</v>
      </c>
      <c r="I53" s="23"/>
      <c r="J53" s="26"/>
    </row>
    <row r="54" spans="1:10" hidden="1" x14ac:dyDescent="0.35">
      <c r="A54" t="s">
        <v>50</v>
      </c>
      <c r="B54" t="s">
        <v>14</v>
      </c>
      <c r="C54" t="s">
        <v>6</v>
      </c>
      <c r="E54" s="4">
        <v>2</v>
      </c>
      <c r="G54" s="4">
        <v>2</v>
      </c>
      <c r="H54" s="5">
        <f t="shared" si="1"/>
        <v>2</v>
      </c>
      <c r="I54" s="23"/>
      <c r="J54" s="26"/>
    </row>
    <row r="55" spans="1:10" hidden="1" x14ac:dyDescent="0.35">
      <c r="A55" t="s">
        <v>50</v>
      </c>
      <c r="B55" t="s">
        <v>15</v>
      </c>
      <c r="C55" t="s">
        <v>6</v>
      </c>
      <c r="E55" s="4">
        <v>1</v>
      </c>
      <c r="G55" s="4">
        <v>1</v>
      </c>
      <c r="H55" s="5">
        <f t="shared" si="1"/>
        <v>1</v>
      </c>
      <c r="I55" s="24"/>
      <c r="J55" s="27"/>
    </row>
    <row r="56" spans="1:10" x14ac:dyDescent="0.35">
      <c r="A56" t="s">
        <v>51</v>
      </c>
      <c r="B56" t="s">
        <v>6</v>
      </c>
      <c r="C56" t="s">
        <v>6</v>
      </c>
      <c r="E56" s="4">
        <v>9</v>
      </c>
      <c r="F56" s="4"/>
      <c r="G56" s="4">
        <v>9</v>
      </c>
      <c r="H56" s="5">
        <f t="shared" si="1"/>
        <v>9</v>
      </c>
      <c r="I56" s="22">
        <f t="shared" ref="I56" si="9">SUM(H56:H64)</f>
        <v>89</v>
      </c>
      <c r="J56" s="25">
        <f t="shared" ref="J56" si="10">I56/$I$1</f>
        <v>0.10987654320987654</v>
      </c>
    </row>
    <row r="57" spans="1:10" hidden="1" x14ac:dyDescent="0.35">
      <c r="A57" t="s">
        <v>51</v>
      </c>
      <c r="B57" t="s">
        <v>8</v>
      </c>
      <c r="C57" t="s">
        <v>6</v>
      </c>
      <c r="E57" s="4">
        <v>8</v>
      </c>
      <c r="F57" s="4"/>
      <c r="G57" s="4">
        <v>8</v>
      </c>
      <c r="H57" s="5">
        <f t="shared" si="1"/>
        <v>8</v>
      </c>
      <c r="I57" s="23"/>
      <c r="J57" s="26"/>
    </row>
    <row r="58" spans="1:10" hidden="1" x14ac:dyDescent="0.35">
      <c r="A58" t="s">
        <v>51</v>
      </c>
      <c r="B58" t="s">
        <v>10</v>
      </c>
      <c r="C58" t="s">
        <v>11</v>
      </c>
      <c r="E58" s="4">
        <v>7</v>
      </c>
      <c r="F58" s="4"/>
      <c r="G58" s="4">
        <v>7</v>
      </c>
      <c r="H58" s="5">
        <f t="shared" si="1"/>
        <v>42</v>
      </c>
      <c r="I58" s="23"/>
      <c r="J58" s="26"/>
    </row>
    <row r="59" spans="1:10" hidden="1" x14ac:dyDescent="0.35">
      <c r="A59" t="s">
        <v>51</v>
      </c>
      <c r="B59" t="s">
        <v>9</v>
      </c>
      <c r="C59" t="s">
        <v>6</v>
      </c>
      <c r="E59" s="4">
        <v>6</v>
      </c>
      <c r="F59" s="5"/>
      <c r="G59" s="4">
        <v>6</v>
      </c>
      <c r="H59" s="5">
        <f t="shared" si="1"/>
        <v>6</v>
      </c>
      <c r="I59" s="23"/>
      <c r="J59" s="26"/>
    </row>
    <row r="60" spans="1:10" hidden="1" x14ac:dyDescent="0.35">
      <c r="A60" t="s">
        <v>51</v>
      </c>
      <c r="B60" t="s">
        <v>7</v>
      </c>
      <c r="C60" t="s">
        <v>13</v>
      </c>
      <c r="E60" s="4">
        <v>5</v>
      </c>
      <c r="F60" s="5"/>
      <c r="G60" s="4">
        <v>5</v>
      </c>
      <c r="H60" s="5">
        <f t="shared" si="1"/>
        <v>0</v>
      </c>
      <c r="I60" s="23"/>
      <c r="J60" s="26"/>
    </row>
    <row r="61" spans="1:10" hidden="1" x14ac:dyDescent="0.35">
      <c r="A61" t="s">
        <v>51</v>
      </c>
      <c r="B61" t="s">
        <v>11</v>
      </c>
      <c r="C61" t="s">
        <v>13</v>
      </c>
      <c r="E61" s="4">
        <v>4</v>
      </c>
      <c r="F61" s="5"/>
      <c r="G61" s="4">
        <v>4</v>
      </c>
      <c r="H61" s="5">
        <f t="shared" si="1"/>
        <v>0</v>
      </c>
      <c r="I61" s="23"/>
      <c r="J61" s="26"/>
    </row>
    <row r="62" spans="1:10" hidden="1" x14ac:dyDescent="0.35">
      <c r="A62" t="s">
        <v>51</v>
      </c>
      <c r="B62" t="s">
        <v>12</v>
      </c>
      <c r="C62" t="s">
        <v>12</v>
      </c>
      <c r="E62" s="4">
        <v>3</v>
      </c>
      <c r="F62" s="5"/>
      <c r="G62" s="4">
        <v>3</v>
      </c>
      <c r="H62" s="5">
        <f t="shared" si="1"/>
        <v>21</v>
      </c>
      <c r="I62" s="23"/>
      <c r="J62" s="26"/>
    </row>
    <row r="63" spans="1:10" hidden="1" x14ac:dyDescent="0.35">
      <c r="A63" t="s">
        <v>51</v>
      </c>
      <c r="B63" t="s">
        <v>14</v>
      </c>
      <c r="C63" t="s">
        <v>6</v>
      </c>
      <c r="E63" s="4">
        <v>2</v>
      </c>
      <c r="G63" s="4">
        <v>2</v>
      </c>
      <c r="H63" s="5">
        <f t="shared" si="1"/>
        <v>2</v>
      </c>
      <c r="I63" s="23"/>
      <c r="J63" s="26"/>
    </row>
    <row r="64" spans="1:10" hidden="1" x14ac:dyDescent="0.35">
      <c r="A64" t="s">
        <v>51</v>
      </c>
      <c r="B64" t="s">
        <v>15</v>
      </c>
      <c r="C64" t="s">
        <v>6</v>
      </c>
      <c r="E64" s="4">
        <v>1</v>
      </c>
      <c r="G64" s="4">
        <v>1</v>
      </c>
      <c r="H64" s="5">
        <f t="shared" si="1"/>
        <v>1</v>
      </c>
      <c r="I64" s="24"/>
      <c r="J64" s="27"/>
    </row>
    <row r="65" spans="1:10" x14ac:dyDescent="0.35">
      <c r="A65" t="s">
        <v>52</v>
      </c>
      <c r="B65" t="s">
        <v>6</v>
      </c>
      <c r="C65" t="s">
        <v>8</v>
      </c>
      <c r="E65" s="4">
        <v>9</v>
      </c>
      <c r="F65" s="4"/>
      <c r="G65" s="4">
        <v>9</v>
      </c>
      <c r="H65" s="5">
        <f t="shared" si="1"/>
        <v>18</v>
      </c>
      <c r="I65" s="22">
        <f t="shared" ref="I65" si="11">SUM(H65:H73)</f>
        <v>55</v>
      </c>
      <c r="J65" s="25">
        <f t="shared" ref="J65" si="12">I65/$I$1</f>
        <v>6.7901234567901231E-2</v>
      </c>
    </row>
    <row r="66" spans="1:10" hidden="1" x14ac:dyDescent="0.35">
      <c r="A66" t="s">
        <v>52</v>
      </c>
      <c r="B66" t="s">
        <v>8</v>
      </c>
      <c r="C66" t="s">
        <v>13</v>
      </c>
      <c r="E66" s="4">
        <v>8</v>
      </c>
      <c r="F66" s="4"/>
      <c r="G66" s="4">
        <v>8</v>
      </c>
      <c r="H66" s="5">
        <f t="shared" si="1"/>
        <v>0</v>
      </c>
      <c r="I66" s="23"/>
      <c r="J66" s="26"/>
    </row>
    <row r="67" spans="1:10" hidden="1" x14ac:dyDescent="0.35">
      <c r="A67" t="s">
        <v>52</v>
      </c>
      <c r="B67" t="s">
        <v>10</v>
      </c>
      <c r="C67" t="s">
        <v>13</v>
      </c>
      <c r="E67" s="4">
        <v>7</v>
      </c>
      <c r="F67" s="4"/>
      <c r="G67" s="4">
        <v>7</v>
      </c>
      <c r="H67" s="5">
        <f t="shared" si="1"/>
        <v>0</v>
      </c>
      <c r="I67" s="23"/>
      <c r="J67" s="26"/>
    </row>
    <row r="68" spans="1:10" hidden="1" x14ac:dyDescent="0.35">
      <c r="A68" t="s">
        <v>52</v>
      </c>
      <c r="B68" t="s">
        <v>9</v>
      </c>
      <c r="C68" t="s">
        <v>8</v>
      </c>
      <c r="E68" s="4">
        <v>6</v>
      </c>
      <c r="F68" s="5"/>
      <c r="G68" s="4">
        <v>6</v>
      </c>
      <c r="H68" s="5">
        <f t="shared" si="1"/>
        <v>12</v>
      </c>
      <c r="I68" s="23"/>
      <c r="J68" s="26"/>
    </row>
    <row r="69" spans="1:10" hidden="1" x14ac:dyDescent="0.35">
      <c r="A69" t="s">
        <v>52</v>
      </c>
      <c r="B69" t="s">
        <v>7</v>
      </c>
      <c r="C69" t="s">
        <v>13</v>
      </c>
      <c r="E69" s="4">
        <v>5</v>
      </c>
      <c r="F69" s="5"/>
      <c r="G69" s="4">
        <v>5</v>
      </c>
      <c r="H69" s="5">
        <f t="shared" si="1"/>
        <v>0</v>
      </c>
      <c r="I69" s="23"/>
      <c r="J69" s="26"/>
    </row>
    <row r="70" spans="1:10" hidden="1" x14ac:dyDescent="0.35">
      <c r="A70" t="s">
        <v>52</v>
      </c>
      <c r="B70" t="s">
        <v>11</v>
      </c>
      <c r="C70" t="s">
        <v>13</v>
      </c>
      <c r="E70" s="4">
        <v>4</v>
      </c>
      <c r="F70" s="5"/>
      <c r="G70" s="4">
        <v>4</v>
      </c>
      <c r="H70" s="5">
        <f t="shared" si="1"/>
        <v>0</v>
      </c>
      <c r="I70" s="23"/>
      <c r="J70" s="26"/>
    </row>
    <row r="71" spans="1:10" hidden="1" x14ac:dyDescent="0.35">
      <c r="A71" t="s">
        <v>52</v>
      </c>
      <c r="B71" t="s">
        <v>12</v>
      </c>
      <c r="C71" t="s">
        <v>8</v>
      </c>
      <c r="E71" s="4">
        <v>3</v>
      </c>
      <c r="F71" s="5"/>
      <c r="G71" s="4">
        <v>3</v>
      </c>
      <c r="H71" s="5">
        <f t="shared" si="1"/>
        <v>6</v>
      </c>
      <c r="I71" s="23"/>
      <c r="J71" s="26"/>
    </row>
    <row r="72" spans="1:10" hidden="1" x14ac:dyDescent="0.35">
      <c r="A72" t="s">
        <v>52</v>
      </c>
      <c r="B72" t="s">
        <v>14</v>
      </c>
      <c r="C72" t="s">
        <v>12</v>
      </c>
      <c r="E72" s="4">
        <v>2</v>
      </c>
      <c r="G72" s="4">
        <v>2</v>
      </c>
      <c r="H72" s="5">
        <f t="shared" si="1"/>
        <v>14</v>
      </c>
      <c r="I72" s="23"/>
      <c r="J72" s="26"/>
    </row>
    <row r="73" spans="1:10" hidden="1" x14ac:dyDescent="0.35">
      <c r="A73" t="s">
        <v>52</v>
      </c>
      <c r="B73" t="s">
        <v>15</v>
      </c>
      <c r="C73" t="s">
        <v>7</v>
      </c>
      <c r="E73" s="4">
        <v>1</v>
      </c>
      <c r="G73" s="4">
        <v>1</v>
      </c>
      <c r="H73" s="5">
        <f t="shared" si="1"/>
        <v>5</v>
      </c>
      <c r="I73" s="24"/>
      <c r="J73" s="27"/>
    </row>
    <row r="74" spans="1:10" x14ac:dyDescent="0.35">
      <c r="A74" t="s">
        <v>53</v>
      </c>
      <c r="B74" t="s">
        <v>6</v>
      </c>
      <c r="C74" t="s">
        <v>13</v>
      </c>
      <c r="E74" s="4">
        <v>9</v>
      </c>
      <c r="F74" s="4"/>
      <c r="G74" s="4">
        <v>9</v>
      </c>
      <c r="H74" s="5">
        <f t="shared" si="1"/>
        <v>0</v>
      </c>
      <c r="I74" s="22">
        <f t="shared" ref="I74" si="13">SUM(H74:H82)</f>
        <v>47</v>
      </c>
      <c r="J74" s="25">
        <f t="shared" ref="J74" si="14">I74/$I$1</f>
        <v>5.802469135802469E-2</v>
      </c>
    </row>
    <row r="75" spans="1:10" hidden="1" x14ac:dyDescent="0.35">
      <c r="A75" t="s">
        <v>53</v>
      </c>
      <c r="B75" t="s">
        <v>8</v>
      </c>
      <c r="C75" t="s">
        <v>8</v>
      </c>
      <c r="E75" s="4">
        <v>8</v>
      </c>
      <c r="F75" s="4"/>
      <c r="G75" s="4">
        <v>8</v>
      </c>
      <c r="H75" s="5">
        <f t="shared" si="1"/>
        <v>16</v>
      </c>
      <c r="I75" s="23"/>
      <c r="J75" s="26"/>
    </row>
    <row r="76" spans="1:10" hidden="1" x14ac:dyDescent="0.35">
      <c r="A76" t="s">
        <v>53</v>
      </c>
      <c r="B76" t="s">
        <v>10</v>
      </c>
      <c r="C76" t="s">
        <v>13</v>
      </c>
      <c r="E76" s="4">
        <v>7</v>
      </c>
      <c r="F76" s="4"/>
      <c r="G76" s="4">
        <v>7</v>
      </c>
      <c r="H76" s="5">
        <f t="shared" ref="H76:H82" si="15">G76*C76</f>
        <v>0</v>
      </c>
      <c r="I76" s="23"/>
      <c r="J76" s="26"/>
    </row>
    <row r="77" spans="1:10" hidden="1" x14ac:dyDescent="0.35">
      <c r="A77" t="s">
        <v>53</v>
      </c>
      <c r="B77" t="s">
        <v>9</v>
      </c>
      <c r="C77" t="s">
        <v>13</v>
      </c>
      <c r="E77" s="4">
        <v>6</v>
      </c>
      <c r="F77" s="5"/>
      <c r="G77" s="4">
        <v>6</v>
      </c>
      <c r="H77" s="5">
        <f t="shared" si="15"/>
        <v>0</v>
      </c>
      <c r="I77" s="23"/>
      <c r="J77" s="26"/>
    </row>
    <row r="78" spans="1:10" hidden="1" x14ac:dyDescent="0.35">
      <c r="A78" t="s">
        <v>53</v>
      </c>
      <c r="B78" t="s">
        <v>7</v>
      </c>
      <c r="C78" t="s">
        <v>6</v>
      </c>
      <c r="E78" s="4">
        <v>5</v>
      </c>
      <c r="F78" s="5"/>
      <c r="G78" s="4">
        <v>5</v>
      </c>
      <c r="H78" s="5">
        <f t="shared" si="15"/>
        <v>5</v>
      </c>
      <c r="I78" s="23"/>
      <c r="J78" s="26"/>
    </row>
    <row r="79" spans="1:10" hidden="1" x14ac:dyDescent="0.35">
      <c r="A79" t="s">
        <v>53</v>
      </c>
      <c r="B79" t="s">
        <v>11</v>
      </c>
      <c r="C79" t="s">
        <v>8</v>
      </c>
      <c r="E79" s="4">
        <v>4</v>
      </c>
      <c r="F79" s="5"/>
      <c r="G79" s="4">
        <v>4</v>
      </c>
      <c r="H79" s="5">
        <f t="shared" si="15"/>
        <v>8</v>
      </c>
      <c r="I79" s="23"/>
      <c r="J79" s="26"/>
    </row>
    <row r="80" spans="1:10" hidden="1" x14ac:dyDescent="0.35">
      <c r="A80" t="s">
        <v>53</v>
      </c>
      <c r="B80" t="s">
        <v>12</v>
      </c>
      <c r="C80" t="s">
        <v>6</v>
      </c>
      <c r="E80" s="4">
        <v>3</v>
      </c>
      <c r="F80" s="5"/>
      <c r="G80" s="4">
        <v>3</v>
      </c>
      <c r="H80" s="5">
        <f t="shared" si="15"/>
        <v>3</v>
      </c>
      <c r="I80" s="23"/>
      <c r="J80" s="26"/>
    </row>
    <row r="81" spans="1:10" hidden="1" x14ac:dyDescent="0.35">
      <c r="A81" t="s">
        <v>53</v>
      </c>
      <c r="B81" t="s">
        <v>14</v>
      </c>
      <c r="C81" t="s">
        <v>10</v>
      </c>
      <c r="E81" s="4">
        <v>2</v>
      </c>
      <c r="G81" s="4">
        <v>2</v>
      </c>
      <c r="H81" s="5">
        <f t="shared" si="15"/>
        <v>6</v>
      </c>
      <c r="I81" s="23"/>
      <c r="J81" s="26"/>
    </row>
    <row r="82" spans="1:10" hidden="1" x14ac:dyDescent="0.35">
      <c r="A82" t="s">
        <v>53</v>
      </c>
      <c r="B82" t="s">
        <v>15</v>
      </c>
      <c r="C82" t="s">
        <v>15</v>
      </c>
      <c r="E82" s="4">
        <v>1</v>
      </c>
      <c r="G82" s="4">
        <v>1</v>
      </c>
      <c r="H82" s="5">
        <f t="shared" si="15"/>
        <v>9</v>
      </c>
      <c r="I82" s="24"/>
      <c r="J82" s="27"/>
    </row>
  </sheetData>
  <autoFilter ref="A1:J82" xr:uid="{E148D57E-FBE2-4D21-BE99-633031052529}">
    <filterColumn colId="1">
      <filters>
        <filter val="1"/>
      </filters>
    </filterColumn>
  </autoFilter>
  <mergeCells count="18">
    <mergeCell ref="I2:I10"/>
    <mergeCell ref="J2:J10"/>
    <mergeCell ref="I11:I19"/>
    <mergeCell ref="J11:J19"/>
    <mergeCell ref="I20:I28"/>
    <mergeCell ref="J20:J28"/>
    <mergeCell ref="I29:I37"/>
    <mergeCell ref="J29:J37"/>
    <mergeCell ref="I65:I73"/>
    <mergeCell ref="J65:J73"/>
    <mergeCell ref="I74:I82"/>
    <mergeCell ref="J74:J82"/>
    <mergeCell ref="I38:I46"/>
    <mergeCell ref="J38:J46"/>
    <mergeCell ref="I47:I55"/>
    <mergeCell ref="J47:J55"/>
    <mergeCell ref="I56:I64"/>
    <mergeCell ref="J56:J6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B91E9-D6BE-4BF5-803E-6D7E93A485CF}">
  <sheetPr filterMode="1"/>
  <dimension ref="A1:J17"/>
  <sheetViews>
    <sheetView workbookViewId="0">
      <selection activeCell="J6" sqref="J6:J9"/>
    </sheetView>
  </sheetViews>
  <sheetFormatPr baseColWidth="10" defaultColWidth="10.81640625" defaultRowHeight="14.5" x14ac:dyDescent="0.35"/>
  <cols>
    <col min="1" max="1" width="59.1796875" style="14" bestFit="1" customWidth="1"/>
    <col min="2" max="16384" width="10.81640625" style="14"/>
  </cols>
  <sheetData>
    <row r="1" spans="1:10" ht="29" x14ac:dyDescent="0.35">
      <c r="A1" s="3" t="s">
        <v>0</v>
      </c>
      <c r="B1" s="3" t="s">
        <v>1</v>
      </c>
      <c r="C1" s="3" t="s">
        <v>2</v>
      </c>
      <c r="D1" s="3"/>
      <c r="E1" s="3" t="s">
        <v>3</v>
      </c>
      <c r="F1" s="3"/>
      <c r="G1" s="3" t="s">
        <v>4</v>
      </c>
      <c r="H1" s="13">
        <f>SUM(C2:C5)</f>
        <v>0</v>
      </c>
      <c r="I1" s="13">
        <f>SUM(I2:I26)</f>
        <v>180</v>
      </c>
      <c r="J1" s="3"/>
    </row>
    <row r="2" spans="1:10" x14ac:dyDescent="0.35">
      <c r="A2" s="3" t="s">
        <v>54</v>
      </c>
      <c r="B2" s="3" t="s">
        <v>6</v>
      </c>
      <c r="C2" s="3" t="s">
        <v>7</v>
      </c>
      <c r="D2" s="3"/>
      <c r="E2" s="3">
        <v>4</v>
      </c>
      <c r="F2" s="3"/>
      <c r="G2" s="3">
        <v>4</v>
      </c>
      <c r="H2" s="3">
        <f>G2*C2</f>
        <v>20</v>
      </c>
      <c r="I2" s="28">
        <f>SUM(H2:H5)</f>
        <v>47</v>
      </c>
      <c r="J2" s="29">
        <f>I2/$I$1</f>
        <v>0.26111111111111113</v>
      </c>
    </row>
    <row r="3" spans="1:10" hidden="1" x14ac:dyDescent="0.35">
      <c r="A3" s="3" t="s">
        <v>54</v>
      </c>
      <c r="B3" s="3" t="s">
        <v>8</v>
      </c>
      <c r="C3" s="3" t="s">
        <v>11</v>
      </c>
      <c r="D3" s="3"/>
      <c r="E3" s="3">
        <v>3</v>
      </c>
      <c r="F3" s="3"/>
      <c r="G3" s="3">
        <v>3</v>
      </c>
      <c r="H3" s="3">
        <f>G3*C3</f>
        <v>18</v>
      </c>
      <c r="I3" s="28"/>
      <c r="J3" s="29"/>
    </row>
    <row r="4" spans="1:10" hidden="1" x14ac:dyDescent="0.35">
      <c r="A4" s="3" t="s">
        <v>54</v>
      </c>
      <c r="B4" s="3" t="s">
        <v>10</v>
      </c>
      <c r="C4" s="3" t="s">
        <v>8</v>
      </c>
      <c r="D4" s="3"/>
      <c r="E4" s="3">
        <v>2</v>
      </c>
      <c r="F4" s="3"/>
      <c r="G4" s="3">
        <v>2</v>
      </c>
      <c r="H4" s="3">
        <f>G4*C4</f>
        <v>4</v>
      </c>
      <c r="I4" s="28"/>
      <c r="J4" s="29"/>
    </row>
    <row r="5" spans="1:10" hidden="1" x14ac:dyDescent="0.35">
      <c r="A5" s="3" t="s">
        <v>54</v>
      </c>
      <c r="B5" s="3" t="s">
        <v>9</v>
      </c>
      <c r="C5" s="3" t="s">
        <v>7</v>
      </c>
      <c r="D5" s="3"/>
      <c r="E5" s="3">
        <v>1</v>
      </c>
      <c r="F5" s="3"/>
      <c r="G5" s="3">
        <v>1</v>
      </c>
      <c r="H5" s="3">
        <f>G5*C5</f>
        <v>5</v>
      </c>
      <c r="I5" s="28"/>
      <c r="J5" s="29"/>
    </row>
    <row r="6" spans="1:10" x14ac:dyDescent="0.35">
      <c r="A6" s="3" t="s">
        <v>55</v>
      </c>
      <c r="B6" s="3" t="s">
        <v>6</v>
      </c>
      <c r="C6" s="3" t="s">
        <v>11</v>
      </c>
      <c r="D6" s="3"/>
      <c r="E6" s="3">
        <v>4</v>
      </c>
      <c r="F6" s="3"/>
      <c r="G6" s="3">
        <v>4</v>
      </c>
      <c r="H6" s="3">
        <f t="shared" ref="H6:H17" si="0">G6*C6</f>
        <v>24</v>
      </c>
      <c r="I6" s="28">
        <f t="shared" ref="I6" si="1">SUM(H6:H9)</f>
        <v>50</v>
      </c>
      <c r="J6" s="29">
        <f t="shared" ref="J6" si="2">I6/$I$1</f>
        <v>0.27777777777777779</v>
      </c>
    </row>
    <row r="7" spans="1:10" hidden="1" x14ac:dyDescent="0.35">
      <c r="A7" s="3" t="s">
        <v>55</v>
      </c>
      <c r="B7" s="3" t="s">
        <v>8</v>
      </c>
      <c r="C7" s="3" t="s">
        <v>8</v>
      </c>
      <c r="D7" s="3"/>
      <c r="E7" s="3">
        <v>3</v>
      </c>
      <c r="F7" s="3"/>
      <c r="G7" s="3">
        <v>3</v>
      </c>
      <c r="H7" s="3">
        <f t="shared" si="0"/>
        <v>6</v>
      </c>
      <c r="I7" s="28"/>
      <c r="J7" s="29"/>
    </row>
    <row r="8" spans="1:10" hidden="1" x14ac:dyDescent="0.35">
      <c r="A8" s="3" t="s">
        <v>55</v>
      </c>
      <c r="B8" s="3" t="s">
        <v>10</v>
      </c>
      <c r="C8" s="3" t="s">
        <v>16</v>
      </c>
      <c r="D8" s="3"/>
      <c r="E8" s="3">
        <v>2</v>
      </c>
      <c r="F8" s="3"/>
      <c r="G8" s="3">
        <v>2</v>
      </c>
      <c r="H8" s="3">
        <f t="shared" si="0"/>
        <v>20</v>
      </c>
      <c r="I8" s="28"/>
      <c r="J8" s="29"/>
    </row>
    <row r="9" spans="1:10" hidden="1" x14ac:dyDescent="0.35">
      <c r="A9" s="3" t="s">
        <v>55</v>
      </c>
      <c r="B9" s="3" t="s">
        <v>9</v>
      </c>
      <c r="C9" s="3" t="s">
        <v>13</v>
      </c>
      <c r="D9" s="3"/>
      <c r="E9" s="3">
        <v>1</v>
      </c>
      <c r="F9" s="3"/>
      <c r="G9" s="3">
        <v>1</v>
      </c>
      <c r="H9" s="3">
        <f t="shared" si="0"/>
        <v>0</v>
      </c>
      <c r="I9" s="28"/>
      <c r="J9" s="29"/>
    </row>
    <row r="10" spans="1:10" x14ac:dyDescent="0.35">
      <c r="A10" s="3" t="s">
        <v>56</v>
      </c>
      <c r="B10" s="3" t="s">
        <v>6</v>
      </c>
      <c r="C10" s="3" t="s">
        <v>8</v>
      </c>
      <c r="D10" s="3"/>
      <c r="E10" s="3">
        <v>4</v>
      </c>
      <c r="F10" s="3"/>
      <c r="G10" s="3">
        <v>4</v>
      </c>
      <c r="H10" s="3">
        <f t="shared" si="0"/>
        <v>8</v>
      </c>
      <c r="I10" s="28">
        <f t="shared" ref="I10" si="3">SUM(H10:H13)</f>
        <v>38</v>
      </c>
      <c r="J10" s="29">
        <f t="shared" ref="J10" si="4">I10/$I$1</f>
        <v>0.21111111111111111</v>
      </c>
    </row>
    <row r="11" spans="1:10" hidden="1" x14ac:dyDescent="0.35">
      <c r="A11" s="3" t="s">
        <v>56</v>
      </c>
      <c r="B11" s="3" t="s">
        <v>8</v>
      </c>
      <c r="C11" s="3" t="s">
        <v>11</v>
      </c>
      <c r="D11" s="3"/>
      <c r="E11" s="3">
        <v>3</v>
      </c>
      <c r="F11" s="3"/>
      <c r="G11" s="3">
        <v>3</v>
      </c>
      <c r="H11" s="3">
        <f t="shared" si="0"/>
        <v>18</v>
      </c>
      <c r="I11" s="28"/>
      <c r="J11" s="29"/>
    </row>
    <row r="12" spans="1:10" hidden="1" x14ac:dyDescent="0.35">
      <c r="A12" s="3" t="s">
        <v>56</v>
      </c>
      <c r="B12" s="3" t="s">
        <v>10</v>
      </c>
      <c r="C12" s="3" t="s">
        <v>8</v>
      </c>
      <c r="D12" s="3"/>
      <c r="E12" s="3">
        <v>2</v>
      </c>
      <c r="F12" s="3"/>
      <c r="G12" s="3">
        <v>2</v>
      </c>
      <c r="H12" s="3">
        <f t="shared" si="0"/>
        <v>4</v>
      </c>
      <c r="I12" s="28"/>
      <c r="J12" s="29"/>
    </row>
    <row r="13" spans="1:10" hidden="1" x14ac:dyDescent="0.35">
      <c r="A13" s="3" t="s">
        <v>56</v>
      </c>
      <c r="B13" s="3" t="s">
        <v>9</v>
      </c>
      <c r="C13" s="3" t="s">
        <v>14</v>
      </c>
      <c r="D13" s="3"/>
      <c r="E13" s="3">
        <v>1</v>
      </c>
      <c r="F13" s="3"/>
      <c r="G13" s="3">
        <v>1</v>
      </c>
      <c r="H13" s="3">
        <f t="shared" si="0"/>
        <v>8</v>
      </c>
      <c r="I13" s="28"/>
      <c r="J13" s="29"/>
    </row>
    <row r="14" spans="1:10" x14ac:dyDescent="0.35">
      <c r="A14" s="3" t="s">
        <v>57</v>
      </c>
      <c r="B14" s="3" t="s">
        <v>6</v>
      </c>
      <c r="C14" s="3" t="s">
        <v>7</v>
      </c>
      <c r="D14" s="3"/>
      <c r="E14" s="3">
        <v>4</v>
      </c>
      <c r="F14" s="3"/>
      <c r="G14" s="3">
        <v>4</v>
      </c>
      <c r="H14" s="3">
        <f t="shared" si="0"/>
        <v>20</v>
      </c>
      <c r="I14" s="28">
        <f t="shared" ref="I14" si="5">SUM(H14:H17)</f>
        <v>45</v>
      </c>
      <c r="J14" s="29">
        <f t="shared" ref="J14" si="6">I14/$I$1</f>
        <v>0.25</v>
      </c>
    </row>
    <row r="15" spans="1:10" hidden="1" x14ac:dyDescent="0.35">
      <c r="A15" s="3" t="s">
        <v>57</v>
      </c>
      <c r="B15" s="3" t="s">
        <v>8</v>
      </c>
      <c r="C15" s="3" t="s">
        <v>9</v>
      </c>
      <c r="D15" s="3"/>
      <c r="E15" s="3">
        <v>3</v>
      </c>
      <c r="F15" s="3"/>
      <c r="G15" s="3">
        <v>3</v>
      </c>
      <c r="H15" s="3">
        <f t="shared" si="0"/>
        <v>12</v>
      </c>
      <c r="I15" s="28"/>
      <c r="J15" s="29"/>
    </row>
    <row r="16" spans="1:10" hidden="1" x14ac:dyDescent="0.35">
      <c r="A16" s="3" t="s">
        <v>57</v>
      </c>
      <c r="B16" s="3" t="s">
        <v>10</v>
      </c>
      <c r="C16" s="3" t="s">
        <v>9</v>
      </c>
      <c r="D16" s="3"/>
      <c r="E16" s="3">
        <v>2</v>
      </c>
      <c r="F16" s="3"/>
      <c r="G16" s="3">
        <v>2</v>
      </c>
      <c r="H16" s="3">
        <f t="shared" si="0"/>
        <v>8</v>
      </c>
      <c r="I16" s="28"/>
      <c r="J16" s="29"/>
    </row>
    <row r="17" spans="1:10" hidden="1" x14ac:dyDescent="0.35">
      <c r="A17" s="3" t="s">
        <v>57</v>
      </c>
      <c r="B17" s="3" t="s">
        <v>9</v>
      </c>
      <c r="C17" s="3" t="s">
        <v>7</v>
      </c>
      <c r="D17" s="3"/>
      <c r="E17" s="3">
        <v>1</v>
      </c>
      <c r="F17" s="3"/>
      <c r="G17" s="3">
        <v>1</v>
      </c>
      <c r="H17" s="3">
        <f t="shared" si="0"/>
        <v>5</v>
      </c>
      <c r="I17" s="28"/>
      <c r="J17" s="29"/>
    </row>
  </sheetData>
  <autoFilter ref="A1:J17" xr:uid="{35FB91E9-D6BE-4BF5-803E-6D7E93A485CF}">
    <filterColumn colId="1">
      <filters>
        <filter val="1"/>
      </filters>
    </filterColumn>
  </autoFilter>
  <mergeCells count="8">
    <mergeCell ref="I10:I13"/>
    <mergeCell ref="J10:J13"/>
    <mergeCell ref="I14:I17"/>
    <mergeCell ref="J14:J17"/>
    <mergeCell ref="I2:I5"/>
    <mergeCell ref="J2:J5"/>
    <mergeCell ref="I6:I9"/>
    <mergeCell ref="J6:J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D10D-69B1-499D-BC1C-91EA8189A6D7}">
  <dimension ref="A1:J10"/>
  <sheetViews>
    <sheetView workbookViewId="0">
      <selection activeCell="A8" sqref="A8"/>
    </sheetView>
  </sheetViews>
  <sheetFormatPr baseColWidth="10" defaultColWidth="11.453125" defaultRowHeight="14.5" x14ac:dyDescent="0.35"/>
  <cols>
    <col min="1" max="1" width="66.1796875" bestFit="1" customWidth="1"/>
  </cols>
  <sheetData>
    <row r="1" spans="1:10" ht="29" x14ac:dyDescent="0.35">
      <c r="A1" s="12" t="s">
        <v>0</v>
      </c>
      <c r="B1" s="3" t="s">
        <v>1</v>
      </c>
      <c r="C1" s="3" t="s">
        <v>2</v>
      </c>
      <c r="D1" s="3"/>
      <c r="E1" s="3" t="s">
        <v>3</v>
      </c>
      <c r="F1" s="4"/>
      <c r="G1" s="4" t="s">
        <v>4</v>
      </c>
      <c r="H1" s="6">
        <f>SUM(C2:C4)</f>
        <v>0</v>
      </c>
      <c r="I1" s="6">
        <f>SUM(I2:I26)</f>
        <v>138</v>
      </c>
      <c r="J1" s="8"/>
    </row>
    <row r="2" spans="1:10" x14ac:dyDescent="0.35">
      <c r="A2" s="8" t="s">
        <v>58</v>
      </c>
      <c r="B2" s="8" t="s">
        <v>6</v>
      </c>
      <c r="C2" s="8" t="s">
        <v>7</v>
      </c>
      <c r="D2" s="8"/>
      <c r="E2" s="4">
        <v>3</v>
      </c>
      <c r="F2" s="4"/>
      <c r="G2" s="4">
        <v>3</v>
      </c>
      <c r="H2" s="8">
        <f>G2*C2</f>
        <v>15</v>
      </c>
      <c r="I2" s="16">
        <f>SUM(H2:H5)</f>
        <v>48</v>
      </c>
      <c r="J2" s="17">
        <f>I2/$I$1</f>
        <v>0.34782608695652173</v>
      </c>
    </row>
    <row r="3" spans="1:10" x14ac:dyDescent="0.35">
      <c r="A3" s="8" t="s">
        <v>58</v>
      </c>
      <c r="B3" s="8" t="s">
        <v>8</v>
      </c>
      <c r="C3" s="8" t="s">
        <v>11</v>
      </c>
      <c r="D3" s="8"/>
      <c r="E3" s="4">
        <v>2</v>
      </c>
      <c r="F3" s="4"/>
      <c r="G3" s="4">
        <v>2</v>
      </c>
      <c r="H3" s="8">
        <f>G3*C3</f>
        <v>12</v>
      </c>
      <c r="I3" s="16"/>
      <c r="J3" s="17"/>
    </row>
    <row r="4" spans="1:10" x14ac:dyDescent="0.35">
      <c r="A4" s="8" t="s">
        <v>58</v>
      </c>
      <c r="B4" s="8" t="s">
        <v>10</v>
      </c>
      <c r="C4" s="8" t="s">
        <v>11</v>
      </c>
      <c r="D4" s="8"/>
      <c r="E4" s="4">
        <v>1</v>
      </c>
      <c r="F4" s="4"/>
      <c r="G4" s="4">
        <v>1</v>
      </c>
      <c r="H4" s="8">
        <f>G4*C4</f>
        <v>6</v>
      </c>
      <c r="I4" s="16"/>
      <c r="J4" s="17"/>
    </row>
    <row r="5" spans="1:10" x14ac:dyDescent="0.35">
      <c r="A5" s="8" t="s">
        <v>59</v>
      </c>
      <c r="B5" s="8" t="s">
        <v>6</v>
      </c>
      <c r="C5" s="8" t="s">
        <v>7</v>
      </c>
      <c r="D5" s="8"/>
      <c r="E5" s="4">
        <v>3</v>
      </c>
      <c r="F5" s="4"/>
      <c r="G5" s="4">
        <v>3</v>
      </c>
      <c r="H5" s="8">
        <f t="shared" ref="H5:H10" si="0">G5*C5</f>
        <v>15</v>
      </c>
      <c r="I5" s="16">
        <f t="shared" ref="I5" si="1">SUM(H5:H8)</f>
        <v>56</v>
      </c>
      <c r="J5" s="17">
        <f t="shared" ref="J5" si="2">I5/$I$1</f>
        <v>0.40579710144927539</v>
      </c>
    </row>
    <row r="6" spans="1:10" x14ac:dyDescent="0.35">
      <c r="A6" s="8" t="s">
        <v>59</v>
      </c>
      <c r="B6" s="8" t="s">
        <v>8</v>
      </c>
      <c r="C6" s="8" t="s">
        <v>14</v>
      </c>
      <c r="D6" s="8"/>
      <c r="E6" s="4">
        <v>2</v>
      </c>
      <c r="F6" s="4"/>
      <c r="G6" s="4">
        <v>2</v>
      </c>
      <c r="H6" s="8">
        <f t="shared" si="0"/>
        <v>16</v>
      </c>
      <c r="I6" s="16"/>
      <c r="J6" s="17"/>
    </row>
    <row r="7" spans="1:10" x14ac:dyDescent="0.35">
      <c r="A7" s="8" t="s">
        <v>59</v>
      </c>
      <c r="B7" s="8" t="s">
        <v>10</v>
      </c>
      <c r="C7" s="8" t="s">
        <v>9</v>
      </c>
      <c r="D7" s="8"/>
      <c r="E7" s="4">
        <v>1</v>
      </c>
      <c r="F7" s="4"/>
      <c r="G7" s="4">
        <v>1</v>
      </c>
      <c r="H7" s="8">
        <f t="shared" si="0"/>
        <v>4</v>
      </c>
      <c r="I7" s="16"/>
      <c r="J7" s="17"/>
    </row>
    <row r="8" spans="1:10" x14ac:dyDescent="0.35">
      <c r="A8" s="8" t="s">
        <v>60</v>
      </c>
      <c r="B8" s="8" t="s">
        <v>6</v>
      </c>
      <c r="C8" s="8" t="s">
        <v>12</v>
      </c>
      <c r="D8" s="8"/>
      <c r="E8" s="4">
        <v>3</v>
      </c>
      <c r="F8" s="4"/>
      <c r="G8" s="4">
        <v>3</v>
      </c>
      <c r="H8" s="8">
        <f t="shared" si="0"/>
        <v>21</v>
      </c>
      <c r="I8" s="16">
        <f t="shared" ref="I8" si="3">SUM(H8:H11)</f>
        <v>34</v>
      </c>
      <c r="J8" s="17">
        <f t="shared" ref="J8" si="4">I8/$I$1</f>
        <v>0.24637681159420291</v>
      </c>
    </row>
    <row r="9" spans="1:10" x14ac:dyDescent="0.35">
      <c r="A9" s="8" t="s">
        <v>60</v>
      </c>
      <c r="B9" s="8" t="s">
        <v>8</v>
      </c>
      <c r="C9" s="8" t="s">
        <v>10</v>
      </c>
      <c r="D9" s="8"/>
      <c r="E9" s="4">
        <v>2</v>
      </c>
      <c r="F9" s="4"/>
      <c r="G9" s="4">
        <v>2</v>
      </c>
      <c r="H9" s="8">
        <f t="shared" si="0"/>
        <v>6</v>
      </c>
      <c r="I9" s="16"/>
      <c r="J9" s="17"/>
    </row>
    <row r="10" spans="1:10" x14ac:dyDescent="0.35">
      <c r="A10" s="8" t="s">
        <v>60</v>
      </c>
      <c r="B10" s="8" t="s">
        <v>10</v>
      </c>
      <c r="C10" s="8" t="s">
        <v>12</v>
      </c>
      <c r="D10" s="8"/>
      <c r="E10" s="4">
        <v>1</v>
      </c>
      <c r="F10" s="4"/>
      <c r="G10" s="4">
        <v>1</v>
      </c>
      <c r="H10" s="8">
        <f t="shared" si="0"/>
        <v>7</v>
      </c>
      <c r="I10" s="16"/>
      <c r="J10" s="17"/>
    </row>
  </sheetData>
  <mergeCells count="6">
    <mergeCell ref="I8:I10"/>
    <mergeCell ref="J8:J10"/>
    <mergeCell ref="I2:I4"/>
    <mergeCell ref="J2:J4"/>
    <mergeCell ref="I5:I7"/>
    <mergeCell ref="J5:J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8AF6-A367-4F01-B200-08450CDD79BA}">
  <dimension ref="A1:J5"/>
  <sheetViews>
    <sheetView workbookViewId="0">
      <selection activeCell="A3" sqref="A3:A4"/>
    </sheetView>
  </sheetViews>
  <sheetFormatPr baseColWidth="10" defaultColWidth="11.453125" defaultRowHeight="14.5" x14ac:dyDescent="0.35"/>
  <sheetData>
    <row r="1" spans="1:10" ht="58" x14ac:dyDescent="0.35">
      <c r="A1" s="2" t="s">
        <v>0</v>
      </c>
      <c r="B1" s="3" t="s">
        <v>1</v>
      </c>
      <c r="C1" s="3" t="s">
        <v>2</v>
      </c>
      <c r="D1" s="3"/>
      <c r="E1" s="3" t="s">
        <v>3</v>
      </c>
      <c r="F1" s="4"/>
      <c r="G1" s="4" t="s">
        <v>4</v>
      </c>
      <c r="H1" s="6">
        <f>SUM(C2:C3)</f>
        <v>0</v>
      </c>
      <c r="I1" s="6">
        <f>SUM(I2:I5)</f>
        <v>45</v>
      </c>
    </row>
    <row r="2" spans="1:10" x14ac:dyDescent="0.35">
      <c r="A2" t="s">
        <v>61</v>
      </c>
      <c r="B2" t="s">
        <v>6</v>
      </c>
      <c r="C2" t="s">
        <v>15</v>
      </c>
      <c r="E2" s="4">
        <v>2</v>
      </c>
      <c r="F2" s="4"/>
      <c r="G2" s="4">
        <f>IF(C2&gt;=1,E2,0)</f>
        <v>2</v>
      </c>
      <c r="H2" s="5">
        <f>G2*C2</f>
        <v>18</v>
      </c>
      <c r="I2" s="18">
        <f>SUM(H2:H3)</f>
        <v>24</v>
      </c>
      <c r="J2" s="20">
        <f>I2/$I$1</f>
        <v>0.53333333333333333</v>
      </c>
    </row>
    <row r="3" spans="1:10" x14ac:dyDescent="0.35">
      <c r="A3" t="s">
        <v>61</v>
      </c>
      <c r="B3" t="s">
        <v>8</v>
      </c>
      <c r="C3" t="s">
        <v>11</v>
      </c>
      <c r="E3" s="4">
        <v>1</v>
      </c>
      <c r="F3" s="4"/>
      <c r="G3" s="4">
        <f>IF(C3&gt;=1,E3,0)</f>
        <v>1</v>
      </c>
      <c r="H3" s="5">
        <f>G3*C3</f>
        <v>6</v>
      </c>
      <c r="I3" s="19"/>
      <c r="J3" s="21"/>
    </row>
    <row r="4" spans="1:10" x14ac:dyDescent="0.35">
      <c r="A4" t="s">
        <v>62</v>
      </c>
      <c r="B4" t="s">
        <v>6</v>
      </c>
      <c r="C4" t="s">
        <v>11</v>
      </c>
      <c r="E4" s="4">
        <v>2</v>
      </c>
      <c r="F4" s="4"/>
      <c r="G4" s="4">
        <f>IF(C4&gt;=1,E4,0)</f>
        <v>2</v>
      </c>
      <c r="H4" s="5">
        <f>G4*C4</f>
        <v>12</v>
      </c>
      <c r="I4" s="18">
        <f>SUM(H4:H5)</f>
        <v>21</v>
      </c>
      <c r="J4" s="20">
        <f>I4/$I$1</f>
        <v>0.46666666666666667</v>
      </c>
    </row>
    <row r="5" spans="1:10" x14ac:dyDescent="0.35">
      <c r="A5" t="s">
        <v>62</v>
      </c>
      <c r="B5" t="s">
        <v>8</v>
      </c>
      <c r="C5" t="s">
        <v>15</v>
      </c>
      <c r="E5" s="4">
        <v>1</v>
      </c>
      <c r="F5" s="4"/>
      <c r="G5" s="4">
        <f>IF(C5&gt;=1,E5,0)</f>
        <v>1</v>
      </c>
      <c r="H5" s="5">
        <f>G5*C5</f>
        <v>9</v>
      </c>
      <c r="I5" s="19"/>
      <c r="J5" s="21"/>
    </row>
  </sheetData>
  <mergeCells count="4">
    <mergeCell ref="I2:I3"/>
    <mergeCell ref="J2:J3"/>
    <mergeCell ref="I4:I5"/>
    <mergeCell ref="J4:J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64FF7-11A5-4320-992F-4A9DC5565CAC}">
  <dimension ref="A1:J5"/>
  <sheetViews>
    <sheetView workbookViewId="0">
      <selection activeCell="A3" sqref="A3:A4"/>
    </sheetView>
  </sheetViews>
  <sheetFormatPr baseColWidth="10" defaultColWidth="11.453125" defaultRowHeight="14.5" x14ac:dyDescent="0.35"/>
  <sheetData>
    <row r="1" spans="1:10" ht="58" x14ac:dyDescent="0.35">
      <c r="A1" s="2" t="s">
        <v>0</v>
      </c>
      <c r="B1" s="3" t="s">
        <v>1</v>
      </c>
      <c r="C1" s="3" t="s">
        <v>2</v>
      </c>
      <c r="D1" s="3"/>
      <c r="E1" s="3" t="s">
        <v>3</v>
      </c>
      <c r="F1" s="4"/>
      <c r="G1" s="4" t="s">
        <v>4</v>
      </c>
      <c r="H1" s="6">
        <f>SUM(C2:C3)</f>
        <v>0</v>
      </c>
      <c r="I1" s="6">
        <f>SUM(I2:I5)</f>
        <v>42</v>
      </c>
    </row>
    <row r="2" spans="1:10" x14ac:dyDescent="0.35">
      <c r="A2" t="s">
        <v>63</v>
      </c>
      <c r="B2" t="s">
        <v>6</v>
      </c>
      <c r="C2" t="s">
        <v>15</v>
      </c>
      <c r="E2" s="4">
        <v>2</v>
      </c>
      <c r="F2" s="4"/>
      <c r="G2" s="4">
        <f>IF(C2&gt;=1,E2,0)</f>
        <v>2</v>
      </c>
      <c r="H2" s="5">
        <f>G2*C2</f>
        <v>18</v>
      </c>
      <c r="I2" s="18">
        <f>SUM(H2:H3)</f>
        <v>23</v>
      </c>
      <c r="J2" s="20">
        <f>I2/$I$1</f>
        <v>0.54761904761904767</v>
      </c>
    </row>
    <row r="3" spans="1:10" x14ac:dyDescent="0.35">
      <c r="A3" t="s">
        <v>63</v>
      </c>
      <c r="B3" t="s">
        <v>8</v>
      </c>
      <c r="C3" t="s">
        <v>7</v>
      </c>
      <c r="E3" s="4">
        <v>1</v>
      </c>
      <c r="F3" s="4"/>
      <c r="G3" s="4">
        <f>IF(C3&gt;=1,E3,0)</f>
        <v>1</v>
      </c>
      <c r="H3" s="5">
        <f>G3*C3</f>
        <v>5</v>
      </c>
      <c r="I3" s="19"/>
      <c r="J3" s="21"/>
    </row>
    <row r="4" spans="1:10" x14ac:dyDescent="0.35">
      <c r="A4" t="s">
        <v>64</v>
      </c>
      <c r="B4" t="s">
        <v>6</v>
      </c>
      <c r="C4" t="s">
        <v>7</v>
      </c>
      <c r="E4" s="4">
        <v>2</v>
      </c>
      <c r="F4" s="4"/>
      <c r="G4" s="4">
        <f>IF(C4&gt;=1,E4,0)</f>
        <v>2</v>
      </c>
      <c r="H4" s="5">
        <f>G4*C4</f>
        <v>10</v>
      </c>
      <c r="I4" s="18">
        <f>SUM(H4:H5)</f>
        <v>19</v>
      </c>
      <c r="J4" s="20">
        <f>I4/$I$1</f>
        <v>0.45238095238095238</v>
      </c>
    </row>
    <row r="5" spans="1:10" x14ac:dyDescent="0.35">
      <c r="A5" t="s">
        <v>64</v>
      </c>
      <c r="B5" t="s">
        <v>8</v>
      </c>
      <c r="C5" t="s">
        <v>15</v>
      </c>
      <c r="E5" s="4">
        <v>1</v>
      </c>
      <c r="F5" s="4"/>
      <c r="G5" s="4">
        <f>IF(C5&gt;=1,E5,0)</f>
        <v>1</v>
      </c>
      <c r="H5" s="5">
        <f>G5*C5</f>
        <v>9</v>
      </c>
      <c r="I5" s="19"/>
      <c r="J5" s="21"/>
    </row>
  </sheetData>
  <mergeCells count="4">
    <mergeCell ref="I2:I3"/>
    <mergeCell ref="J2:J3"/>
    <mergeCell ref="I4:I5"/>
    <mergeCell ref="J4:J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E5BAC-7F1C-4484-9B4D-570FB5C9667A}">
  <dimension ref="A1:J10"/>
  <sheetViews>
    <sheetView workbookViewId="0">
      <selection activeCell="A8" sqref="A8"/>
    </sheetView>
  </sheetViews>
  <sheetFormatPr baseColWidth="10" defaultColWidth="11.453125" defaultRowHeight="14.5" x14ac:dyDescent="0.35"/>
  <cols>
    <col min="1" max="1" width="43" bestFit="1" customWidth="1"/>
  </cols>
  <sheetData>
    <row r="1" spans="1:10" ht="29" x14ac:dyDescent="0.35">
      <c r="A1" s="12" t="s">
        <v>0</v>
      </c>
      <c r="B1" s="3" t="s">
        <v>1</v>
      </c>
      <c r="C1" s="3" t="s">
        <v>2</v>
      </c>
      <c r="D1" s="3"/>
      <c r="E1" s="3" t="s">
        <v>3</v>
      </c>
      <c r="F1" s="4"/>
      <c r="G1" s="4" t="s">
        <v>4</v>
      </c>
      <c r="H1" s="6">
        <f>SUM(C2:C4)</f>
        <v>0</v>
      </c>
      <c r="I1" s="6">
        <f>SUM(I2:I26)</f>
        <v>138</v>
      </c>
      <c r="J1" s="8"/>
    </row>
    <row r="2" spans="1:10" x14ac:dyDescent="0.35">
      <c r="A2" t="s">
        <v>65</v>
      </c>
      <c r="B2" t="s">
        <v>6</v>
      </c>
      <c r="C2" t="s">
        <v>14</v>
      </c>
      <c r="D2" s="8"/>
      <c r="E2" s="4">
        <v>3</v>
      </c>
      <c r="F2" s="4"/>
      <c r="G2" s="4">
        <v>3</v>
      </c>
      <c r="H2" s="8">
        <f>G2*C2</f>
        <v>24</v>
      </c>
      <c r="I2" s="16">
        <f>SUM(H2:H5)</f>
        <v>55</v>
      </c>
      <c r="J2" s="17">
        <f>I2/$I$1</f>
        <v>0.39855072463768115</v>
      </c>
    </row>
    <row r="3" spans="1:10" x14ac:dyDescent="0.35">
      <c r="A3" t="s">
        <v>65</v>
      </c>
      <c r="B3" t="s">
        <v>8</v>
      </c>
      <c r="C3" t="s">
        <v>11</v>
      </c>
      <c r="D3" s="8"/>
      <c r="E3" s="4">
        <v>2</v>
      </c>
      <c r="F3" s="4"/>
      <c r="G3" s="4">
        <v>2</v>
      </c>
      <c r="H3" s="8">
        <f>G3*C3</f>
        <v>12</v>
      </c>
      <c r="I3" s="16"/>
      <c r="J3" s="17"/>
    </row>
    <row r="4" spans="1:10" x14ac:dyDescent="0.35">
      <c r="A4" t="s">
        <v>65</v>
      </c>
      <c r="B4" t="s">
        <v>10</v>
      </c>
      <c r="C4" t="s">
        <v>9</v>
      </c>
      <c r="D4" s="8"/>
      <c r="E4" s="4">
        <v>1</v>
      </c>
      <c r="F4" s="4"/>
      <c r="G4" s="4">
        <v>1</v>
      </c>
      <c r="H4" s="8">
        <f>G4*C4</f>
        <v>4</v>
      </c>
      <c r="I4" s="16"/>
      <c r="J4" s="17"/>
    </row>
    <row r="5" spans="1:10" x14ac:dyDescent="0.35">
      <c r="A5" t="s">
        <v>66</v>
      </c>
      <c r="B5" t="s">
        <v>6</v>
      </c>
      <c r="C5" t="s">
        <v>7</v>
      </c>
      <c r="D5" s="8"/>
      <c r="E5" s="4">
        <v>3</v>
      </c>
      <c r="F5" s="4"/>
      <c r="G5" s="4">
        <v>3</v>
      </c>
      <c r="H5" s="8">
        <f t="shared" ref="H5:H10" si="0">G5*C5</f>
        <v>15</v>
      </c>
      <c r="I5" s="16">
        <f t="shared" ref="I5" si="1">SUM(H5:H8)</f>
        <v>49</v>
      </c>
      <c r="J5" s="17">
        <f t="shared" ref="J5" si="2">I5/$I$1</f>
        <v>0.35507246376811596</v>
      </c>
    </row>
    <row r="6" spans="1:10" x14ac:dyDescent="0.35">
      <c r="A6" t="s">
        <v>66</v>
      </c>
      <c r="B6" t="s">
        <v>8</v>
      </c>
      <c r="C6" t="s">
        <v>11</v>
      </c>
      <c r="D6" s="8"/>
      <c r="E6" s="4">
        <v>2</v>
      </c>
      <c r="F6" s="4"/>
      <c r="G6" s="4">
        <v>2</v>
      </c>
      <c r="H6" s="8">
        <f t="shared" si="0"/>
        <v>12</v>
      </c>
      <c r="I6" s="16"/>
      <c r="J6" s="17"/>
    </row>
    <row r="7" spans="1:10" x14ac:dyDescent="0.35">
      <c r="A7" t="s">
        <v>66</v>
      </c>
      <c r="B7" t="s">
        <v>10</v>
      </c>
      <c r="C7" t="s">
        <v>12</v>
      </c>
      <c r="D7" s="8"/>
      <c r="E7" s="4">
        <v>1</v>
      </c>
      <c r="F7" s="4"/>
      <c r="G7" s="4">
        <v>1</v>
      </c>
      <c r="H7" s="8">
        <f t="shared" si="0"/>
        <v>7</v>
      </c>
      <c r="I7" s="16"/>
      <c r="J7" s="17"/>
    </row>
    <row r="8" spans="1:10" x14ac:dyDescent="0.35">
      <c r="A8" t="s">
        <v>67</v>
      </c>
      <c r="B8" t="s">
        <v>6</v>
      </c>
      <c r="C8" t="s">
        <v>7</v>
      </c>
      <c r="D8" s="8"/>
      <c r="E8" s="4">
        <v>3</v>
      </c>
      <c r="F8" s="4"/>
      <c r="G8" s="4">
        <v>3</v>
      </c>
      <c r="H8" s="8">
        <f t="shared" si="0"/>
        <v>15</v>
      </c>
      <c r="I8" s="16">
        <f t="shared" ref="I8" si="3">SUM(H8:H11)</f>
        <v>34</v>
      </c>
      <c r="J8" s="17">
        <f t="shared" ref="J8" si="4">I8/$I$1</f>
        <v>0.24637681159420291</v>
      </c>
    </row>
    <row r="9" spans="1:10" x14ac:dyDescent="0.35">
      <c r="A9" t="s">
        <v>67</v>
      </c>
      <c r="B9" t="s">
        <v>8</v>
      </c>
      <c r="C9" t="s">
        <v>11</v>
      </c>
      <c r="D9" s="8"/>
      <c r="E9" s="4">
        <v>2</v>
      </c>
      <c r="F9" s="4"/>
      <c r="G9" s="4">
        <v>2</v>
      </c>
      <c r="H9" s="8">
        <f t="shared" si="0"/>
        <v>12</v>
      </c>
      <c r="I9" s="16"/>
      <c r="J9" s="17"/>
    </row>
    <row r="10" spans="1:10" x14ac:dyDescent="0.35">
      <c r="A10" t="s">
        <v>67</v>
      </c>
      <c r="B10" t="s">
        <v>10</v>
      </c>
      <c r="C10" t="s">
        <v>12</v>
      </c>
      <c r="D10" s="8"/>
      <c r="E10" s="4">
        <v>1</v>
      </c>
      <c r="F10" s="4"/>
      <c r="G10" s="4">
        <v>1</v>
      </c>
      <c r="H10" s="8">
        <f t="shared" si="0"/>
        <v>7</v>
      </c>
      <c r="I10" s="16"/>
      <c r="J10" s="17"/>
    </row>
  </sheetData>
  <mergeCells count="6">
    <mergeCell ref="I2:I4"/>
    <mergeCell ref="J2:J4"/>
    <mergeCell ref="I5:I7"/>
    <mergeCell ref="J5:J7"/>
    <mergeCell ref="I8:I10"/>
    <mergeCell ref="J8:J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D285-404C-4904-8B43-EDB509D71393}">
  <sheetPr filterMode="1"/>
  <dimension ref="A1:J37"/>
  <sheetViews>
    <sheetView workbookViewId="0">
      <selection activeCell="A2" sqref="A2"/>
    </sheetView>
  </sheetViews>
  <sheetFormatPr baseColWidth="10" defaultColWidth="11.453125" defaultRowHeight="14.5" x14ac:dyDescent="0.35"/>
  <cols>
    <col min="1" max="1" width="43.81640625" bestFit="1" customWidth="1"/>
  </cols>
  <sheetData>
    <row r="1" spans="1:10" ht="29" x14ac:dyDescent="0.35">
      <c r="A1" s="2" t="s">
        <v>0</v>
      </c>
      <c r="B1" s="3" t="s">
        <v>1</v>
      </c>
      <c r="C1" s="3" t="s">
        <v>2</v>
      </c>
      <c r="D1" s="3"/>
      <c r="E1" s="3" t="s">
        <v>3</v>
      </c>
      <c r="F1" s="4"/>
      <c r="G1" s="3" t="s">
        <v>4</v>
      </c>
      <c r="H1" s="6">
        <f>SUM(C2:C7)</f>
        <v>0</v>
      </c>
      <c r="I1" s="6">
        <f>SUM(I2:I79)</f>
        <v>378</v>
      </c>
      <c r="J1" s="5"/>
    </row>
    <row r="2" spans="1:10" x14ac:dyDescent="0.35">
      <c r="A2" t="s">
        <v>68</v>
      </c>
      <c r="B2" t="s">
        <v>6</v>
      </c>
      <c r="C2" t="s">
        <v>11</v>
      </c>
      <c r="D2" s="5"/>
      <c r="E2" s="4">
        <v>6</v>
      </c>
      <c r="F2" s="4"/>
      <c r="G2" s="4">
        <v>6</v>
      </c>
      <c r="H2" s="5">
        <f t="shared" ref="H2:H7" si="0">G2*C2</f>
        <v>36</v>
      </c>
      <c r="I2" s="22">
        <f>SUM(H2:H7)</f>
        <v>87</v>
      </c>
      <c r="J2" s="25">
        <f>I2/$I$1</f>
        <v>0.23015873015873015</v>
      </c>
    </row>
    <row r="3" spans="1:10" hidden="1" x14ac:dyDescent="0.35">
      <c r="A3" t="s">
        <v>68</v>
      </c>
      <c r="B3" t="s">
        <v>8</v>
      </c>
      <c r="C3" t="s">
        <v>11</v>
      </c>
      <c r="D3" s="5"/>
      <c r="E3" s="4">
        <v>5</v>
      </c>
      <c r="F3" s="4"/>
      <c r="G3" s="4">
        <v>5</v>
      </c>
      <c r="H3" s="5">
        <f t="shared" si="0"/>
        <v>30</v>
      </c>
      <c r="I3" s="23"/>
      <c r="J3" s="26"/>
    </row>
    <row r="4" spans="1:10" hidden="1" x14ac:dyDescent="0.35">
      <c r="A4" t="s">
        <v>68</v>
      </c>
      <c r="B4" t="s">
        <v>10</v>
      </c>
      <c r="C4" t="s">
        <v>9</v>
      </c>
      <c r="D4" s="5"/>
      <c r="E4" s="4">
        <v>4</v>
      </c>
      <c r="F4" s="4"/>
      <c r="G4" s="4">
        <v>4</v>
      </c>
      <c r="H4" s="5">
        <f t="shared" si="0"/>
        <v>16</v>
      </c>
      <c r="I4" s="23"/>
      <c r="J4" s="26"/>
    </row>
    <row r="5" spans="1:10" hidden="1" x14ac:dyDescent="0.35">
      <c r="A5" t="s">
        <v>68</v>
      </c>
      <c r="B5" t="s">
        <v>9</v>
      </c>
      <c r="C5" t="s">
        <v>6</v>
      </c>
      <c r="D5" s="5"/>
      <c r="E5" s="4">
        <v>3</v>
      </c>
      <c r="F5" s="5"/>
      <c r="G5" s="4">
        <v>3</v>
      </c>
      <c r="H5" s="5">
        <f t="shared" si="0"/>
        <v>3</v>
      </c>
      <c r="I5" s="23"/>
      <c r="J5" s="26"/>
    </row>
    <row r="6" spans="1:10" hidden="1" x14ac:dyDescent="0.35">
      <c r="A6" t="s">
        <v>68</v>
      </c>
      <c r="B6" t="s">
        <v>7</v>
      </c>
      <c r="C6" t="s">
        <v>6</v>
      </c>
      <c r="D6" s="5"/>
      <c r="E6" s="4">
        <v>2</v>
      </c>
      <c r="F6" s="5"/>
      <c r="G6" s="4">
        <v>2</v>
      </c>
      <c r="H6" s="5">
        <f t="shared" si="0"/>
        <v>2</v>
      </c>
      <c r="I6" s="23"/>
      <c r="J6" s="26"/>
    </row>
    <row r="7" spans="1:10" hidden="1" x14ac:dyDescent="0.35">
      <c r="A7" t="s">
        <v>68</v>
      </c>
      <c r="B7" t="s">
        <v>11</v>
      </c>
      <c r="C7" t="s">
        <v>13</v>
      </c>
      <c r="D7" s="5"/>
      <c r="E7" s="4">
        <v>1</v>
      </c>
      <c r="F7" s="5"/>
      <c r="G7" s="4">
        <v>1</v>
      </c>
      <c r="H7" s="5">
        <f t="shared" si="0"/>
        <v>0</v>
      </c>
      <c r="I7" s="23"/>
      <c r="J7" s="26"/>
    </row>
    <row r="8" spans="1:10" x14ac:dyDescent="0.35">
      <c r="A8" t="s">
        <v>69</v>
      </c>
      <c r="B8" t="s">
        <v>6</v>
      </c>
      <c r="C8" t="s">
        <v>10</v>
      </c>
      <c r="E8" s="4">
        <v>6</v>
      </c>
      <c r="F8" s="4"/>
      <c r="G8" s="4">
        <v>6</v>
      </c>
      <c r="H8" s="5">
        <f t="shared" ref="H8:H37" si="1">G8*C8</f>
        <v>18</v>
      </c>
      <c r="I8" s="22">
        <f t="shared" ref="I8" si="2">SUM(H8:H13)</f>
        <v>80</v>
      </c>
      <c r="J8" s="25">
        <f t="shared" ref="J8" si="3">I8/$I$1</f>
        <v>0.21164021164021163</v>
      </c>
    </row>
    <row r="9" spans="1:10" hidden="1" x14ac:dyDescent="0.35">
      <c r="A9" t="s">
        <v>69</v>
      </c>
      <c r="B9" t="s">
        <v>8</v>
      </c>
      <c r="C9" t="s">
        <v>11</v>
      </c>
      <c r="E9" s="4">
        <v>5</v>
      </c>
      <c r="F9" s="4"/>
      <c r="G9" s="4">
        <v>5</v>
      </c>
      <c r="H9" s="5">
        <f t="shared" si="1"/>
        <v>30</v>
      </c>
      <c r="I9" s="23"/>
      <c r="J9" s="26"/>
    </row>
    <row r="10" spans="1:10" hidden="1" x14ac:dyDescent="0.35">
      <c r="A10" t="s">
        <v>69</v>
      </c>
      <c r="B10" t="s">
        <v>10</v>
      </c>
      <c r="C10" t="s">
        <v>7</v>
      </c>
      <c r="E10" s="4">
        <v>4</v>
      </c>
      <c r="F10" s="4"/>
      <c r="G10" s="4">
        <v>4</v>
      </c>
      <c r="H10" s="5">
        <f t="shared" si="1"/>
        <v>20</v>
      </c>
      <c r="I10" s="23"/>
      <c r="J10" s="26"/>
    </row>
    <row r="11" spans="1:10" hidden="1" x14ac:dyDescent="0.35">
      <c r="A11" t="s">
        <v>69</v>
      </c>
      <c r="B11" t="s">
        <v>9</v>
      </c>
      <c r="C11" t="s">
        <v>9</v>
      </c>
      <c r="E11" s="4">
        <v>3</v>
      </c>
      <c r="F11" s="5"/>
      <c r="G11" s="4">
        <v>3</v>
      </c>
      <c r="H11" s="5">
        <f t="shared" si="1"/>
        <v>12</v>
      </c>
      <c r="I11" s="23"/>
      <c r="J11" s="26"/>
    </row>
    <row r="12" spans="1:10" hidden="1" x14ac:dyDescent="0.35">
      <c r="A12" t="s">
        <v>69</v>
      </c>
      <c r="B12" t="s">
        <v>7</v>
      </c>
      <c r="C12" t="s">
        <v>13</v>
      </c>
      <c r="E12" s="4">
        <v>2</v>
      </c>
      <c r="F12" s="5"/>
      <c r="G12" s="4">
        <v>2</v>
      </c>
      <c r="H12" s="5">
        <f t="shared" si="1"/>
        <v>0</v>
      </c>
      <c r="I12" s="23"/>
      <c r="J12" s="26"/>
    </row>
    <row r="13" spans="1:10" hidden="1" x14ac:dyDescent="0.35">
      <c r="A13" t="s">
        <v>69</v>
      </c>
      <c r="B13" t="s">
        <v>11</v>
      </c>
      <c r="C13" t="s">
        <v>13</v>
      </c>
      <c r="E13" s="4">
        <v>1</v>
      </c>
      <c r="F13" s="5"/>
      <c r="G13" s="4">
        <v>1</v>
      </c>
      <c r="H13" s="5">
        <f t="shared" si="1"/>
        <v>0</v>
      </c>
      <c r="I13" s="23"/>
      <c r="J13" s="26"/>
    </row>
    <row r="14" spans="1:10" x14ac:dyDescent="0.35">
      <c r="A14" t="s">
        <v>70</v>
      </c>
      <c r="B14" t="s">
        <v>6</v>
      </c>
      <c r="C14" t="s">
        <v>13</v>
      </c>
      <c r="E14" s="4">
        <v>6</v>
      </c>
      <c r="F14" s="4"/>
      <c r="G14" s="4">
        <v>6</v>
      </c>
      <c r="H14" s="5">
        <f t="shared" si="1"/>
        <v>0</v>
      </c>
      <c r="I14" s="22">
        <f t="shared" ref="I14" si="4">SUM(H14:H19)</f>
        <v>50</v>
      </c>
      <c r="J14" s="25">
        <f t="shared" ref="J14" si="5">I14/$I$1</f>
        <v>0.13227513227513227</v>
      </c>
    </row>
    <row r="15" spans="1:10" hidden="1" x14ac:dyDescent="0.35">
      <c r="A15" t="s">
        <v>70</v>
      </c>
      <c r="B15" t="s">
        <v>8</v>
      </c>
      <c r="C15" t="s">
        <v>13</v>
      </c>
      <c r="E15" s="4">
        <v>5</v>
      </c>
      <c r="F15" s="4"/>
      <c r="G15" s="4">
        <v>5</v>
      </c>
      <c r="H15" s="5">
        <f t="shared" si="1"/>
        <v>0</v>
      </c>
      <c r="I15" s="23"/>
      <c r="J15" s="26"/>
    </row>
    <row r="16" spans="1:10" hidden="1" x14ac:dyDescent="0.35">
      <c r="A16" t="s">
        <v>70</v>
      </c>
      <c r="B16" t="s">
        <v>10</v>
      </c>
      <c r="C16" t="s">
        <v>9</v>
      </c>
      <c r="E16" s="4">
        <v>4</v>
      </c>
      <c r="F16" s="4"/>
      <c r="G16" s="4">
        <v>4</v>
      </c>
      <c r="H16" s="5">
        <f t="shared" si="1"/>
        <v>16</v>
      </c>
      <c r="I16" s="23"/>
      <c r="J16" s="26"/>
    </row>
    <row r="17" spans="1:10" hidden="1" x14ac:dyDescent="0.35">
      <c r="A17" t="s">
        <v>70</v>
      </c>
      <c r="B17" t="s">
        <v>9</v>
      </c>
      <c r="C17" t="s">
        <v>11</v>
      </c>
      <c r="E17" s="4">
        <v>3</v>
      </c>
      <c r="F17" s="5"/>
      <c r="G17" s="4">
        <v>3</v>
      </c>
      <c r="H17" s="5">
        <f t="shared" si="1"/>
        <v>18</v>
      </c>
      <c r="I17" s="23"/>
      <c r="J17" s="26"/>
    </row>
    <row r="18" spans="1:10" hidden="1" x14ac:dyDescent="0.35">
      <c r="A18" t="s">
        <v>70</v>
      </c>
      <c r="B18" t="s">
        <v>7</v>
      </c>
      <c r="C18" t="s">
        <v>14</v>
      </c>
      <c r="E18" s="4">
        <v>2</v>
      </c>
      <c r="F18" s="5"/>
      <c r="G18" s="4">
        <v>2</v>
      </c>
      <c r="H18" s="5">
        <f t="shared" si="1"/>
        <v>16</v>
      </c>
      <c r="I18" s="23"/>
      <c r="J18" s="26"/>
    </row>
    <row r="19" spans="1:10" hidden="1" x14ac:dyDescent="0.35">
      <c r="A19" t="s">
        <v>70</v>
      </c>
      <c r="B19" t="s">
        <v>11</v>
      </c>
      <c r="C19" t="s">
        <v>13</v>
      </c>
      <c r="E19" s="4">
        <v>1</v>
      </c>
      <c r="F19" s="5"/>
      <c r="G19" s="4">
        <v>1</v>
      </c>
      <c r="H19" s="5">
        <f t="shared" si="1"/>
        <v>0</v>
      </c>
      <c r="I19" s="23"/>
      <c r="J19" s="26"/>
    </row>
    <row r="20" spans="1:10" x14ac:dyDescent="0.35">
      <c r="A20" t="s">
        <v>71</v>
      </c>
      <c r="B20" t="s">
        <v>6</v>
      </c>
      <c r="C20" t="s">
        <v>6</v>
      </c>
      <c r="E20" s="4">
        <v>6</v>
      </c>
      <c r="F20" s="4"/>
      <c r="G20" s="4">
        <v>6</v>
      </c>
      <c r="H20" s="5">
        <f t="shared" si="1"/>
        <v>6</v>
      </c>
      <c r="I20" s="22">
        <f t="shared" ref="I20" si="6">SUM(H20:H25)</f>
        <v>45</v>
      </c>
      <c r="J20" s="25">
        <f t="shared" ref="J20" si="7">I20/$I$1</f>
        <v>0.11904761904761904</v>
      </c>
    </row>
    <row r="21" spans="1:10" hidden="1" x14ac:dyDescent="0.35">
      <c r="A21" t="s">
        <v>71</v>
      </c>
      <c r="B21" t="s">
        <v>8</v>
      </c>
      <c r="C21" t="s">
        <v>13</v>
      </c>
      <c r="E21" s="4">
        <v>5</v>
      </c>
      <c r="F21" s="4"/>
      <c r="G21" s="4">
        <v>5</v>
      </c>
      <c r="H21" s="5">
        <f t="shared" si="1"/>
        <v>0</v>
      </c>
      <c r="I21" s="23"/>
      <c r="J21" s="26"/>
    </row>
    <row r="22" spans="1:10" hidden="1" x14ac:dyDescent="0.35">
      <c r="A22" t="s">
        <v>71</v>
      </c>
      <c r="B22" t="s">
        <v>10</v>
      </c>
      <c r="C22" t="s">
        <v>10</v>
      </c>
      <c r="E22" s="4">
        <v>4</v>
      </c>
      <c r="F22" s="4"/>
      <c r="G22" s="4">
        <v>4</v>
      </c>
      <c r="H22" s="5">
        <f t="shared" si="1"/>
        <v>12</v>
      </c>
      <c r="I22" s="23"/>
      <c r="J22" s="26"/>
    </row>
    <row r="23" spans="1:10" hidden="1" x14ac:dyDescent="0.35">
      <c r="A23" t="s">
        <v>71</v>
      </c>
      <c r="B23" t="s">
        <v>9</v>
      </c>
      <c r="C23" t="s">
        <v>9</v>
      </c>
      <c r="E23" s="4">
        <v>3</v>
      </c>
      <c r="F23" s="5"/>
      <c r="G23" s="4">
        <v>3</v>
      </c>
      <c r="H23" s="5">
        <f t="shared" si="1"/>
        <v>12</v>
      </c>
      <c r="I23" s="23"/>
      <c r="J23" s="26"/>
    </row>
    <row r="24" spans="1:10" hidden="1" x14ac:dyDescent="0.35">
      <c r="A24" t="s">
        <v>71</v>
      </c>
      <c r="B24" t="s">
        <v>7</v>
      </c>
      <c r="C24" t="s">
        <v>7</v>
      </c>
      <c r="E24" s="4">
        <v>2</v>
      </c>
      <c r="F24" s="5"/>
      <c r="G24" s="4">
        <v>2</v>
      </c>
      <c r="H24" s="5">
        <f t="shared" si="1"/>
        <v>10</v>
      </c>
      <c r="I24" s="23"/>
      <c r="J24" s="26"/>
    </row>
    <row r="25" spans="1:10" hidden="1" x14ac:dyDescent="0.35">
      <c r="A25" t="s">
        <v>71</v>
      </c>
      <c r="B25" t="s">
        <v>11</v>
      </c>
      <c r="C25" t="s">
        <v>7</v>
      </c>
      <c r="E25" s="4">
        <v>1</v>
      </c>
      <c r="F25" s="5"/>
      <c r="G25" s="4">
        <v>1</v>
      </c>
      <c r="H25" s="5">
        <f t="shared" si="1"/>
        <v>5</v>
      </c>
      <c r="I25" s="23"/>
      <c r="J25" s="26"/>
    </row>
    <row r="26" spans="1:10" x14ac:dyDescent="0.35">
      <c r="A26" t="s">
        <v>72</v>
      </c>
      <c r="B26" t="s">
        <v>6</v>
      </c>
      <c r="C26" t="s">
        <v>10</v>
      </c>
      <c r="E26" s="4">
        <v>6</v>
      </c>
      <c r="F26" s="4"/>
      <c r="G26" s="4">
        <v>6</v>
      </c>
      <c r="H26" s="5">
        <f t="shared" si="1"/>
        <v>18</v>
      </c>
      <c r="I26" s="22">
        <f t="shared" ref="I26" si="8">SUM(H26:H31)</f>
        <v>49</v>
      </c>
      <c r="J26" s="25">
        <f t="shared" ref="J26" si="9">I26/$I$1</f>
        <v>0.12962962962962962</v>
      </c>
    </row>
    <row r="27" spans="1:10" hidden="1" x14ac:dyDescent="0.35">
      <c r="A27" t="s">
        <v>72</v>
      </c>
      <c r="B27" t="s">
        <v>8</v>
      </c>
      <c r="C27" t="s">
        <v>10</v>
      </c>
      <c r="E27" s="4">
        <v>5</v>
      </c>
      <c r="F27" s="4"/>
      <c r="G27" s="4">
        <v>5</v>
      </c>
      <c r="H27" s="5">
        <f t="shared" si="1"/>
        <v>15</v>
      </c>
      <c r="I27" s="23"/>
      <c r="J27" s="26"/>
    </row>
    <row r="28" spans="1:10" hidden="1" x14ac:dyDescent="0.35">
      <c r="A28" t="s">
        <v>72</v>
      </c>
      <c r="B28" t="s">
        <v>10</v>
      </c>
      <c r="C28" t="s">
        <v>13</v>
      </c>
      <c r="E28" s="4">
        <v>4</v>
      </c>
      <c r="F28" s="4"/>
      <c r="G28" s="4">
        <v>4</v>
      </c>
      <c r="H28" s="5">
        <f t="shared" si="1"/>
        <v>0</v>
      </c>
      <c r="I28" s="23"/>
      <c r="J28" s="26"/>
    </row>
    <row r="29" spans="1:10" hidden="1" x14ac:dyDescent="0.35">
      <c r="A29" t="s">
        <v>72</v>
      </c>
      <c r="B29" t="s">
        <v>9</v>
      </c>
      <c r="C29" t="s">
        <v>6</v>
      </c>
      <c r="E29" s="4">
        <v>3</v>
      </c>
      <c r="F29" s="5"/>
      <c r="G29" s="4">
        <v>3</v>
      </c>
      <c r="H29" s="5">
        <f t="shared" si="1"/>
        <v>3</v>
      </c>
      <c r="I29" s="23"/>
      <c r="J29" s="26"/>
    </row>
    <row r="30" spans="1:10" hidden="1" x14ac:dyDescent="0.35">
      <c r="A30" t="s">
        <v>72</v>
      </c>
      <c r="B30" t="s">
        <v>7</v>
      </c>
      <c r="C30" t="s">
        <v>8</v>
      </c>
      <c r="E30" s="4">
        <v>2</v>
      </c>
      <c r="F30" s="5"/>
      <c r="G30" s="4">
        <v>2</v>
      </c>
      <c r="H30" s="5">
        <f t="shared" si="1"/>
        <v>4</v>
      </c>
      <c r="I30" s="23"/>
      <c r="J30" s="26"/>
    </row>
    <row r="31" spans="1:10" hidden="1" x14ac:dyDescent="0.35">
      <c r="A31" t="s">
        <v>72</v>
      </c>
      <c r="B31" t="s">
        <v>11</v>
      </c>
      <c r="C31" t="s">
        <v>15</v>
      </c>
      <c r="E31" s="4">
        <v>1</v>
      </c>
      <c r="F31" s="5"/>
      <c r="G31" s="4">
        <v>1</v>
      </c>
      <c r="H31" s="5">
        <f t="shared" si="1"/>
        <v>9</v>
      </c>
      <c r="I31" s="23"/>
      <c r="J31" s="26"/>
    </row>
    <row r="32" spans="1:10" x14ac:dyDescent="0.35">
      <c r="A32" t="s">
        <v>73</v>
      </c>
      <c r="B32" t="s">
        <v>6</v>
      </c>
      <c r="C32" t="s">
        <v>7</v>
      </c>
      <c r="E32" s="4">
        <v>6</v>
      </c>
      <c r="F32" s="4"/>
      <c r="G32" s="4">
        <v>6</v>
      </c>
      <c r="H32" s="5">
        <f t="shared" si="1"/>
        <v>30</v>
      </c>
      <c r="I32" s="22">
        <f t="shared" ref="I32" si="10">SUM(H32:H37)</f>
        <v>67</v>
      </c>
      <c r="J32" s="25">
        <f t="shared" ref="J32" si="11">I32/$I$1</f>
        <v>0.17724867724867724</v>
      </c>
    </row>
    <row r="33" spans="1:10" hidden="1" x14ac:dyDescent="0.35">
      <c r="A33" t="s">
        <v>73</v>
      </c>
      <c r="B33" t="s">
        <v>8</v>
      </c>
      <c r="C33" t="s">
        <v>10</v>
      </c>
      <c r="E33" s="4">
        <v>5</v>
      </c>
      <c r="F33" s="4"/>
      <c r="G33" s="4">
        <v>5</v>
      </c>
      <c r="H33" s="5">
        <f t="shared" si="1"/>
        <v>15</v>
      </c>
      <c r="I33" s="23"/>
      <c r="J33" s="26"/>
    </row>
    <row r="34" spans="1:10" hidden="1" x14ac:dyDescent="0.35">
      <c r="A34" t="s">
        <v>73</v>
      </c>
      <c r="B34" t="s">
        <v>10</v>
      </c>
      <c r="C34" t="s">
        <v>8</v>
      </c>
      <c r="E34" s="4">
        <v>4</v>
      </c>
      <c r="F34" s="4"/>
      <c r="G34" s="4">
        <v>4</v>
      </c>
      <c r="H34" s="5">
        <f t="shared" si="1"/>
        <v>8</v>
      </c>
      <c r="I34" s="23"/>
      <c r="J34" s="26"/>
    </row>
    <row r="35" spans="1:10" hidden="1" x14ac:dyDescent="0.35">
      <c r="A35" t="s">
        <v>73</v>
      </c>
      <c r="B35" t="s">
        <v>9</v>
      </c>
      <c r="C35" t="s">
        <v>8</v>
      </c>
      <c r="E35" s="4">
        <v>3</v>
      </c>
      <c r="F35" s="5"/>
      <c r="G35" s="4">
        <v>3</v>
      </c>
      <c r="H35" s="5">
        <f t="shared" si="1"/>
        <v>6</v>
      </c>
      <c r="I35" s="23"/>
      <c r="J35" s="26"/>
    </row>
    <row r="36" spans="1:10" hidden="1" x14ac:dyDescent="0.35">
      <c r="A36" t="s">
        <v>73</v>
      </c>
      <c r="B36" t="s">
        <v>7</v>
      </c>
      <c r="C36" t="s">
        <v>8</v>
      </c>
      <c r="E36" s="4">
        <v>2</v>
      </c>
      <c r="F36" s="5"/>
      <c r="G36" s="4">
        <v>2</v>
      </c>
      <c r="H36" s="5">
        <f t="shared" si="1"/>
        <v>4</v>
      </c>
      <c r="I36" s="23"/>
      <c r="J36" s="26"/>
    </row>
    <row r="37" spans="1:10" hidden="1" x14ac:dyDescent="0.35">
      <c r="A37" t="s">
        <v>73</v>
      </c>
      <c r="B37" t="s">
        <v>11</v>
      </c>
      <c r="C37" t="s">
        <v>9</v>
      </c>
      <c r="E37" s="4">
        <v>1</v>
      </c>
      <c r="F37" s="5"/>
      <c r="G37" s="4">
        <v>1</v>
      </c>
      <c r="H37" s="5">
        <f t="shared" si="1"/>
        <v>4</v>
      </c>
      <c r="I37" s="23"/>
      <c r="J37" s="26"/>
    </row>
  </sheetData>
  <autoFilter ref="A1:J37" xr:uid="{60E8D285-404C-4904-8B43-EDB509D71393}">
    <filterColumn colId="1">
      <filters>
        <filter val="1"/>
      </filters>
    </filterColumn>
  </autoFilter>
  <mergeCells count="12">
    <mergeCell ref="I2:I7"/>
    <mergeCell ref="J2:J7"/>
    <mergeCell ref="I8:I13"/>
    <mergeCell ref="J8:J13"/>
    <mergeCell ref="I14:I19"/>
    <mergeCell ref="J14:J19"/>
    <mergeCell ref="I20:I25"/>
    <mergeCell ref="J20:J25"/>
    <mergeCell ref="I26:I31"/>
    <mergeCell ref="J26:J31"/>
    <mergeCell ref="I32:I37"/>
    <mergeCell ref="J32:J3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E70F-B676-4031-893B-F3CE98F55ED6}">
  <dimension ref="A1:J5"/>
  <sheetViews>
    <sheetView workbookViewId="0">
      <selection activeCell="I2" sqref="I2:I3"/>
    </sheetView>
  </sheetViews>
  <sheetFormatPr baseColWidth="10" defaultColWidth="11.453125" defaultRowHeight="14.5" x14ac:dyDescent="0.35"/>
  <sheetData>
    <row r="1" spans="1:10" ht="58" x14ac:dyDescent="0.35">
      <c r="A1" s="2" t="s">
        <v>0</v>
      </c>
      <c r="B1" s="3" t="s">
        <v>1</v>
      </c>
      <c r="C1" s="3" t="s">
        <v>2</v>
      </c>
      <c r="D1" s="3"/>
      <c r="E1" s="3" t="s">
        <v>3</v>
      </c>
      <c r="F1" s="4"/>
      <c r="G1" s="4" t="s">
        <v>4</v>
      </c>
      <c r="H1" s="6">
        <f>SUM(C2:C3)</f>
        <v>0</v>
      </c>
      <c r="I1" s="6">
        <f>SUM(I2:I5)</f>
        <v>42</v>
      </c>
      <c r="J1" s="5"/>
    </row>
    <row r="2" spans="1:10" x14ac:dyDescent="0.35">
      <c r="A2" s="5" t="s">
        <v>74</v>
      </c>
      <c r="B2" s="5" t="s">
        <v>6</v>
      </c>
      <c r="C2" s="5" t="s">
        <v>14</v>
      </c>
      <c r="D2" s="5"/>
      <c r="E2" s="4">
        <v>2</v>
      </c>
      <c r="F2" s="4"/>
      <c r="G2" s="4">
        <f>IF(C2&gt;=1,E2,0)</f>
        <v>2</v>
      </c>
      <c r="H2" s="5">
        <f>G2*C2</f>
        <v>16</v>
      </c>
      <c r="I2" s="16">
        <f>SUM(H2:H3)</f>
        <v>22</v>
      </c>
      <c r="J2" s="17">
        <f>I2/$I$1</f>
        <v>0.52380952380952384</v>
      </c>
    </row>
    <row r="3" spans="1:10" x14ac:dyDescent="0.35">
      <c r="A3" s="5" t="s">
        <v>74</v>
      </c>
      <c r="B3" s="5" t="s">
        <v>8</v>
      </c>
      <c r="C3" s="5" t="s">
        <v>11</v>
      </c>
      <c r="D3" s="5"/>
      <c r="E3" s="4">
        <v>1</v>
      </c>
      <c r="F3" s="4"/>
      <c r="G3" s="4">
        <f>IF(C3&gt;=1,E3,0)</f>
        <v>1</v>
      </c>
      <c r="H3" s="5">
        <f>G3*C3</f>
        <v>6</v>
      </c>
      <c r="I3" s="16"/>
      <c r="J3" s="17"/>
    </row>
    <row r="4" spans="1:10" x14ac:dyDescent="0.35">
      <c r="A4" s="5" t="s">
        <v>75</v>
      </c>
      <c r="B4" s="5" t="s">
        <v>6</v>
      </c>
      <c r="C4" s="5" t="s">
        <v>11</v>
      </c>
      <c r="D4" s="5"/>
      <c r="E4" s="4">
        <v>2</v>
      </c>
      <c r="F4" s="4"/>
      <c r="G4" s="4">
        <f>IF(C4&gt;=1,E4,0)</f>
        <v>2</v>
      </c>
      <c r="H4" s="5">
        <f>G4*C4</f>
        <v>12</v>
      </c>
      <c r="I4" s="16">
        <f>SUM(H4:H5)</f>
        <v>20</v>
      </c>
      <c r="J4" s="17">
        <f>I4/$I$1</f>
        <v>0.47619047619047616</v>
      </c>
    </row>
    <row r="5" spans="1:10" x14ac:dyDescent="0.35">
      <c r="A5" s="5" t="s">
        <v>75</v>
      </c>
      <c r="B5" s="5" t="s">
        <v>8</v>
      </c>
      <c r="C5" s="5" t="s">
        <v>14</v>
      </c>
      <c r="D5" s="5"/>
      <c r="E5" s="4">
        <v>1</v>
      </c>
      <c r="F5" s="4"/>
      <c r="G5" s="4">
        <f>IF(C5&gt;=1,E5,0)</f>
        <v>1</v>
      </c>
      <c r="H5" s="5">
        <f>G5*C5</f>
        <v>8</v>
      </c>
      <c r="I5" s="16"/>
      <c r="J5" s="17"/>
    </row>
  </sheetData>
  <mergeCells count="4">
    <mergeCell ref="I2:I3"/>
    <mergeCell ref="J2:J3"/>
    <mergeCell ref="I4:I5"/>
    <mergeCell ref="J4:J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22006-D936-45CB-8C87-CC4A760EE6A6}">
  <dimension ref="A2:C91"/>
  <sheetViews>
    <sheetView topLeftCell="A38" zoomScale="57" zoomScaleNormal="130" workbookViewId="0">
      <selection activeCell="C92" sqref="C92"/>
    </sheetView>
  </sheetViews>
  <sheetFormatPr baseColWidth="10" defaultColWidth="11.453125" defaultRowHeight="14.5" x14ac:dyDescent="0.35"/>
  <cols>
    <col min="2" max="2" width="119.26953125" bestFit="1" customWidth="1"/>
    <col min="3" max="3" width="21.81640625" bestFit="1" customWidth="1"/>
  </cols>
  <sheetData>
    <row r="2" spans="2:3" x14ac:dyDescent="0.35">
      <c r="B2" s="8" t="s">
        <v>76</v>
      </c>
      <c r="C2" s="8" t="s">
        <v>77</v>
      </c>
    </row>
    <row r="3" spans="2:3" x14ac:dyDescent="0.35">
      <c r="B3" s="11" t="s">
        <v>5</v>
      </c>
      <c r="C3" s="10">
        <f>FACTORES!J2</f>
        <v>0.12078272604588394</v>
      </c>
    </row>
    <row r="4" spans="2:3" x14ac:dyDescent="0.35">
      <c r="B4" s="11" t="s">
        <v>19</v>
      </c>
      <c r="C4" s="10">
        <f>FACTORES!J14</f>
        <v>0.12415654520917679</v>
      </c>
    </row>
    <row r="5" spans="2:3" x14ac:dyDescent="0.35">
      <c r="B5" s="11" t="s">
        <v>20</v>
      </c>
      <c r="C5" s="10">
        <f>FACTORES!J26</f>
        <v>0.11673414304993253</v>
      </c>
    </row>
    <row r="6" spans="2:3" x14ac:dyDescent="0.35">
      <c r="B6" s="11" t="s">
        <v>29</v>
      </c>
      <c r="C6" s="10">
        <f>FACTORES!J38</f>
        <v>0.10796221322537113</v>
      </c>
    </row>
    <row r="7" spans="2:3" x14ac:dyDescent="0.35">
      <c r="B7" s="11" t="s">
        <v>21</v>
      </c>
      <c r="C7" s="10">
        <f>FACTORES!J50</f>
        <v>6.7476383265856948E-2</v>
      </c>
    </row>
    <row r="8" spans="2:3" x14ac:dyDescent="0.35">
      <c r="B8" s="11" t="s">
        <v>22</v>
      </c>
      <c r="C8" s="10">
        <f>FACTORES!J62</f>
        <v>7.28744939271255E-2</v>
      </c>
    </row>
    <row r="9" spans="2:3" x14ac:dyDescent="0.35">
      <c r="B9" s="11" t="s">
        <v>23</v>
      </c>
      <c r="C9" s="10">
        <f>FACTORES!J74</f>
        <v>0.10593792172739541</v>
      </c>
    </row>
    <row r="10" spans="2:3" x14ac:dyDescent="0.35">
      <c r="B10" s="11" t="s">
        <v>24</v>
      </c>
      <c r="C10" s="10">
        <f>FACTORES!J86</f>
        <v>4.7908232118758436E-2</v>
      </c>
    </row>
    <row r="11" spans="2:3" x14ac:dyDescent="0.35">
      <c r="B11" s="11" t="s">
        <v>25</v>
      </c>
      <c r="C11" s="10">
        <f>FACTORES!J98</f>
        <v>6.4102564102564097E-2</v>
      </c>
    </row>
    <row r="12" spans="2:3" x14ac:dyDescent="0.35">
      <c r="B12" s="11" t="s">
        <v>26</v>
      </c>
      <c r="C12" s="10">
        <f>FACTORES!J110</f>
        <v>6.8825910931174086E-2</v>
      </c>
    </row>
    <row r="13" spans="2:3" x14ac:dyDescent="0.35">
      <c r="B13" s="11" t="s">
        <v>27</v>
      </c>
      <c r="C13" s="10">
        <f>FACTORES!J122</f>
        <v>6.6801619433198386E-2</v>
      </c>
    </row>
    <row r="14" spans="2:3" x14ac:dyDescent="0.35">
      <c r="B14" s="11" t="s">
        <v>28</v>
      </c>
      <c r="C14" s="10">
        <f>FACTORES!J134</f>
        <v>3.643724696356275E-2</v>
      </c>
    </row>
    <row r="17" spans="1:3" x14ac:dyDescent="0.35">
      <c r="B17" s="11" t="s">
        <v>78</v>
      </c>
      <c r="C17" s="8" t="s">
        <v>77</v>
      </c>
    </row>
    <row r="18" spans="1:3" x14ac:dyDescent="0.35">
      <c r="A18">
        <v>1</v>
      </c>
      <c r="B18" s="5" t="s">
        <v>30</v>
      </c>
      <c r="C18" s="9">
        <f>PEP!J2</f>
        <v>0.53846153846153844</v>
      </c>
    </row>
    <row r="19" spans="1:3" x14ac:dyDescent="0.35">
      <c r="A19">
        <v>2</v>
      </c>
      <c r="B19" s="5" t="s">
        <v>31</v>
      </c>
      <c r="C19" s="9">
        <f>PEP!J4</f>
        <v>0.46153846153846156</v>
      </c>
    </row>
    <row r="22" spans="1:3" x14ac:dyDescent="0.35">
      <c r="B22" s="11" t="s">
        <v>79</v>
      </c>
      <c r="C22" s="8" t="s">
        <v>77</v>
      </c>
    </row>
    <row r="23" spans="1:3" x14ac:dyDescent="0.35">
      <c r="A23">
        <v>3</v>
      </c>
      <c r="B23" s="5" t="s">
        <v>32</v>
      </c>
      <c r="C23" s="9">
        <f>EST!J2</f>
        <v>0.33139534883720928</v>
      </c>
    </row>
    <row r="24" spans="1:3" x14ac:dyDescent="0.35">
      <c r="A24">
        <v>4</v>
      </c>
      <c r="B24" s="5" t="s">
        <v>33</v>
      </c>
      <c r="C24" s="9">
        <f>EST!J7</f>
        <v>0.18023255813953487</v>
      </c>
    </row>
    <row r="25" spans="1:3" x14ac:dyDescent="0.35">
      <c r="A25">
        <v>5</v>
      </c>
      <c r="B25" s="5" t="s">
        <v>34</v>
      </c>
      <c r="C25" s="9">
        <f>EST!J12</f>
        <v>0.19186046511627908</v>
      </c>
    </row>
    <row r="26" spans="1:3" x14ac:dyDescent="0.35">
      <c r="A26">
        <v>6</v>
      </c>
      <c r="B26" s="5" t="s">
        <v>35</v>
      </c>
      <c r="C26" s="9">
        <f>EST!J17</f>
        <v>0.13372093023255813</v>
      </c>
    </row>
    <row r="27" spans="1:3" x14ac:dyDescent="0.35">
      <c r="A27">
        <v>7</v>
      </c>
      <c r="B27" s="5" t="s">
        <v>36</v>
      </c>
      <c r="C27" s="9">
        <f>EST!J22</f>
        <v>0.16279069767441862</v>
      </c>
    </row>
    <row r="30" spans="1:3" x14ac:dyDescent="0.35">
      <c r="B30" s="11" t="s">
        <v>80</v>
      </c>
      <c r="C30" s="8" t="s">
        <v>77</v>
      </c>
    </row>
    <row r="31" spans="1:3" x14ac:dyDescent="0.35">
      <c r="A31">
        <v>8</v>
      </c>
      <c r="B31" s="5" t="s">
        <v>37</v>
      </c>
      <c r="C31" s="9">
        <f>DOC!J2</f>
        <v>0.17129629629629631</v>
      </c>
    </row>
    <row r="32" spans="1:3" x14ac:dyDescent="0.35">
      <c r="A32">
        <v>9</v>
      </c>
      <c r="B32" s="5" t="s">
        <v>38</v>
      </c>
      <c r="C32" s="9">
        <f>DOC!J10</f>
        <v>0.13734567901234568</v>
      </c>
    </row>
    <row r="33" spans="1:3" x14ac:dyDescent="0.35">
      <c r="A33">
        <v>10</v>
      </c>
      <c r="B33" s="5" t="s">
        <v>39</v>
      </c>
      <c r="C33" s="9">
        <f>DOC!J18</f>
        <v>0.15740740740740741</v>
      </c>
    </row>
    <row r="34" spans="1:3" x14ac:dyDescent="0.35">
      <c r="A34">
        <v>11</v>
      </c>
      <c r="B34" s="5" t="s">
        <v>40</v>
      </c>
      <c r="C34" s="9">
        <f>DOC!J26</f>
        <v>0.15277777777777779</v>
      </c>
    </row>
    <row r="35" spans="1:3" x14ac:dyDescent="0.35">
      <c r="A35">
        <v>12</v>
      </c>
      <c r="B35" s="5" t="s">
        <v>41</v>
      </c>
      <c r="C35" s="9">
        <f>DOC!J34</f>
        <v>0.10339506172839506</v>
      </c>
    </row>
    <row r="36" spans="1:3" x14ac:dyDescent="0.35">
      <c r="A36">
        <v>13</v>
      </c>
      <c r="B36" s="5" t="s">
        <v>42</v>
      </c>
      <c r="C36" s="9">
        <f>DOC!J42</f>
        <v>0.11728395061728394</v>
      </c>
    </row>
    <row r="37" spans="1:3" x14ac:dyDescent="0.35">
      <c r="A37">
        <v>14</v>
      </c>
      <c r="B37" s="5" t="s">
        <v>43</v>
      </c>
      <c r="C37" s="9">
        <f>DOC!J50</f>
        <v>9.4135802469135804E-2</v>
      </c>
    </row>
    <row r="38" spans="1:3" x14ac:dyDescent="0.35">
      <c r="A38">
        <v>15</v>
      </c>
      <c r="B38" s="5" t="s">
        <v>44</v>
      </c>
      <c r="C38" s="9">
        <f>DOC!J58</f>
        <v>6.6358024691358028E-2</v>
      </c>
    </row>
    <row r="41" spans="1:3" x14ac:dyDescent="0.35">
      <c r="B41" s="11" t="s">
        <v>81</v>
      </c>
      <c r="C41" s="8" t="s">
        <v>77</v>
      </c>
    </row>
    <row r="42" spans="1:3" x14ac:dyDescent="0.35">
      <c r="A42">
        <v>16</v>
      </c>
      <c r="B42" s="5" t="s">
        <v>45</v>
      </c>
      <c r="C42" s="15">
        <f>'FAC 5'!J2</f>
        <v>0.17160493827160495</v>
      </c>
    </row>
    <row r="43" spans="1:3" x14ac:dyDescent="0.35">
      <c r="A43">
        <v>17</v>
      </c>
      <c r="B43" s="5" t="s">
        <v>46</v>
      </c>
      <c r="C43" s="15">
        <f>'FAC 5'!J11</f>
        <v>0.14691358024691359</v>
      </c>
    </row>
    <row r="44" spans="1:3" x14ac:dyDescent="0.35">
      <c r="A44">
        <v>18</v>
      </c>
      <c r="B44" s="5" t="s">
        <v>47</v>
      </c>
      <c r="C44" s="15">
        <f>'FAC 5'!J20</f>
        <v>0.12839506172839507</v>
      </c>
    </row>
    <row r="45" spans="1:3" x14ac:dyDescent="0.35">
      <c r="A45">
        <v>19</v>
      </c>
      <c r="B45" s="5" t="s">
        <v>48</v>
      </c>
      <c r="C45" s="15">
        <f>'FAC 5'!J29</f>
        <v>0.11358024691358025</v>
      </c>
    </row>
    <row r="46" spans="1:3" x14ac:dyDescent="0.35">
      <c r="A46">
        <v>20</v>
      </c>
      <c r="B46" s="5" t="s">
        <v>49</v>
      </c>
      <c r="C46" s="15">
        <f>'FAC 5'!J38</f>
        <v>7.5308641975308649E-2</v>
      </c>
    </row>
    <row r="47" spans="1:3" x14ac:dyDescent="0.35">
      <c r="A47">
        <v>21</v>
      </c>
      <c r="B47" s="5" t="s">
        <v>50</v>
      </c>
      <c r="C47" s="15">
        <f>'FAC 5'!J47</f>
        <v>0.12839506172839507</v>
      </c>
    </row>
    <row r="48" spans="1:3" x14ac:dyDescent="0.35">
      <c r="A48">
        <v>22</v>
      </c>
      <c r="B48" s="5" t="s">
        <v>51</v>
      </c>
      <c r="C48" s="15">
        <f>'FAC 5'!J56</f>
        <v>0.10987654320987654</v>
      </c>
    </row>
    <row r="49" spans="1:3" x14ac:dyDescent="0.35">
      <c r="A49">
        <v>23</v>
      </c>
      <c r="B49" s="5" t="s">
        <v>52</v>
      </c>
      <c r="C49" s="15">
        <f>'FAC 5'!J65</f>
        <v>6.7901234567901231E-2</v>
      </c>
    </row>
    <row r="50" spans="1:3" x14ac:dyDescent="0.35">
      <c r="A50">
        <v>24</v>
      </c>
      <c r="B50" s="5" t="s">
        <v>53</v>
      </c>
      <c r="C50" s="15">
        <f>'FAC 5'!J74</f>
        <v>5.802469135802469E-2</v>
      </c>
    </row>
    <row r="53" spans="1:3" x14ac:dyDescent="0.35">
      <c r="B53" s="11" t="s">
        <v>82</v>
      </c>
      <c r="C53" s="8" t="s">
        <v>77</v>
      </c>
    </row>
    <row r="54" spans="1:3" x14ac:dyDescent="0.35">
      <c r="A54">
        <v>25</v>
      </c>
      <c r="B54" s="3" t="s">
        <v>54</v>
      </c>
      <c r="C54" s="9">
        <f>'FAC 6'!J2</f>
        <v>0.26111111111111113</v>
      </c>
    </row>
    <row r="55" spans="1:3" x14ac:dyDescent="0.35">
      <c r="A55">
        <v>26</v>
      </c>
      <c r="B55" s="3" t="s">
        <v>55</v>
      </c>
      <c r="C55" s="9">
        <f>'FAC 6'!J6</f>
        <v>0.27777777777777779</v>
      </c>
    </row>
    <row r="56" spans="1:3" x14ac:dyDescent="0.35">
      <c r="A56">
        <v>27</v>
      </c>
      <c r="B56" s="3" t="s">
        <v>56</v>
      </c>
      <c r="C56" s="9">
        <f>'FAC 6'!J10</f>
        <v>0.21111111111111111</v>
      </c>
    </row>
    <row r="57" spans="1:3" x14ac:dyDescent="0.35">
      <c r="A57">
        <v>28</v>
      </c>
      <c r="B57" s="3" t="s">
        <v>57</v>
      </c>
      <c r="C57" s="9">
        <f>'FAC 6'!J14</f>
        <v>0.25</v>
      </c>
    </row>
    <row r="60" spans="1:3" x14ac:dyDescent="0.35">
      <c r="B60" s="11" t="s">
        <v>83</v>
      </c>
      <c r="C60" s="8" t="s">
        <v>77</v>
      </c>
    </row>
    <row r="61" spans="1:3" x14ac:dyDescent="0.35">
      <c r="A61">
        <v>29</v>
      </c>
      <c r="B61" s="8" t="s">
        <v>58</v>
      </c>
      <c r="C61" s="9">
        <f>'FAC 7'!J2</f>
        <v>0.34782608695652173</v>
      </c>
    </row>
    <row r="62" spans="1:3" x14ac:dyDescent="0.35">
      <c r="A62">
        <v>30</v>
      </c>
      <c r="B62" s="8" t="s">
        <v>59</v>
      </c>
      <c r="C62" s="9">
        <f>'FAC 7'!J5</f>
        <v>0.40579710144927539</v>
      </c>
    </row>
    <row r="63" spans="1:3" x14ac:dyDescent="0.35">
      <c r="A63">
        <v>31</v>
      </c>
      <c r="B63" s="8" t="s">
        <v>60</v>
      </c>
      <c r="C63" s="9">
        <f>'FAC 7'!J8</f>
        <v>0.24637681159420291</v>
      </c>
    </row>
    <row r="65" spans="1:3" x14ac:dyDescent="0.35">
      <c r="B65" s="11" t="s">
        <v>84</v>
      </c>
      <c r="C65" s="8" t="s">
        <v>77</v>
      </c>
    </row>
    <row r="66" spans="1:3" x14ac:dyDescent="0.35">
      <c r="A66">
        <v>32</v>
      </c>
      <c r="B66" s="5" t="s">
        <v>61</v>
      </c>
      <c r="C66" s="9">
        <f>'FAC 8'!J2</f>
        <v>0.53333333333333333</v>
      </c>
    </row>
    <row r="67" spans="1:3" x14ac:dyDescent="0.35">
      <c r="A67">
        <v>33</v>
      </c>
      <c r="B67" s="5" t="s">
        <v>62</v>
      </c>
      <c r="C67" s="9">
        <f>'FAC 8'!J4</f>
        <v>0.46666666666666667</v>
      </c>
    </row>
    <row r="70" spans="1:3" x14ac:dyDescent="0.35">
      <c r="B70" s="5" t="s">
        <v>85</v>
      </c>
      <c r="C70" s="8" t="s">
        <v>77</v>
      </c>
    </row>
    <row r="71" spans="1:3" x14ac:dyDescent="0.35">
      <c r="A71">
        <v>34</v>
      </c>
      <c r="B71" s="5" t="s">
        <v>63</v>
      </c>
      <c r="C71" s="9">
        <f>'FAC 9'!J2</f>
        <v>0.54761904761904767</v>
      </c>
    </row>
    <row r="72" spans="1:3" x14ac:dyDescent="0.35">
      <c r="A72">
        <v>35</v>
      </c>
      <c r="B72" s="5" t="s">
        <v>64</v>
      </c>
      <c r="C72" s="9">
        <f>'FAC 9'!J4</f>
        <v>0.45238095238095238</v>
      </c>
    </row>
    <row r="75" spans="1:3" x14ac:dyDescent="0.35">
      <c r="B75" s="5" t="s">
        <v>86</v>
      </c>
      <c r="C75" s="8" t="s">
        <v>77</v>
      </c>
    </row>
    <row r="76" spans="1:3" x14ac:dyDescent="0.35">
      <c r="A76">
        <v>36</v>
      </c>
      <c r="B76" s="5" t="s">
        <v>65</v>
      </c>
      <c r="C76" s="9">
        <f>'FAC 10'!J2</f>
        <v>0.39855072463768115</v>
      </c>
    </row>
    <row r="77" spans="1:3" x14ac:dyDescent="0.35">
      <c r="A77">
        <v>37</v>
      </c>
      <c r="B77" s="5" t="s">
        <v>66</v>
      </c>
      <c r="C77" s="9">
        <f>'FAC 10'!J5</f>
        <v>0.35507246376811596</v>
      </c>
    </row>
    <row r="78" spans="1:3" x14ac:dyDescent="0.35">
      <c r="A78">
        <v>38</v>
      </c>
      <c r="B78" s="5" t="s">
        <v>67</v>
      </c>
      <c r="C78" s="9">
        <f>'FAC 10'!J8</f>
        <v>0.24637681159420291</v>
      </c>
    </row>
    <row r="81" spans="1:3" x14ac:dyDescent="0.35">
      <c r="B81" s="5" t="s">
        <v>87</v>
      </c>
      <c r="C81" s="8" t="s">
        <v>77</v>
      </c>
    </row>
    <row r="82" spans="1:3" x14ac:dyDescent="0.35">
      <c r="A82">
        <v>39</v>
      </c>
      <c r="B82" s="5" t="s">
        <v>68</v>
      </c>
      <c r="C82" s="9">
        <f>'FAC 11'!J2</f>
        <v>0.23015873015873015</v>
      </c>
    </row>
    <row r="83" spans="1:3" x14ac:dyDescent="0.35">
      <c r="A83">
        <v>40</v>
      </c>
      <c r="B83" s="5" t="s">
        <v>69</v>
      </c>
      <c r="C83" s="9">
        <f>'FAC 11'!J8</f>
        <v>0.21164021164021163</v>
      </c>
    </row>
    <row r="84" spans="1:3" x14ac:dyDescent="0.35">
      <c r="A84">
        <v>41</v>
      </c>
      <c r="B84" s="5" t="s">
        <v>70</v>
      </c>
      <c r="C84" s="9">
        <f>'FAC 11'!J14</f>
        <v>0.13227513227513227</v>
      </c>
    </row>
    <row r="85" spans="1:3" x14ac:dyDescent="0.35">
      <c r="A85">
        <v>42</v>
      </c>
      <c r="B85" s="5" t="s">
        <v>71</v>
      </c>
      <c r="C85" s="9">
        <f>'FAC 11'!J20</f>
        <v>0.11904761904761904</v>
      </c>
    </row>
    <row r="86" spans="1:3" x14ac:dyDescent="0.35">
      <c r="A86">
        <v>43</v>
      </c>
      <c r="B86" s="5" t="s">
        <v>72</v>
      </c>
      <c r="C86" s="9">
        <f>'FAC 11'!J26</f>
        <v>0.12962962962962962</v>
      </c>
    </row>
    <row r="87" spans="1:3" x14ac:dyDescent="0.35">
      <c r="A87">
        <v>44</v>
      </c>
      <c r="B87" s="5" t="s">
        <v>73</v>
      </c>
      <c r="C87" s="9">
        <f>'FAC 11'!J32</f>
        <v>0.17724867724867724</v>
      </c>
    </row>
    <row r="89" spans="1:3" x14ac:dyDescent="0.35">
      <c r="B89" s="5" t="s">
        <v>88</v>
      </c>
      <c r="C89" s="8" t="s">
        <v>77</v>
      </c>
    </row>
    <row r="90" spans="1:3" x14ac:dyDescent="0.35">
      <c r="A90">
        <v>45</v>
      </c>
      <c r="B90" s="5" t="s">
        <v>74</v>
      </c>
      <c r="C90" s="9">
        <f>'FAC 12'!J2</f>
        <v>0.52380952380952384</v>
      </c>
    </row>
    <row r="91" spans="1:3" x14ac:dyDescent="0.35">
      <c r="A91">
        <v>46</v>
      </c>
      <c r="B91" s="5" t="s">
        <v>75</v>
      </c>
      <c r="C91" s="9">
        <f>'FAC 12'!J4</f>
        <v>0.47619047619047616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122E3-61D3-4B9B-A67D-563CF1F52D74}">
  <dimension ref="A1:E50"/>
  <sheetViews>
    <sheetView tabSelected="1" topLeftCell="A10" workbookViewId="0">
      <selection activeCell="F11" sqref="F11"/>
    </sheetView>
  </sheetViews>
  <sheetFormatPr baseColWidth="10" defaultColWidth="30.453125" defaultRowHeight="14.5" x14ac:dyDescent="0.35"/>
  <cols>
    <col min="1" max="1" width="6.6328125" bestFit="1" customWidth="1"/>
    <col min="2" max="2" width="30.1796875" bestFit="1" customWidth="1"/>
    <col min="3" max="3" width="9.6328125" bestFit="1" customWidth="1"/>
    <col min="5" max="5" width="9.6328125" bestFit="1" customWidth="1"/>
  </cols>
  <sheetData>
    <row r="1" spans="1:5" ht="15" thickBot="1" x14ac:dyDescent="0.4">
      <c r="A1" s="30" t="s">
        <v>89</v>
      </c>
      <c r="B1" s="31" t="s">
        <v>90</v>
      </c>
      <c r="C1" s="31" t="s">
        <v>91</v>
      </c>
      <c r="D1" s="31" t="s">
        <v>92</v>
      </c>
      <c r="E1" s="31" t="s">
        <v>93</v>
      </c>
    </row>
    <row r="2" spans="1:5" ht="15" thickBot="1" x14ac:dyDescent="0.4">
      <c r="A2" s="35">
        <v>1</v>
      </c>
      <c r="B2" s="33" t="s">
        <v>5</v>
      </c>
      <c r="C2" s="41">
        <f>Graficos!C3</f>
        <v>0.12078272604588394</v>
      </c>
      <c r="D2" s="32" t="s">
        <v>94</v>
      </c>
      <c r="E2" s="42">
        <f>Graficos!C18</f>
        <v>0.53846153846153844</v>
      </c>
    </row>
    <row r="3" spans="1:5" ht="23.5" thickBot="1" x14ac:dyDescent="0.4">
      <c r="A3" s="36"/>
      <c r="B3" s="34"/>
      <c r="C3" s="36"/>
      <c r="D3" s="32" t="s">
        <v>31</v>
      </c>
      <c r="E3" s="42">
        <f>Graficos!C19</f>
        <v>0.46153846153846156</v>
      </c>
    </row>
    <row r="4" spans="1:5" ht="23.5" thickBot="1" x14ac:dyDescent="0.4">
      <c r="A4" s="35">
        <v>2</v>
      </c>
      <c r="B4" s="33" t="s">
        <v>19</v>
      </c>
      <c r="C4" s="41">
        <f>Graficos!C4</f>
        <v>0.12415654520917679</v>
      </c>
      <c r="D4" s="32" t="s">
        <v>95</v>
      </c>
      <c r="E4" s="42">
        <f>Graficos!C23</f>
        <v>0.33139534883720928</v>
      </c>
    </row>
    <row r="5" spans="1:5" ht="15" thickBot="1" x14ac:dyDescent="0.4">
      <c r="A5" s="38"/>
      <c r="B5" s="37"/>
      <c r="C5" s="38"/>
      <c r="D5" s="32" t="s">
        <v>96</v>
      </c>
      <c r="E5" s="42">
        <f>Graficos!C24</f>
        <v>0.18023255813953487</v>
      </c>
    </row>
    <row r="6" spans="1:5" ht="15" thickBot="1" x14ac:dyDescent="0.4">
      <c r="A6" s="38"/>
      <c r="B6" s="37"/>
      <c r="C6" s="38"/>
      <c r="D6" s="32" t="s">
        <v>97</v>
      </c>
      <c r="E6" s="42">
        <f>Graficos!C25</f>
        <v>0.19186046511627908</v>
      </c>
    </row>
    <row r="7" spans="1:5" ht="23.5" thickBot="1" x14ac:dyDescent="0.4">
      <c r="A7" s="38"/>
      <c r="B7" s="37"/>
      <c r="C7" s="38"/>
      <c r="D7" s="32" t="s">
        <v>98</v>
      </c>
      <c r="E7" s="42">
        <f>Graficos!C26</f>
        <v>0.13372093023255813</v>
      </c>
    </row>
    <row r="8" spans="1:5" ht="15" thickBot="1" x14ac:dyDescent="0.4">
      <c r="A8" s="36"/>
      <c r="B8" s="34"/>
      <c r="C8" s="36"/>
      <c r="D8" s="32" t="s">
        <v>36</v>
      </c>
      <c r="E8" s="42">
        <f>Graficos!C27</f>
        <v>0.16279069767441862</v>
      </c>
    </row>
    <row r="9" spans="1:5" ht="15" thickBot="1" x14ac:dyDescent="0.4">
      <c r="A9" s="35">
        <v>3</v>
      </c>
      <c r="B9" s="33" t="s">
        <v>20</v>
      </c>
      <c r="C9" s="41">
        <f>Graficos!C5</f>
        <v>0.11673414304993253</v>
      </c>
      <c r="D9" s="32" t="s">
        <v>99</v>
      </c>
      <c r="E9" s="42">
        <f>Graficos!C31</f>
        <v>0.17129629629629631</v>
      </c>
    </row>
    <row r="10" spans="1:5" ht="15" thickBot="1" x14ac:dyDescent="0.4">
      <c r="A10" s="38"/>
      <c r="B10" s="37"/>
      <c r="C10" s="38"/>
      <c r="D10" s="32" t="s">
        <v>100</v>
      </c>
      <c r="E10" s="42">
        <f>Graficos!C32</f>
        <v>0.13734567901234568</v>
      </c>
    </row>
    <row r="11" spans="1:5" ht="23.5" thickBot="1" x14ac:dyDescent="0.4">
      <c r="A11" s="38"/>
      <c r="B11" s="37"/>
      <c r="C11" s="38"/>
      <c r="D11" s="32" t="s">
        <v>101</v>
      </c>
      <c r="E11" s="42">
        <f>Graficos!C33</f>
        <v>0.15740740740740741</v>
      </c>
    </row>
    <row r="12" spans="1:5" ht="15" thickBot="1" x14ac:dyDescent="0.4">
      <c r="A12" s="38"/>
      <c r="B12" s="37"/>
      <c r="C12" s="38"/>
      <c r="D12" s="32" t="s">
        <v>102</v>
      </c>
      <c r="E12" s="42">
        <f>Graficos!C34</f>
        <v>0.15277777777777779</v>
      </c>
    </row>
    <row r="13" spans="1:5" ht="15" thickBot="1" x14ac:dyDescent="0.4">
      <c r="A13" s="38"/>
      <c r="B13" s="37"/>
      <c r="C13" s="38"/>
      <c r="D13" s="32" t="s">
        <v>103</v>
      </c>
      <c r="E13" s="42">
        <f>Graficos!C35</f>
        <v>0.10339506172839506</v>
      </c>
    </row>
    <row r="14" spans="1:5" ht="23.5" thickBot="1" x14ac:dyDescent="0.4">
      <c r="A14" s="38"/>
      <c r="B14" s="37"/>
      <c r="C14" s="38"/>
      <c r="D14" s="32" t="s">
        <v>104</v>
      </c>
      <c r="E14" s="42">
        <f>Graficos!C36</f>
        <v>0.11728395061728394</v>
      </c>
    </row>
    <row r="15" spans="1:5" ht="15" thickBot="1" x14ac:dyDescent="0.4">
      <c r="A15" s="38"/>
      <c r="B15" s="37"/>
      <c r="C15" s="38"/>
      <c r="D15" s="32" t="s">
        <v>105</v>
      </c>
      <c r="E15" s="42">
        <f>Graficos!C37</f>
        <v>9.4135802469135804E-2</v>
      </c>
    </row>
    <row r="16" spans="1:5" ht="15" thickBot="1" x14ac:dyDescent="0.4">
      <c r="A16" s="36"/>
      <c r="B16" s="34"/>
      <c r="C16" s="36"/>
      <c r="D16" s="32" t="s">
        <v>44</v>
      </c>
      <c r="E16" s="42">
        <f>Graficos!C38</f>
        <v>6.6358024691358028E-2</v>
      </c>
    </row>
    <row r="17" spans="1:5" ht="15" thickBot="1" x14ac:dyDescent="0.4">
      <c r="A17" s="35">
        <v>4</v>
      </c>
      <c r="B17" s="33" t="s">
        <v>29</v>
      </c>
      <c r="C17" s="41">
        <f>Graficos!C6</f>
        <v>0.10796221322537113</v>
      </c>
      <c r="D17" s="32" t="s">
        <v>106</v>
      </c>
      <c r="E17" s="42">
        <v>0.54761904761904767</v>
      </c>
    </row>
    <row r="18" spans="1:5" ht="23.5" thickBot="1" x14ac:dyDescent="0.4">
      <c r="A18" s="36"/>
      <c r="B18" s="34"/>
      <c r="C18" s="36"/>
      <c r="D18" s="32" t="s">
        <v>107</v>
      </c>
      <c r="E18" s="42">
        <v>0.45238095238095238</v>
      </c>
    </row>
    <row r="19" spans="1:5" ht="15" thickBot="1" x14ac:dyDescent="0.4">
      <c r="A19" s="35">
        <v>5</v>
      </c>
      <c r="B19" s="33" t="s">
        <v>21</v>
      </c>
      <c r="C19" s="41">
        <f>Graficos!C7</f>
        <v>6.7476383265856948E-2</v>
      </c>
      <c r="D19" s="32" t="s">
        <v>108</v>
      </c>
      <c r="E19" s="42">
        <f>Graficos!C42</f>
        <v>0.17160493827160495</v>
      </c>
    </row>
    <row r="20" spans="1:5" ht="15" thickBot="1" x14ac:dyDescent="0.4">
      <c r="A20" s="38"/>
      <c r="B20" s="37"/>
      <c r="C20" s="38"/>
      <c r="D20" s="32" t="s">
        <v>109</v>
      </c>
      <c r="E20" s="42">
        <f>Graficos!C43</f>
        <v>0.14691358024691359</v>
      </c>
    </row>
    <row r="21" spans="1:5" ht="15" thickBot="1" x14ac:dyDescent="0.4">
      <c r="A21" s="38"/>
      <c r="B21" s="37"/>
      <c r="C21" s="38"/>
      <c r="D21" s="32" t="s">
        <v>110</v>
      </c>
      <c r="E21" s="42">
        <f>Graficos!C44</f>
        <v>0.12839506172839507</v>
      </c>
    </row>
    <row r="22" spans="1:5" ht="15" thickBot="1" x14ac:dyDescent="0.4">
      <c r="A22" s="38"/>
      <c r="B22" s="37"/>
      <c r="C22" s="38"/>
      <c r="D22" s="32" t="s">
        <v>111</v>
      </c>
      <c r="E22" s="42">
        <f>Graficos!C45</f>
        <v>0.11358024691358025</v>
      </c>
    </row>
    <row r="23" spans="1:5" ht="15" thickBot="1" x14ac:dyDescent="0.4">
      <c r="A23" s="38"/>
      <c r="B23" s="37"/>
      <c r="C23" s="38"/>
      <c r="D23" s="32" t="s">
        <v>112</v>
      </c>
      <c r="E23" s="42">
        <f>Graficos!C46</f>
        <v>7.5308641975308649E-2</v>
      </c>
    </row>
    <row r="24" spans="1:5" ht="15" thickBot="1" x14ac:dyDescent="0.4">
      <c r="A24" s="38"/>
      <c r="B24" s="37"/>
      <c r="C24" s="38"/>
      <c r="D24" s="32" t="s">
        <v>113</v>
      </c>
      <c r="E24" s="42">
        <f>Graficos!C47</f>
        <v>0.12839506172839507</v>
      </c>
    </row>
    <row r="25" spans="1:5" ht="15" thickBot="1" x14ac:dyDescent="0.4">
      <c r="A25" s="38"/>
      <c r="B25" s="37"/>
      <c r="C25" s="38"/>
      <c r="D25" s="32" t="s">
        <v>114</v>
      </c>
      <c r="E25" s="42">
        <f>Graficos!C48</f>
        <v>0.10987654320987654</v>
      </c>
    </row>
    <row r="26" spans="1:5" ht="23.5" thickBot="1" x14ac:dyDescent="0.4">
      <c r="A26" s="38"/>
      <c r="B26" s="37"/>
      <c r="C26" s="38"/>
      <c r="D26" s="32" t="s">
        <v>115</v>
      </c>
      <c r="E26" s="42">
        <f>Graficos!C49</f>
        <v>6.7901234567901231E-2</v>
      </c>
    </row>
    <row r="27" spans="1:5" ht="15" thickBot="1" x14ac:dyDescent="0.4">
      <c r="A27" s="36"/>
      <c r="B27" s="34"/>
      <c r="C27" s="36"/>
      <c r="D27" s="32" t="s">
        <v>53</v>
      </c>
      <c r="E27" s="42">
        <f>Graficos!C50</f>
        <v>5.802469135802469E-2</v>
      </c>
    </row>
    <row r="28" spans="1:5" ht="23.5" thickBot="1" x14ac:dyDescent="0.4">
      <c r="A28" s="35">
        <v>6</v>
      </c>
      <c r="B28" s="33" t="s">
        <v>22</v>
      </c>
      <c r="C28" s="41">
        <f>Graficos!C8</f>
        <v>7.28744939271255E-2</v>
      </c>
      <c r="D28" s="32" t="s">
        <v>116</v>
      </c>
      <c r="E28" s="42">
        <f>Graficos!C54</f>
        <v>0.26111111111111113</v>
      </c>
    </row>
    <row r="29" spans="1:5" ht="23.5" thickBot="1" x14ac:dyDescent="0.4">
      <c r="A29" s="38"/>
      <c r="B29" s="37"/>
      <c r="C29" s="38"/>
      <c r="D29" s="32" t="s">
        <v>117</v>
      </c>
      <c r="E29" s="42">
        <f>Graficos!C55</f>
        <v>0.27777777777777779</v>
      </c>
    </row>
    <row r="30" spans="1:5" ht="15" thickBot="1" x14ac:dyDescent="0.4">
      <c r="A30" s="38"/>
      <c r="B30" s="37"/>
      <c r="C30" s="38"/>
      <c r="D30" s="32" t="s">
        <v>118</v>
      </c>
      <c r="E30" s="42">
        <f>Graficos!C56</f>
        <v>0.21111111111111111</v>
      </c>
    </row>
    <row r="31" spans="1:5" ht="15" thickBot="1" x14ac:dyDescent="0.4">
      <c r="A31" s="36"/>
      <c r="B31" s="34"/>
      <c r="C31" s="36"/>
      <c r="D31" s="32" t="s">
        <v>57</v>
      </c>
      <c r="E31" s="42">
        <f>Graficos!C57</f>
        <v>0.25</v>
      </c>
    </row>
    <row r="32" spans="1:5" ht="23.5" thickBot="1" x14ac:dyDescent="0.4">
      <c r="A32" s="35">
        <v>7</v>
      </c>
      <c r="B32" s="33" t="s">
        <v>23</v>
      </c>
      <c r="C32" s="41">
        <f>Graficos!C9</f>
        <v>0.10593792172739541</v>
      </c>
      <c r="D32" s="32" t="s">
        <v>119</v>
      </c>
      <c r="E32" s="42">
        <f>Graficos!C61</f>
        <v>0.34782608695652173</v>
      </c>
    </row>
    <row r="33" spans="1:5" ht="23.5" thickBot="1" x14ac:dyDescent="0.4">
      <c r="A33" s="38"/>
      <c r="B33" s="37"/>
      <c r="C33" s="38"/>
      <c r="D33" s="32" t="s">
        <v>120</v>
      </c>
      <c r="E33" s="42">
        <f>Graficos!C62</f>
        <v>0.40579710144927539</v>
      </c>
    </row>
    <row r="34" spans="1:5" ht="23.5" thickBot="1" x14ac:dyDescent="0.4">
      <c r="A34" s="36"/>
      <c r="B34" s="34"/>
      <c r="C34" s="36"/>
      <c r="D34" s="32" t="s">
        <v>60</v>
      </c>
      <c r="E34" s="42">
        <f>Graficos!C63</f>
        <v>0.24637681159420291</v>
      </c>
    </row>
    <row r="35" spans="1:5" x14ac:dyDescent="0.35">
      <c r="A35" s="35">
        <v>8</v>
      </c>
      <c r="B35" s="33" t="s">
        <v>24</v>
      </c>
      <c r="C35" s="41">
        <f>Graficos!C10</f>
        <v>4.7908232118758436E-2</v>
      </c>
      <c r="D35" s="39" t="s">
        <v>121</v>
      </c>
      <c r="E35" s="43">
        <f>Graficos!C66</f>
        <v>0.53333333333333333</v>
      </c>
    </row>
    <row r="36" spans="1:5" ht="15" thickBot="1" x14ac:dyDescent="0.4">
      <c r="A36" s="38"/>
      <c r="B36" s="37"/>
      <c r="C36" s="38"/>
      <c r="D36" s="40"/>
      <c r="E36" s="34"/>
    </row>
    <row r="37" spans="1:5" ht="35" thickBot="1" x14ac:dyDescent="0.4">
      <c r="A37" s="36"/>
      <c r="B37" s="34"/>
      <c r="C37" s="36"/>
      <c r="D37" s="32" t="s">
        <v>62</v>
      </c>
      <c r="E37" s="42">
        <f>Graficos!C67</f>
        <v>0.46666666666666667</v>
      </c>
    </row>
    <row r="38" spans="1:5" ht="15" thickBot="1" x14ac:dyDescent="0.4">
      <c r="A38" s="35">
        <v>9</v>
      </c>
      <c r="B38" s="33" t="s">
        <v>25</v>
      </c>
      <c r="C38" s="41">
        <f>Graficos!C11</f>
        <v>6.4102564102564097E-2</v>
      </c>
      <c r="D38" s="32" t="s">
        <v>122</v>
      </c>
      <c r="E38" s="42">
        <f>Graficos!C71</f>
        <v>0.54761904761904767</v>
      </c>
    </row>
    <row r="39" spans="1:5" ht="15" thickBot="1" x14ac:dyDescent="0.4">
      <c r="A39" s="36"/>
      <c r="B39" s="34"/>
      <c r="C39" s="36"/>
      <c r="D39" s="32" t="s">
        <v>64</v>
      </c>
      <c r="E39" s="42">
        <f>Graficos!C72</f>
        <v>0.45238095238095238</v>
      </c>
    </row>
    <row r="40" spans="1:5" ht="23.5" thickBot="1" x14ac:dyDescent="0.4">
      <c r="A40" s="35">
        <v>10</v>
      </c>
      <c r="B40" s="33" t="s">
        <v>26</v>
      </c>
      <c r="C40" s="41">
        <f>Graficos!C12</f>
        <v>6.8825910931174086E-2</v>
      </c>
      <c r="D40" s="32" t="s">
        <v>123</v>
      </c>
      <c r="E40" s="42">
        <f>Graficos!C76</f>
        <v>0.39855072463768115</v>
      </c>
    </row>
    <row r="41" spans="1:5" ht="23.5" thickBot="1" x14ac:dyDescent="0.4">
      <c r="A41" s="38">
        <v>10</v>
      </c>
      <c r="B41" s="37"/>
      <c r="C41" s="38"/>
      <c r="D41" s="32" t="s">
        <v>124</v>
      </c>
      <c r="E41" s="42">
        <f>Graficos!C77</f>
        <v>0.35507246376811596</v>
      </c>
    </row>
    <row r="42" spans="1:5" ht="15" thickBot="1" x14ac:dyDescent="0.4">
      <c r="A42" s="36"/>
      <c r="B42" s="34"/>
      <c r="C42" s="36"/>
      <c r="D42" s="32" t="s">
        <v>67</v>
      </c>
      <c r="E42" s="42">
        <f>Graficos!C78</f>
        <v>0.24637681159420291</v>
      </c>
    </row>
    <row r="43" spans="1:5" ht="15" thickBot="1" x14ac:dyDescent="0.4">
      <c r="A43" s="35">
        <v>11</v>
      </c>
      <c r="B43" s="33" t="s">
        <v>27</v>
      </c>
      <c r="C43" s="41">
        <f>Graficos!C13</f>
        <v>6.6801619433198386E-2</v>
      </c>
      <c r="D43" s="32" t="s">
        <v>125</v>
      </c>
      <c r="E43" s="42">
        <f>Graficos!C82</f>
        <v>0.23015873015873015</v>
      </c>
    </row>
    <row r="44" spans="1:5" ht="15" thickBot="1" x14ac:dyDescent="0.4">
      <c r="A44" s="38"/>
      <c r="B44" s="37"/>
      <c r="C44" s="38"/>
      <c r="D44" s="32" t="s">
        <v>126</v>
      </c>
      <c r="E44" s="42">
        <f>Graficos!C83</f>
        <v>0.21164021164021163</v>
      </c>
    </row>
    <row r="45" spans="1:5" ht="15" thickBot="1" x14ac:dyDescent="0.4">
      <c r="A45" s="38"/>
      <c r="B45" s="37"/>
      <c r="C45" s="38"/>
      <c r="D45" s="32" t="s">
        <v>127</v>
      </c>
      <c r="E45" s="42">
        <f>Graficos!C84</f>
        <v>0.13227513227513227</v>
      </c>
    </row>
    <row r="46" spans="1:5" ht="15" thickBot="1" x14ac:dyDescent="0.4">
      <c r="A46" s="38"/>
      <c r="B46" s="37"/>
      <c r="C46" s="38"/>
      <c r="D46" s="32" t="s">
        <v>128</v>
      </c>
      <c r="E46" s="42">
        <f>Graficos!C85</f>
        <v>0.11904761904761904</v>
      </c>
    </row>
    <row r="47" spans="1:5" ht="15" thickBot="1" x14ac:dyDescent="0.4">
      <c r="A47" s="38"/>
      <c r="B47" s="37"/>
      <c r="C47" s="38"/>
      <c r="D47" s="32" t="s">
        <v>129</v>
      </c>
      <c r="E47" s="42">
        <f>Graficos!C86</f>
        <v>0.12962962962962962</v>
      </c>
    </row>
    <row r="48" spans="1:5" ht="23.5" thickBot="1" x14ac:dyDescent="0.4">
      <c r="A48" s="36"/>
      <c r="B48" s="34"/>
      <c r="C48" s="36"/>
      <c r="D48" s="32" t="s">
        <v>73</v>
      </c>
      <c r="E48" s="42">
        <f>Graficos!C87</f>
        <v>0.17724867724867724</v>
      </c>
    </row>
    <row r="49" spans="1:5" ht="23.5" thickBot="1" x14ac:dyDescent="0.4">
      <c r="A49" s="35">
        <v>12</v>
      </c>
      <c r="B49" s="33" t="s">
        <v>28</v>
      </c>
      <c r="C49" s="41">
        <f>Graficos!C14</f>
        <v>3.643724696356275E-2</v>
      </c>
      <c r="D49" s="32" t="s">
        <v>130</v>
      </c>
      <c r="E49" s="42">
        <f>Graficos!C90</f>
        <v>0.52380952380952384</v>
      </c>
    </row>
    <row r="50" spans="1:5" ht="23.5" thickBot="1" x14ac:dyDescent="0.4">
      <c r="A50" s="36"/>
      <c r="B50" s="34"/>
      <c r="C50" s="36"/>
      <c r="D50" s="32" t="s">
        <v>75</v>
      </c>
      <c r="E50" s="42">
        <f>Graficos!C91</f>
        <v>0.47619047619047616</v>
      </c>
    </row>
  </sheetData>
  <mergeCells count="38">
    <mergeCell ref="A38:A39"/>
    <mergeCell ref="A40:A42"/>
    <mergeCell ref="A43:A48"/>
    <mergeCell ref="A49:A50"/>
    <mergeCell ref="B49:B50"/>
    <mergeCell ref="C49:C50"/>
    <mergeCell ref="A2:A3"/>
    <mergeCell ref="A4:A8"/>
    <mergeCell ref="A9:A16"/>
    <mergeCell ref="A17:A18"/>
    <mergeCell ref="A19:A27"/>
    <mergeCell ref="A28:A31"/>
    <mergeCell ref="A32:A34"/>
    <mergeCell ref="A35:A37"/>
    <mergeCell ref="B38:B39"/>
    <mergeCell ref="C38:C39"/>
    <mergeCell ref="B40:B42"/>
    <mergeCell ref="C40:C42"/>
    <mergeCell ref="B43:B48"/>
    <mergeCell ref="C43:C48"/>
    <mergeCell ref="B32:B34"/>
    <mergeCell ref="C32:C34"/>
    <mergeCell ref="B35:B37"/>
    <mergeCell ref="C35:C37"/>
    <mergeCell ref="D35:D36"/>
    <mergeCell ref="E35:E36"/>
    <mergeCell ref="B17:B18"/>
    <mergeCell ref="C17:C18"/>
    <mergeCell ref="B19:B27"/>
    <mergeCell ref="C19:C27"/>
    <mergeCell ref="B28:B31"/>
    <mergeCell ref="C28:C31"/>
    <mergeCell ref="B2:B3"/>
    <mergeCell ref="C2:C3"/>
    <mergeCell ref="B4:B8"/>
    <mergeCell ref="C4:C8"/>
    <mergeCell ref="B9:B16"/>
    <mergeCell ref="C9:C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FACTORES</vt:lpstr>
      <vt:lpstr>PEP</vt:lpstr>
      <vt:lpstr>EST</vt:lpstr>
      <vt:lpstr>DOC</vt:lpstr>
      <vt:lpstr>FAC 5</vt:lpstr>
      <vt:lpstr>FAC 6</vt:lpstr>
      <vt:lpstr>FAC 7</vt:lpstr>
      <vt:lpstr>FAC 8</vt:lpstr>
      <vt:lpstr>FAC 9</vt:lpstr>
      <vt:lpstr>FAC 10</vt:lpstr>
      <vt:lpstr>FAC 11</vt:lpstr>
      <vt:lpstr>FAC 12</vt:lpstr>
      <vt:lpstr>Graficos</vt:lpstr>
      <vt:lpstr>Hoja1</vt:lpstr>
      <vt:lpstr>Hoja1!_Hlk137488061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2025-04-22T14:50:53Z</dcterms:created>
  <dcterms:modified xsi:type="dcterms:W3CDTF">2025-05-30T16:26:53Z</dcterms:modified>
  <cp:category/>
  <cp:contentStatus/>
</cp:coreProperties>
</file>