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milo U\15avo Semestre\Monitorias\Encuesta Factores\"/>
    </mc:Choice>
  </mc:AlternateContent>
  <xr:revisionPtr revIDLastSave="4" documentId="13_ncr:1_{A21BF4BE-5723-4CEB-A9ED-B43FECEBB337}" xr6:coauthVersionLast="47" xr6:coauthVersionMax="47" xr10:uidLastSave="{C69F5532-BCFD-4476-A380-7FDF2ABBEBBA}"/>
  <bookViews>
    <workbookView xWindow="-120" yWindow="-120" windowWidth="20730" windowHeight="11160" firstSheet="4" xr2:uid="{00000000-000D-0000-FFFF-FFFF00000000}"/>
  </bookViews>
  <sheets>
    <sheet name="FACTOR4-I" sheetId="23" r:id="rId1"/>
    <sheet name="FACTOR5-I" sheetId="25" r:id="rId2"/>
    <sheet name="FACTOR7-I" sheetId="27" r:id="rId3"/>
    <sheet name="FACTOR11-I" sheetId="29" r:id="rId4"/>
    <sheet name="CARACT-I" sheetId="3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1" l="1"/>
  <c r="E39" i="31"/>
  <c r="E38" i="31"/>
  <c r="E37" i="31"/>
  <c r="E36" i="31"/>
  <c r="E24" i="31"/>
  <c r="E23" i="31"/>
  <c r="E22" i="31"/>
  <c r="E21" i="31"/>
  <c r="E20" i="31"/>
  <c r="E7" i="31"/>
  <c r="E6" i="31"/>
  <c r="E5" i="31"/>
  <c r="E4" i="31"/>
  <c r="E3" i="31"/>
  <c r="E7" i="29"/>
  <c r="E6" i="29"/>
  <c r="E5" i="29"/>
  <c r="E4" i="29"/>
  <c r="E3" i="29"/>
  <c r="E7" i="27"/>
  <c r="E6" i="27"/>
  <c r="E5" i="27"/>
  <c r="E4" i="27"/>
  <c r="E3" i="27"/>
  <c r="F36" i="31" l="1"/>
  <c r="H36" i="31"/>
  <c r="H20" i="31"/>
  <c r="H3" i="31"/>
  <c r="F3" i="31"/>
  <c r="F20" i="31"/>
  <c r="F3" i="29"/>
  <c r="F13" i="29" s="1"/>
  <c r="G3" i="29" s="1"/>
  <c r="G13" i="29" s="1"/>
  <c r="H3" i="29"/>
  <c r="F3" i="27"/>
  <c r="F13" i="27"/>
  <c r="G3" i="27" s="1"/>
  <c r="G13" i="27" s="1"/>
  <c r="H3" i="27"/>
  <c r="E7" i="25"/>
  <c r="E6" i="25"/>
  <c r="E5" i="25"/>
  <c r="E4" i="25"/>
  <c r="E3" i="25"/>
  <c r="E16" i="23"/>
  <c r="E15" i="23"/>
  <c r="E14" i="23"/>
  <c r="E13" i="23"/>
  <c r="E12" i="23"/>
  <c r="E7" i="23"/>
  <c r="E6" i="23"/>
  <c r="E5" i="23"/>
  <c r="E4" i="23"/>
  <c r="E3" i="23"/>
  <c r="F46" i="31" l="1"/>
  <c r="G36" i="31" s="1"/>
  <c r="G46" i="31" s="1"/>
  <c r="F13" i="31"/>
  <c r="G3" i="31" s="1"/>
  <c r="G13" i="31" s="1"/>
  <c r="F30" i="31"/>
  <c r="G20" i="31" s="1"/>
  <c r="G30" i="31" s="1"/>
  <c r="F3" i="25"/>
  <c r="F13" i="25" s="1"/>
  <c r="G3" i="25" s="1"/>
  <c r="G13" i="25" s="1"/>
  <c r="H3" i="25"/>
  <c r="F3" i="23"/>
  <c r="F12" i="23"/>
  <c r="H12" i="23"/>
  <c r="H3" i="23"/>
  <c r="F20" i="23" l="1"/>
  <c r="G12" i="23" s="1"/>
  <c r="H20" i="23"/>
  <c r="G3" i="23" l="1"/>
  <c r="G20" i="23" s="1"/>
</calcChain>
</file>

<file path=xl/sharedStrings.xml><?xml version="1.0" encoding="utf-8"?>
<sst xmlns="http://schemas.openxmlformats.org/spreadsheetml/2006/main" count="88" uniqueCount="23">
  <si>
    <t>Las competencias adquiridas durante mi formación en la maestría (técnicas, investigativas, pedagógicas, etc.) han sido suficientes y relevantes para mi desarrollo profesional.</t>
  </si>
  <si>
    <t>Opción</t>
  </si>
  <si>
    <t xml:space="preserve">Valor del factor </t>
  </si>
  <si>
    <t>Recuento</t>
  </si>
  <si>
    <t>Puntuación</t>
  </si>
  <si>
    <t>Tendencia</t>
  </si>
  <si>
    <t>Totalmente de acuerdo</t>
  </si>
  <si>
    <t>De acuerdo</t>
  </si>
  <si>
    <t>Ni en acuerdo ni en desacuerdo</t>
  </si>
  <si>
    <t>En desacuerdo</t>
  </si>
  <si>
    <t>Totalmente en desacuerdo</t>
  </si>
  <si>
    <t>Considero que mi formación en la maestría ha influido positivamente en mi desarrollo profesional, así como en la mejora de oportunidades en mi campo laboral.</t>
  </si>
  <si>
    <t>Considero que las estrategias de flexibilidad curricular me permitieron personalizar mi formación de acuerdo con mis objetivos profesionales y académicos.</t>
  </si>
  <si>
    <t>Considero que la interacción con homólogos nacionales e internacionales me permitió mejorar mis competencias académicas y científicas, así como las oportunidades de desarrollo profesional.</t>
  </si>
  <si>
    <t>Considero que el representante estudiantil y de egresados en los diferentes escenarios institucionales, ha sido valorada y ha influido en las decisiones orientadas al mejoramiento de la Maestría en Ci.</t>
  </si>
  <si>
    <t>¿En qué sector se desempeña su trabajo actual?</t>
  </si>
  <si>
    <t>Sector primario (agricultura, ganadería, pesca, minería)</t>
  </si>
  <si>
    <t>Sector público (administración pública, gobierno)</t>
  </si>
  <si>
    <t>Sector terciario (comercio, servicios: educación, salud, finanzas, etc.)</t>
  </si>
  <si>
    <t>Tecnología (desarrollo de software, IA, ciberseguridad, telecomunicaciones)</t>
  </si>
  <si>
    <t>Otro</t>
  </si>
  <si>
    <t>¿El trabajo que realiza actualmente se relaciona directamente con los conocimientos adquiridos en la maestría?</t>
  </si>
  <si>
    <t>¿Siente que la maestría te ha abierto nuevas oportunidades laborales?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</si>
</sst>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Las competencias adquiridas durante mi formación en la maestría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B5-4E68-8E50-5FBE65FBCD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B5-4E68-8E50-5FBE65FBCD6E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'FACTOR4-I'!$A$3:$A$4</c:f>
              <c:strCache>
                <c:ptCount val="2"/>
                <c:pt idx="0">
                  <c:v>Totalmente de acuerdo</c:v>
                </c:pt>
                <c:pt idx="1">
                  <c:v>De acuerdo</c:v>
                </c:pt>
              </c:strCache>
            </c:strRef>
          </c:cat>
          <c:val>
            <c:numRef>
              <c:f>'FACTOR4-I'!$C$3:$C$4</c:f>
              <c:numCache>
                <c:formatCode>General</c:formatCode>
                <c:ptCount val="2"/>
                <c:pt idx="0">
                  <c:v>11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9-47C6-ADDD-AFCDAB53B1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mi formación en la maestría ha influido positivamente en mi desarrollo profesional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80-4633-81C3-E4B3378244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80-4633-81C3-E4B3378244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80-4633-81C3-E4B3378244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'FACTOR4-I'!$A$12:$A$14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'FACTOR4-I'!$C$12:$C$14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3-4AD5-A0C8-EB4B566165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estrategias de flexibilidad curricular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5B-4C91-A92C-52825E2F1D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5B-4C91-A92C-52825E2F1D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5B-4C91-A92C-52825E2F1D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5B-4C91-A92C-52825E2F1D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5B-4C91-A92C-52825E2F1D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'FACTOR5-I'!$C$3:$C$7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E-40C8-8EBD-77AE1E94B5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 interacción con homólogos nacionales e internacionales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15-4D7A-9954-43FE29319B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15-4D7A-9954-43FE29319B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15-4D7A-9954-43FE29319B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15-4D7A-9954-43FE29319B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15-4D7A-9954-43FE29319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'FACTOR7-I'!$A$3:$A$7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'FACTOR7-I'!$C$3:$C$7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0-4ACA-A599-6FAA6EC607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representante estudiantil y de egresados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FF-4C0B-BACC-9F82C91635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FF-4C0B-BACC-9F82C91635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FF-4C0B-BACC-9F82C91635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FF-4C0B-BACC-9F82C91635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FF-4C0B-BACC-9F82C91635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'FACTOR11-I'!$C$3:$C$7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FF-4C0B-BACC-9F82C91635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¿En qué sector se desempeña su trabajo actual?</a:t>
            </a:r>
          </a:p>
        </c:rich>
      </c:tx>
      <c:layout>
        <c:manualLayout>
          <c:xMode val="edge"/>
          <c:yMode val="edge"/>
          <c:x val="0.11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15-4B71-8602-A47A0DAD38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15-4B71-8602-A47A0DAD38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15-4B71-8602-A47A0DAD38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15-4B71-8602-A47A0DAD38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15-4B71-8602-A47A0DAD38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'CARACT-I'!$A$3:$A$7</c:f>
              <c:strCache>
                <c:ptCount val="5"/>
                <c:pt idx="0">
                  <c:v>Sector primario (agricultura, ganadería, pesca, minería)</c:v>
                </c:pt>
                <c:pt idx="1">
                  <c:v>Sector público (administración pública, gobierno)</c:v>
                </c:pt>
                <c:pt idx="2">
                  <c:v>Sector terciario (comercio, servicios: educación, salud, finanzas, etc.)</c:v>
                </c:pt>
                <c:pt idx="3">
                  <c:v>Tecnología (desarrollo de software, IA, ciberseguridad, telecomunicaciones)</c:v>
                </c:pt>
                <c:pt idx="4">
                  <c:v>Otro</c:v>
                </c:pt>
              </c:strCache>
            </c:strRef>
          </c:cat>
          <c:val>
            <c:numRef>
              <c:f>'CARACT-I'!$C$3:$C$7</c:f>
              <c:numCache>
                <c:formatCode>General</c:formatCode>
                <c:ptCount val="5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15-4B71-8602-A47A0DAD38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¿El trabajo que realiza actualmente se relaciona directamente con los conocimientos adquiridos en la maestría?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E6-4FAE-8867-2ABD9486C1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E6-4FAE-8867-2ABD9486C1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E6-4FAE-8867-2ABD9486C1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E6-4FAE-8867-2ABD9486C1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E6-4FAE-8867-2ABD9486C1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'CARACT-I'!$A$20:$A$24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'CARACT-I'!$C$20:$C$24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E6-4FAE-8867-2ABD9486C1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¿Siente que la maestría te ha abierto nuevas oportunidades laborales?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97-4FE4-A62D-B748EBF04F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97-4FE4-A62D-B748EBF04F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97-4FE4-A62D-B748EBF04F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97-4FE4-A62D-B748EBF04F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97-4FE4-A62D-B748EBF04F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'CARACT-I'!$A$36:$A$40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'CARACT-I'!$C$36:$C$40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97-4FE4-A62D-B748EBF04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242887</xdr:colOff>
      <xdr:row>1</xdr:row>
      <xdr:rowOff>71437</xdr:rowOff>
    </xdr:from>
    <xdr:to>
      <xdr:col>15</xdr:col>
      <xdr:colOff>366712</xdr:colOff>
      <xdr:row>15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07F372-32BE-1F1B-3A94-FC6B76369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223837</xdr:colOff>
      <xdr:row>16</xdr:row>
      <xdr:rowOff>100012</xdr:rowOff>
    </xdr:from>
    <xdr:to>
      <xdr:col>15</xdr:col>
      <xdr:colOff>347662</xdr:colOff>
      <xdr:row>30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5A28F8-6D5D-840E-A736-0405E4847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4</xdr:row>
      <xdr:rowOff>42862</xdr:rowOff>
    </xdr:from>
    <xdr:to>
      <xdr:col>10</xdr:col>
      <xdr:colOff>433387</xdr:colOff>
      <xdr:row>18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0B185E-77C9-2236-474C-6031BF1CD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461962</xdr:colOff>
      <xdr:row>7</xdr:row>
      <xdr:rowOff>128587</xdr:rowOff>
    </xdr:from>
    <xdr:to>
      <xdr:col>9</xdr:col>
      <xdr:colOff>23812</xdr:colOff>
      <xdr:row>22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06CFD0-B53D-799A-2027-73EB3D950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652462</xdr:colOff>
      <xdr:row>7</xdr:row>
      <xdr:rowOff>138112</xdr:rowOff>
    </xdr:from>
    <xdr:to>
      <xdr:col>10</xdr:col>
      <xdr:colOff>214312</xdr:colOff>
      <xdr:row>22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0BB751-6AC7-443F-84B4-1EBF260A4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633412</xdr:colOff>
      <xdr:row>1</xdr:row>
      <xdr:rowOff>176212</xdr:rowOff>
    </xdr:from>
    <xdr:to>
      <xdr:col>16</xdr:col>
      <xdr:colOff>147637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41CABE-2B8C-422C-B6D1-66CB915FC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609600</xdr:colOff>
      <xdr:row>17</xdr:row>
      <xdr:rowOff>100012</xdr:rowOff>
    </xdr:from>
    <xdr:to>
      <xdr:col>16</xdr:col>
      <xdr:colOff>123825</xdr:colOff>
      <xdr:row>31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687278-33ED-4AF6-9029-16679FB37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576262</xdr:colOff>
      <xdr:row>33</xdr:row>
      <xdr:rowOff>166687</xdr:rowOff>
    </xdr:from>
    <xdr:to>
      <xdr:col>16</xdr:col>
      <xdr:colOff>90487</xdr:colOff>
      <xdr:row>48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2D8E94-B0D5-47FB-A725-F3091A84D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B293-2061-4237-976F-991C3F08EA94}">
  <dimension ref="A1:J20"/>
  <sheetViews>
    <sheetView tabSelected="1" workbookViewId="0">
      <selection activeCell="A10" sqref="A10:J10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11</v>
      </c>
      <c r="D3">
        <v>5</v>
      </c>
      <c r="E3">
        <f t="shared" ref="E3:E7" si="0">C3*D3</f>
        <v>55</v>
      </c>
      <c r="F3" s="4">
        <f>SUM(E3:E7)</f>
        <v>79</v>
      </c>
      <c r="G3" s="2">
        <f>F3/$F$20</f>
        <v>0.5</v>
      </c>
      <c r="H3" s="4">
        <f>SUM(E3:E7)/SUM(C3:C7)</f>
        <v>4.6470588235294121</v>
      </c>
    </row>
    <row r="4" spans="1:10">
      <c r="A4" t="s">
        <v>7</v>
      </c>
      <c r="B4">
        <v>4</v>
      </c>
      <c r="C4">
        <v>6</v>
      </c>
      <c r="D4">
        <v>4</v>
      </c>
      <c r="E4">
        <f t="shared" si="0"/>
        <v>24</v>
      </c>
      <c r="F4" s="4"/>
      <c r="G4" s="2"/>
      <c r="H4" s="4"/>
    </row>
    <row r="5" spans="1:10">
      <c r="A5" t="s">
        <v>8</v>
      </c>
      <c r="B5">
        <v>3</v>
      </c>
      <c r="C5">
        <v>0</v>
      </c>
      <c r="D5">
        <v>3</v>
      </c>
      <c r="E5">
        <f t="shared" si="0"/>
        <v>0</v>
      </c>
      <c r="F5" s="4"/>
      <c r="G5" s="2"/>
      <c r="H5" s="4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4"/>
      <c r="G6" s="2"/>
      <c r="H6" s="4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4"/>
      <c r="G7" s="2"/>
      <c r="H7" s="4"/>
    </row>
    <row r="10" spans="1:10">
      <c r="A10" s="5" t="s">
        <v>11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t="s">
        <v>1</v>
      </c>
      <c r="B11" t="s">
        <v>2</v>
      </c>
      <c r="C11" t="s">
        <v>3</v>
      </c>
      <c r="D11" t="s">
        <v>4</v>
      </c>
      <c r="H11" t="s">
        <v>5</v>
      </c>
    </row>
    <row r="12" spans="1:10">
      <c r="A12" t="s">
        <v>6</v>
      </c>
      <c r="B12">
        <v>5</v>
      </c>
      <c r="C12">
        <v>12</v>
      </c>
      <c r="D12">
        <v>5</v>
      </c>
      <c r="E12">
        <f>C12*D12</f>
        <v>60</v>
      </c>
      <c r="F12" s="4">
        <f>SUM(E12:E16)</f>
        <v>79</v>
      </c>
      <c r="G12" s="2">
        <f>F12/$F$20</f>
        <v>0.5</v>
      </c>
      <c r="H12" s="4">
        <f>SUM(E12:E16)/SUM(C12:C16)</f>
        <v>4.6470588235294121</v>
      </c>
    </row>
    <row r="13" spans="1:10">
      <c r="A13" t="s">
        <v>7</v>
      </c>
      <c r="B13">
        <v>4</v>
      </c>
      <c r="C13">
        <v>4</v>
      </c>
      <c r="D13">
        <v>4</v>
      </c>
      <c r="E13">
        <f t="shared" ref="E13:E16" si="1">C13*D13</f>
        <v>16</v>
      </c>
      <c r="F13" s="4"/>
      <c r="G13" s="2"/>
      <c r="H13" s="4"/>
    </row>
    <row r="14" spans="1:10">
      <c r="A14" t="s">
        <v>8</v>
      </c>
      <c r="B14">
        <v>3</v>
      </c>
      <c r="C14">
        <v>1</v>
      </c>
      <c r="D14">
        <v>3</v>
      </c>
      <c r="E14">
        <f t="shared" si="1"/>
        <v>3</v>
      </c>
      <c r="F14" s="4"/>
      <c r="G14" s="2"/>
      <c r="H14" s="4"/>
    </row>
    <row r="15" spans="1:10">
      <c r="A15" t="s">
        <v>9</v>
      </c>
      <c r="B15">
        <v>2</v>
      </c>
      <c r="C15">
        <v>0</v>
      </c>
      <c r="D15">
        <v>2</v>
      </c>
      <c r="E15">
        <f t="shared" si="1"/>
        <v>0</v>
      </c>
      <c r="F15" s="4"/>
      <c r="G15" s="2"/>
      <c r="H15" s="4"/>
    </row>
    <row r="16" spans="1:10">
      <c r="A16" t="s">
        <v>10</v>
      </c>
      <c r="B16">
        <v>1</v>
      </c>
      <c r="C16">
        <v>0</v>
      </c>
      <c r="D16">
        <v>1</v>
      </c>
      <c r="E16">
        <f t="shared" si="1"/>
        <v>0</v>
      </c>
      <c r="F16" s="4"/>
      <c r="G16" s="2"/>
      <c r="H16" s="4"/>
    </row>
    <row r="20" spans="6:8">
      <c r="F20">
        <f>F3+F12</f>
        <v>158</v>
      </c>
      <c r="G20" s="1">
        <f>G3+G12</f>
        <v>1</v>
      </c>
      <c r="H20">
        <f>AVERAGE(H3,H12)</f>
        <v>4.6470588235294121</v>
      </c>
    </row>
  </sheetData>
  <mergeCells count="6">
    <mergeCell ref="A1:J1"/>
    <mergeCell ref="F3:F7"/>
    <mergeCell ref="H3:H7"/>
    <mergeCell ref="A10:J10"/>
    <mergeCell ref="F12:F16"/>
    <mergeCell ref="H12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0380-EB6D-4026-B37D-5D793C590139}">
  <dimension ref="A1:J13"/>
  <sheetViews>
    <sheetView workbookViewId="0">
      <selection activeCell="A3" sqref="A3:B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9</v>
      </c>
      <c r="D3">
        <v>5</v>
      </c>
      <c r="E3">
        <f t="shared" ref="E3:E7" si="0">C3*D3</f>
        <v>45</v>
      </c>
      <c r="F3" s="4">
        <f>SUM(E3:E7)</f>
        <v>73</v>
      </c>
      <c r="G3" s="2">
        <f>F3/$F$13</f>
        <v>1</v>
      </c>
      <c r="H3" s="4">
        <f>SUM(E3:E7)/SUM(C3:C7)</f>
        <v>4.2941176470588234</v>
      </c>
    </row>
    <row r="4" spans="1:10">
      <c r="A4" t="s">
        <v>7</v>
      </c>
      <c r="B4">
        <v>4</v>
      </c>
      <c r="C4">
        <v>5</v>
      </c>
      <c r="D4">
        <v>4</v>
      </c>
      <c r="E4">
        <f t="shared" si="0"/>
        <v>20</v>
      </c>
      <c r="F4" s="4"/>
      <c r="G4" s="2"/>
      <c r="H4" s="4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4"/>
      <c r="G5" s="2"/>
      <c r="H5" s="4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4"/>
      <c r="G6" s="2"/>
      <c r="H6" s="4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4"/>
      <c r="G7" s="2"/>
      <c r="H7" s="4"/>
    </row>
    <row r="13" spans="1:10">
      <c r="F13">
        <f>F3</f>
        <v>73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311C-9452-459C-B6CD-6FDE4FCF4DDE}">
  <dimension ref="A1:J13"/>
  <sheetViews>
    <sheetView workbookViewId="0">
      <selection activeCell="C3" sqref="C3:C8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7</v>
      </c>
      <c r="D3">
        <v>5</v>
      </c>
      <c r="E3">
        <f t="shared" ref="E3:E7" si="0">C3*D3</f>
        <v>35</v>
      </c>
      <c r="F3" s="4">
        <f>SUM(E3:E7)</f>
        <v>73</v>
      </c>
      <c r="G3" s="2">
        <f>F3/$F$13</f>
        <v>1</v>
      </c>
      <c r="H3" s="4">
        <f>SUM(E3:E7)/SUM(C3:C7)</f>
        <v>4.2941176470588234</v>
      </c>
    </row>
    <row r="4" spans="1:10">
      <c r="A4" t="s">
        <v>7</v>
      </c>
      <c r="B4">
        <v>4</v>
      </c>
      <c r="C4">
        <v>8</v>
      </c>
      <c r="D4">
        <v>4</v>
      </c>
      <c r="E4">
        <f t="shared" si="0"/>
        <v>32</v>
      </c>
      <c r="F4" s="4"/>
      <c r="G4" s="2"/>
      <c r="H4" s="4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4"/>
      <c r="G5" s="2"/>
      <c r="H5" s="4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4"/>
      <c r="G6" s="2"/>
      <c r="H6" s="4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4"/>
      <c r="G7" s="2"/>
      <c r="H7" s="4"/>
    </row>
    <row r="13" spans="1:10">
      <c r="F13">
        <f>F3</f>
        <v>73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6842-7C67-44CD-92FA-6490B1F8C543}">
  <dimension ref="A1:J13"/>
  <sheetViews>
    <sheetView workbookViewId="0">
      <selection activeCell="B12" sqref="B12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4</v>
      </c>
      <c r="D3">
        <v>5</v>
      </c>
      <c r="E3">
        <f t="shared" ref="E3:E7" si="0">C3*D3</f>
        <v>20</v>
      </c>
      <c r="F3" s="4">
        <f>SUM(E3:E7)</f>
        <v>61</v>
      </c>
      <c r="G3" s="2">
        <f>F3/$F$13</f>
        <v>1</v>
      </c>
      <c r="H3" s="4">
        <f>SUM(E3:E7)/SUM(C3:C7)</f>
        <v>3.5882352941176472</v>
      </c>
    </row>
    <row r="4" spans="1:10">
      <c r="A4" t="s">
        <v>7</v>
      </c>
      <c r="B4">
        <v>4</v>
      </c>
      <c r="C4">
        <v>4</v>
      </c>
      <c r="D4">
        <v>4</v>
      </c>
      <c r="E4">
        <f t="shared" si="0"/>
        <v>16</v>
      </c>
      <c r="F4" s="4"/>
      <c r="G4" s="2"/>
      <c r="H4" s="4"/>
    </row>
    <row r="5" spans="1:10">
      <c r="A5" t="s">
        <v>8</v>
      </c>
      <c r="B5">
        <v>3</v>
      </c>
      <c r="C5">
        <v>7</v>
      </c>
      <c r="D5">
        <v>3</v>
      </c>
      <c r="E5">
        <f t="shared" si="0"/>
        <v>21</v>
      </c>
      <c r="F5" s="4"/>
      <c r="G5" s="2"/>
      <c r="H5" s="4"/>
    </row>
    <row r="6" spans="1:10">
      <c r="A6" t="s">
        <v>9</v>
      </c>
      <c r="B6">
        <v>2</v>
      </c>
      <c r="C6">
        <v>2</v>
      </c>
      <c r="D6">
        <v>2</v>
      </c>
      <c r="E6">
        <f t="shared" si="0"/>
        <v>4</v>
      </c>
      <c r="F6" s="4"/>
      <c r="G6" s="2"/>
      <c r="H6" s="4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4"/>
      <c r="G7" s="2"/>
      <c r="H7" s="4"/>
    </row>
    <row r="13" spans="1:10">
      <c r="F13">
        <f>F3</f>
        <v>61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2BCC-D1D4-45D3-9CBA-9F5C0C6392A4}">
  <dimension ref="A1:J46"/>
  <sheetViews>
    <sheetView workbookViewId="0">
      <selection activeCell="C20" sqref="C20:C24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16</v>
      </c>
      <c r="B3">
        <v>5</v>
      </c>
      <c r="C3">
        <v>1</v>
      </c>
      <c r="D3">
        <v>5</v>
      </c>
      <c r="E3">
        <f t="shared" ref="E3:E7" si="0">C3*D3</f>
        <v>5</v>
      </c>
      <c r="F3" s="4">
        <f>SUM(E3:E7)</f>
        <v>53</v>
      </c>
      <c r="G3" s="2">
        <f>F3/$F$13</f>
        <v>1</v>
      </c>
      <c r="H3" s="4">
        <f>SUM(E3:E7)/SUM(C3:C7)</f>
        <v>3.1176470588235294</v>
      </c>
    </row>
    <row r="4" spans="1:10">
      <c r="A4" t="s">
        <v>17</v>
      </c>
      <c r="B4">
        <v>4</v>
      </c>
      <c r="C4">
        <v>7</v>
      </c>
      <c r="D4">
        <v>4</v>
      </c>
      <c r="E4">
        <f t="shared" si="0"/>
        <v>28</v>
      </c>
      <c r="F4" s="4"/>
      <c r="G4" s="2"/>
      <c r="H4" s="4"/>
    </row>
    <row r="5" spans="1:10">
      <c r="A5" t="s">
        <v>18</v>
      </c>
      <c r="B5">
        <v>3</v>
      </c>
      <c r="C5">
        <v>3</v>
      </c>
      <c r="D5">
        <v>3</v>
      </c>
      <c r="E5">
        <f t="shared" si="0"/>
        <v>9</v>
      </c>
      <c r="F5" s="4"/>
      <c r="G5" s="2"/>
      <c r="H5" s="4"/>
    </row>
    <row r="6" spans="1:10">
      <c r="A6" t="s">
        <v>19</v>
      </c>
      <c r="B6">
        <v>2</v>
      </c>
      <c r="C6">
        <v>5</v>
      </c>
      <c r="D6">
        <v>2</v>
      </c>
      <c r="E6">
        <f t="shared" si="0"/>
        <v>10</v>
      </c>
      <c r="F6" s="4"/>
      <c r="G6" s="2"/>
      <c r="H6" s="4"/>
    </row>
    <row r="7" spans="1:10">
      <c r="A7" t="s">
        <v>20</v>
      </c>
      <c r="B7">
        <v>1</v>
      </c>
      <c r="C7">
        <v>1</v>
      </c>
      <c r="D7">
        <v>1</v>
      </c>
      <c r="E7">
        <f t="shared" si="0"/>
        <v>1</v>
      </c>
      <c r="F7" s="4"/>
      <c r="G7" s="2"/>
      <c r="H7" s="4"/>
    </row>
    <row r="13" spans="1:10">
      <c r="F13">
        <f>F3</f>
        <v>53</v>
      </c>
      <c r="G13" s="1">
        <f>G3</f>
        <v>1</v>
      </c>
    </row>
    <row r="18" spans="1:10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t="s">
        <v>1</v>
      </c>
      <c r="B19" t="s">
        <v>2</v>
      </c>
      <c r="C19" t="s">
        <v>3</v>
      </c>
      <c r="D19" t="s">
        <v>4</v>
      </c>
      <c r="H19" t="s">
        <v>5</v>
      </c>
    </row>
    <row r="20" spans="1:10">
      <c r="A20" t="s">
        <v>6</v>
      </c>
      <c r="B20">
        <v>5</v>
      </c>
      <c r="C20">
        <v>9</v>
      </c>
      <c r="D20">
        <v>5</v>
      </c>
      <c r="E20">
        <f t="shared" ref="E20:E24" si="1">C20*D20</f>
        <v>45</v>
      </c>
      <c r="F20" s="4">
        <f>SUM(E20:E24)</f>
        <v>75</v>
      </c>
      <c r="G20" s="2">
        <f>F20/$F$30</f>
        <v>1</v>
      </c>
      <c r="H20" s="4">
        <f>SUM(E20:E24)/SUM(C20:C24)</f>
        <v>4.4117647058823533</v>
      </c>
    </row>
    <row r="21" spans="1:10">
      <c r="A21" t="s">
        <v>7</v>
      </c>
      <c r="B21">
        <v>4</v>
      </c>
      <c r="C21">
        <v>6</v>
      </c>
      <c r="D21">
        <v>4</v>
      </c>
      <c r="E21">
        <f t="shared" si="1"/>
        <v>24</v>
      </c>
      <c r="F21" s="4"/>
      <c r="G21" s="2"/>
      <c r="H21" s="4"/>
    </row>
    <row r="22" spans="1:10">
      <c r="A22" t="s">
        <v>8</v>
      </c>
      <c r="B22">
        <v>3</v>
      </c>
      <c r="C22">
        <v>2</v>
      </c>
      <c r="D22">
        <v>3</v>
      </c>
      <c r="E22">
        <f t="shared" si="1"/>
        <v>6</v>
      </c>
      <c r="F22" s="4"/>
      <c r="G22" s="2"/>
      <c r="H22" s="4"/>
    </row>
    <row r="23" spans="1:10">
      <c r="A23" t="s">
        <v>9</v>
      </c>
      <c r="B23">
        <v>2</v>
      </c>
      <c r="C23">
        <v>0</v>
      </c>
      <c r="D23">
        <v>2</v>
      </c>
      <c r="E23">
        <f t="shared" si="1"/>
        <v>0</v>
      </c>
      <c r="F23" s="4"/>
      <c r="G23" s="2"/>
      <c r="H23" s="4"/>
    </row>
    <row r="24" spans="1:10">
      <c r="A24" t="s">
        <v>10</v>
      </c>
      <c r="B24">
        <v>1</v>
      </c>
      <c r="C24">
        <v>0</v>
      </c>
      <c r="D24">
        <v>1</v>
      </c>
      <c r="E24">
        <f t="shared" si="1"/>
        <v>0</v>
      </c>
      <c r="F24" s="4"/>
      <c r="G24" s="2"/>
      <c r="H24" s="4"/>
    </row>
    <row r="30" spans="1:10">
      <c r="F30">
        <f>F20</f>
        <v>75</v>
      </c>
      <c r="G30" s="1">
        <f>G20</f>
        <v>1</v>
      </c>
    </row>
    <row r="34" spans="1:10">
      <c r="A34" s="3" t="s">
        <v>22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t="s">
        <v>1</v>
      </c>
      <c r="B35" t="s">
        <v>2</v>
      </c>
      <c r="C35" t="s">
        <v>3</v>
      </c>
      <c r="D35" t="s">
        <v>4</v>
      </c>
      <c r="H35" t="s">
        <v>5</v>
      </c>
    </row>
    <row r="36" spans="1:10">
      <c r="A36" t="s">
        <v>6</v>
      </c>
      <c r="B36">
        <v>5</v>
      </c>
      <c r="C36">
        <v>7</v>
      </c>
      <c r="D36">
        <v>5</v>
      </c>
      <c r="E36">
        <f t="shared" ref="E36:E40" si="2">C36*D36</f>
        <v>35</v>
      </c>
      <c r="F36" s="4">
        <f>SUM(E36:E40)</f>
        <v>70</v>
      </c>
      <c r="G36" s="2">
        <f>F36/$F$46</f>
        <v>1</v>
      </c>
      <c r="H36" s="4">
        <f>SUM(E36:E40)/SUM(C36:C40)</f>
        <v>4.117647058823529</v>
      </c>
    </row>
    <row r="37" spans="1:10">
      <c r="A37" t="s">
        <v>7</v>
      </c>
      <c r="B37">
        <v>4</v>
      </c>
      <c r="C37">
        <v>5</v>
      </c>
      <c r="D37">
        <v>4</v>
      </c>
      <c r="E37">
        <f t="shared" si="2"/>
        <v>20</v>
      </c>
      <c r="F37" s="4"/>
      <c r="G37" s="2"/>
      <c r="H37" s="4"/>
    </row>
    <row r="38" spans="1:10">
      <c r="A38" t="s">
        <v>8</v>
      </c>
      <c r="B38">
        <v>3</v>
      </c>
      <c r="C38">
        <v>5</v>
      </c>
      <c r="D38">
        <v>3</v>
      </c>
      <c r="E38">
        <f t="shared" si="2"/>
        <v>15</v>
      </c>
      <c r="F38" s="4"/>
      <c r="G38" s="2"/>
      <c r="H38" s="4"/>
    </row>
    <row r="39" spans="1:10">
      <c r="A39" t="s">
        <v>9</v>
      </c>
      <c r="B39">
        <v>2</v>
      </c>
      <c r="C39">
        <v>0</v>
      </c>
      <c r="D39">
        <v>2</v>
      </c>
      <c r="E39">
        <f t="shared" si="2"/>
        <v>0</v>
      </c>
      <c r="F39" s="4"/>
      <c r="G39" s="2"/>
      <c r="H39" s="4"/>
    </row>
    <row r="40" spans="1:10">
      <c r="A40" t="s">
        <v>10</v>
      </c>
      <c r="B40">
        <v>1</v>
      </c>
      <c r="C40">
        <v>0</v>
      </c>
      <c r="D40">
        <v>1</v>
      </c>
      <c r="E40">
        <f t="shared" si="2"/>
        <v>0</v>
      </c>
      <c r="F40" s="4"/>
      <c r="G40" s="2"/>
      <c r="H40" s="4"/>
    </row>
    <row r="46" spans="1:10">
      <c r="F46">
        <f>F36</f>
        <v>70</v>
      </c>
      <c r="G46" s="1">
        <f>G36</f>
        <v>1</v>
      </c>
    </row>
  </sheetData>
  <mergeCells count="9">
    <mergeCell ref="A34:J34"/>
    <mergeCell ref="F36:F40"/>
    <mergeCell ref="H36:H40"/>
    <mergeCell ref="A1:J1"/>
    <mergeCell ref="F3:F7"/>
    <mergeCell ref="H3:H7"/>
    <mergeCell ref="A18:J18"/>
    <mergeCell ref="F20:F24"/>
    <mergeCell ref="H20:H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CAIMAN URQUIJO CAMILO ANDRES</cp:lastModifiedBy>
  <cp:revision/>
  <dcterms:created xsi:type="dcterms:W3CDTF">2025-04-30T00:30:48Z</dcterms:created>
  <dcterms:modified xsi:type="dcterms:W3CDTF">2025-05-12T15:19:22Z</dcterms:modified>
  <cp:category/>
  <cp:contentStatus/>
</cp:coreProperties>
</file>