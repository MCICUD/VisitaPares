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8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9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0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1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milo U\15avo Semestre\Monitorias\Encuesta Factores\"/>
    </mc:Choice>
  </mc:AlternateContent>
  <xr:revisionPtr revIDLastSave="6" documentId="13_ncr:1_{255C2BA5-12F4-4527-BFB6-130C4AAF08D5}" xr6:coauthVersionLast="47" xr6:coauthVersionMax="47" xr10:uidLastSave="{DFCF409F-4272-46DE-8DE8-CB8E0475B5F3}"/>
  <bookViews>
    <workbookView xWindow="-120" yWindow="-120" windowWidth="20730" windowHeight="11160" firstSheet="21" xr2:uid="{00000000-000D-0000-FFFF-FFFF00000000}"/>
  </bookViews>
  <sheets>
    <sheet name="FACTOR2-P" sheetId="1" r:id="rId1"/>
    <sheet name="FACTOR2-I" sheetId="2" r:id="rId2"/>
    <sheet name="FACTOR3-P" sheetId="3" r:id="rId3"/>
    <sheet name="FACTOR3-I" sheetId="4" r:id="rId4"/>
    <sheet name="FACTOR5-P" sheetId="5" r:id="rId5"/>
    <sheet name="FACTOR5-I" sheetId="6" r:id="rId6"/>
    <sheet name="FACTOR6-P" sheetId="7" r:id="rId7"/>
    <sheet name="FACTOR6-I" sheetId="8" r:id="rId8"/>
    <sheet name="FACTOR7-P " sheetId="9" r:id="rId9"/>
    <sheet name="FACTOR7-I" sheetId="10" r:id="rId10"/>
    <sheet name="FACTOR8-P" sheetId="11" r:id="rId11"/>
    <sheet name="FACTOR8-I" sheetId="12" r:id="rId12"/>
    <sheet name="FACTOR9-P" sheetId="13" r:id="rId13"/>
    <sheet name="FACTOR9-I" sheetId="14" r:id="rId14"/>
    <sheet name="FACTOR10-P" sheetId="15" r:id="rId15"/>
    <sheet name="FACTOR10-I" sheetId="16" r:id="rId16"/>
    <sheet name="FACTOR11-P" sheetId="17" r:id="rId17"/>
    <sheet name="FACTOR11-I" sheetId="18" r:id="rId18"/>
    <sheet name="FACTOR12-P" sheetId="19" r:id="rId19"/>
    <sheet name="FACTOR12-I" sheetId="20" r:id="rId20"/>
    <sheet name="Graficos-P" sheetId="21" r:id="rId21"/>
    <sheet name="Graficos-I" sheetId="22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22" l="1"/>
  <c r="A41" i="22"/>
  <c r="A40" i="22"/>
  <c r="A39" i="22"/>
  <c r="A36" i="22"/>
  <c r="A35" i="22"/>
  <c r="A32" i="22"/>
  <c r="A28" i="22"/>
  <c r="A24" i="22"/>
  <c r="A21" i="22"/>
  <c r="A17" i="22"/>
  <c r="A16" i="22"/>
  <c r="A15" i="22"/>
  <c r="A14" i="22"/>
  <c r="A10" i="22"/>
  <c r="A9" i="22"/>
  <c r="A5" i="22"/>
  <c r="A4" i="22"/>
  <c r="A3" i="22"/>
  <c r="A44" i="21"/>
  <c r="A41" i="21"/>
  <c r="A40" i="21"/>
  <c r="A39" i="21"/>
  <c r="A36" i="21"/>
  <c r="A35" i="21"/>
  <c r="A32" i="21"/>
  <c r="A28" i="21"/>
  <c r="A24" i="21"/>
  <c r="A21" i="21"/>
  <c r="A17" i="21"/>
  <c r="A16" i="21"/>
  <c r="A15" i="21"/>
  <c r="A14" i="21"/>
  <c r="A10" i="21"/>
  <c r="A9" i="21"/>
  <c r="A5" i="21"/>
  <c r="A4" i="21"/>
  <c r="A3" i="21"/>
  <c r="E7" i="20"/>
  <c r="E6" i="20"/>
  <c r="E5" i="20"/>
  <c r="E4" i="20"/>
  <c r="E3" i="20"/>
  <c r="F3" i="20" s="1"/>
  <c r="F9" i="20" s="1"/>
  <c r="E7" i="19"/>
  <c r="E6" i="19"/>
  <c r="E5" i="19"/>
  <c r="E4" i="19"/>
  <c r="E3" i="19"/>
  <c r="E23" i="18"/>
  <c r="E22" i="18"/>
  <c r="E21" i="18"/>
  <c r="E20" i="18"/>
  <c r="E19" i="18"/>
  <c r="H19" i="18" s="1"/>
  <c r="E15" i="18"/>
  <c r="E14" i="18"/>
  <c r="E13" i="18"/>
  <c r="E12" i="18"/>
  <c r="E11" i="18"/>
  <c r="E7" i="18"/>
  <c r="E6" i="18"/>
  <c r="E5" i="18"/>
  <c r="E4" i="18"/>
  <c r="E3" i="18"/>
  <c r="E23" i="17"/>
  <c r="E22" i="17"/>
  <c r="E21" i="17"/>
  <c r="E20" i="17"/>
  <c r="E19" i="17"/>
  <c r="E15" i="17"/>
  <c r="E14" i="17"/>
  <c r="E13" i="17"/>
  <c r="E12" i="17"/>
  <c r="E11" i="17"/>
  <c r="E7" i="17"/>
  <c r="E6" i="17"/>
  <c r="E5" i="17"/>
  <c r="E4" i="17"/>
  <c r="E3" i="17"/>
  <c r="E15" i="16"/>
  <c r="E14" i="16"/>
  <c r="E13" i="16"/>
  <c r="E12" i="16"/>
  <c r="E11" i="16"/>
  <c r="E7" i="16"/>
  <c r="E6" i="16"/>
  <c r="E5" i="16"/>
  <c r="E4" i="16"/>
  <c r="E3" i="16"/>
  <c r="E15" i="15"/>
  <c r="E14" i="15"/>
  <c r="E13" i="15"/>
  <c r="E12" i="15"/>
  <c r="E11" i="15"/>
  <c r="E7" i="15"/>
  <c r="E6" i="15"/>
  <c r="E5" i="15"/>
  <c r="E4" i="15"/>
  <c r="E3" i="15"/>
  <c r="E7" i="14"/>
  <c r="E6" i="14"/>
  <c r="E5" i="14"/>
  <c r="E4" i="14"/>
  <c r="E3" i="14"/>
  <c r="E7" i="13"/>
  <c r="E6" i="13"/>
  <c r="E5" i="13"/>
  <c r="E4" i="13"/>
  <c r="E3" i="13"/>
  <c r="E7" i="12"/>
  <c r="E6" i="12"/>
  <c r="E5" i="12"/>
  <c r="E4" i="12"/>
  <c r="E3" i="12"/>
  <c r="E7" i="11"/>
  <c r="E6" i="11"/>
  <c r="E5" i="11"/>
  <c r="E4" i="11"/>
  <c r="E3" i="11"/>
  <c r="E7" i="10"/>
  <c r="E6" i="10"/>
  <c r="E5" i="10"/>
  <c r="E4" i="10"/>
  <c r="E3" i="10"/>
  <c r="H3" i="10" s="1"/>
  <c r="E7" i="9"/>
  <c r="E6" i="9"/>
  <c r="E5" i="9"/>
  <c r="E4" i="9"/>
  <c r="E3" i="9"/>
  <c r="E7" i="8"/>
  <c r="E6" i="8"/>
  <c r="E5" i="8"/>
  <c r="E4" i="8"/>
  <c r="E3" i="8"/>
  <c r="E7" i="7"/>
  <c r="E6" i="7"/>
  <c r="E5" i="7"/>
  <c r="E4" i="7"/>
  <c r="E3" i="7"/>
  <c r="E39" i="6"/>
  <c r="E38" i="6"/>
  <c r="E37" i="6"/>
  <c r="E36" i="6"/>
  <c r="E35" i="6"/>
  <c r="E31" i="6"/>
  <c r="E30" i="6"/>
  <c r="E29" i="6"/>
  <c r="E28" i="6"/>
  <c r="E27" i="6"/>
  <c r="E23" i="6"/>
  <c r="E22" i="6"/>
  <c r="E21" i="6"/>
  <c r="E20" i="6"/>
  <c r="E19" i="6"/>
  <c r="E15" i="6"/>
  <c r="E14" i="6"/>
  <c r="E13" i="6"/>
  <c r="E12" i="6"/>
  <c r="E11" i="6"/>
  <c r="F11" i="6" s="1"/>
  <c r="E7" i="6"/>
  <c r="E6" i="6"/>
  <c r="E5" i="6"/>
  <c r="E4" i="6"/>
  <c r="E3" i="6"/>
  <c r="E39" i="5"/>
  <c r="E38" i="5"/>
  <c r="E37" i="5"/>
  <c r="E36" i="5"/>
  <c r="E35" i="5"/>
  <c r="E31" i="5"/>
  <c r="E30" i="5"/>
  <c r="E29" i="5"/>
  <c r="E28" i="5"/>
  <c r="E27" i="5"/>
  <c r="E23" i="5"/>
  <c r="E22" i="5"/>
  <c r="E21" i="5"/>
  <c r="E20" i="5"/>
  <c r="E19" i="5"/>
  <c r="H19" i="5" s="1"/>
  <c r="E15" i="5"/>
  <c r="E14" i="5"/>
  <c r="E13" i="5"/>
  <c r="E12" i="5"/>
  <c r="E11" i="5"/>
  <c r="E7" i="5"/>
  <c r="E6" i="5"/>
  <c r="E5" i="5"/>
  <c r="E4" i="5"/>
  <c r="E3" i="5"/>
  <c r="E15" i="4"/>
  <c r="E14" i="4"/>
  <c r="E13" i="4"/>
  <c r="E12" i="4"/>
  <c r="E11" i="4"/>
  <c r="E7" i="4"/>
  <c r="E6" i="4"/>
  <c r="E5" i="4"/>
  <c r="E4" i="4"/>
  <c r="E3" i="4"/>
  <c r="E15" i="3"/>
  <c r="E14" i="3"/>
  <c r="E13" i="3"/>
  <c r="E12" i="3"/>
  <c r="E11" i="3"/>
  <c r="H11" i="3" s="1"/>
  <c r="E7" i="3"/>
  <c r="E6" i="3"/>
  <c r="E5" i="3"/>
  <c r="E4" i="3"/>
  <c r="E3" i="3"/>
  <c r="E23" i="2"/>
  <c r="E22" i="2"/>
  <c r="E21" i="2"/>
  <c r="E20" i="2"/>
  <c r="E19" i="2"/>
  <c r="E15" i="2"/>
  <c r="E14" i="2"/>
  <c r="E13" i="2"/>
  <c r="E12" i="2"/>
  <c r="E11" i="2"/>
  <c r="E7" i="2"/>
  <c r="E6" i="2"/>
  <c r="E5" i="2"/>
  <c r="E4" i="2"/>
  <c r="E3" i="2"/>
  <c r="F3" i="2" s="1"/>
  <c r="E3" i="1"/>
  <c r="E4" i="1"/>
  <c r="E5" i="1"/>
  <c r="E6" i="1"/>
  <c r="E7" i="1"/>
  <c r="E11" i="1"/>
  <c r="E12" i="1"/>
  <c r="E13" i="1"/>
  <c r="E14" i="1"/>
  <c r="E15" i="1"/>
  <c r="E23" i="1"/>
  <c r="E22" i="1"/>
  <c r="E21" i="1"/>
  <c r="E20" i="1"/>
  <c r="E19" i="1"/>
  <c r="H19" i="1" s="1"/>
  <c r="H11" i="1" l="1"/>
  <c r="H3" i="1"/>
  <c r="H25" i="1" s="1"/>
  <c r="H11" i="6"/>
  <c r="H3" i="20"/>
  <c r="G3" i="20"/>
  <c r="H3" i="19"/>
  <c r="F3" i="19"/>
  <c r="H11" i="18"/>
  <c r="H3" i="18"/>
  <c r="F3" i="18"/>
  <c r="F11" i="18"/>
  <c r="F19" i="18"/>
  <c r="H19" i="17"/>
  <c r="H3" i="17"/>
  <c r="F11" i="17"/>
  <c r="H11" i="17"/>
  <c r="F3" i="17"/>
  <c r="F19" i="17"/>
  <c r="F11" i="16"/>
  <c r="H11" i="16"/>
  <c r="H3" i="16"/>
  <c r="F3" i="16"/>
  <c r="H11" i="15"/>
  <c r="F11" i="15"/>
  <c r="H3" i="15"/>
  <c r="F3" i="15"/>
  <c r="H3" i="13"/>
  <c r="H3" i="14"/>
  <c r="F3" i="14"/>
  <c r="F9" i="14" s="1"/>
  <c r="F3" i="13"/>
  <c r="F9" i="13" s="1"/>
  <c r="H3" i="12"/>
  <c r="F3" i="12"/>
  <c r="H3" i="11"/>
  <c r="F3" i="11"/>
  <c r="F3" i="10"/>
  <c r="F9" i="10" s="1"/>
  <c r="G3" i="10"/>
  <c r="H3" i="9"/>
  <c r="F3" i="9"/>
  <c r="F9" i="9" s="1"/>
  <c r="H3" i="8"/>
  <c r="F3" i="8"/>
  <c r="F9" i="8" s="1"/>
  <c r="H3" i="7"/>
  <c r="F3" i="7"/>
  <c r="F35" i="6"/>
  <c r="H35" i="6"/>
  <c r="F27" i="6"/>
  <c r="H27" i="6"/>
  <c r="F19" i="6"/>
  <c r="H19" i="6"/>
  <c r="H3" i="6"/>
  <c r="F3" i="6"/>
  <c r="H27" i="5"/>
  <c r="H35" i="5"/>
  <c r="F11" i="5"/>
  <c r="F3" i="5"/>
  <c r="F35" i="5"/>
  <c r="F27" i="5"/>
  <c r="F19" i="5"/>
  <c r="H3" i="5"/>
  <c r="H41" i="5" s="1"/>
  <c r="H11" i="5"/>
  <c r="F11" i="4"/>
  <c r="H11" i="4"/>
  <c r="F3" i="4"/>
  <c r="H3" i="4"/>
  <c r="F11" i="3"/>
  <c r="H3" i="3"/>
  <c r="F3" i="3"/>
  <c r="H19" i="2"/>
  <c r="H11" i="2"/>
  <c r="F11" i="2"/>
  <c r="H3" i="2"/>
  <c r="F19" i="2"/>
  <c r="F3" i="1"/>
  <c r="F19" i="1"/>
  <c r="F11" i="1"/>
  <c r="I25" i="3" l="1"/>
  <c r="H25" i="3"/>
  <c r="F25" i="4"/>
  <c r="G11" i="4" s="1"/>
  <c r="B10" i="22" s="1"/>
  <c r="H25" i="17"/>
  <c r="F9" i="19"/>
  <c r="G3" i="19" s="1"/>
  <c r="H25" i="18"/>
  <c r="I25" i="18"/>
  <c r="F25" i="18"/>
  <c r="G19" i="18" s="1"/>
  <c r="B41" i="22" s="1"/>
  <c r="F25" i="17"/>
  <c r="G3" i="17" s="1"/>
  <c r="B39" i="21" s="1"/>
  <c r="I25" i="17"/>
  <c r="F25" i="16"/>
  <c r="G11" i="16" s="1"/>
  <c r="B36" i="22" s="1"/>
  <c r="I25" i="16"/>
  <c r="H25" i="16"/>
  <c r="H25" i="15"/>
  <c r="F25" i="15"/>
  <c r="G11" i="15" s="1"/>
  <c r="B36" i="21" s="1"/>
  <c r="I25" i="15"/>
  <c r="G3" i="14"/>
  <c r="G3" i="13"/>
  <c r="F9" i="12"/>
  <c r="G3" i="12" s="1"/>
  <c r="F9" i="11"/>
  <c r="G3" i="11" s="1"/>
  <c r="G3" i="9"/>
  <c r="G3" i="8"/>
  <c r="F9" i="7"/>
  <c r="G3" i="7" s="1"/>
  <c r="F41" i="6"/>
  <c r="G11" i="6" s="1"/>
  <c r="H41" i="6"/>
  <c r="F41" i="5"/>
  <c r="G3" i="5" s="1"/>
  <c r="B14" i="21" s="1"/>
  <c r="H25" i="4"/>
  <c r="G3" i="4"/>
  <c r="F25" i="3"/>
  <c r="H25" i="2"/>
  <c r="F25" i="2"/>
  <c r="G3" i="2" s="1"/>
  <c r="B3" i="22" s="1"/>
  <c r="F25" i="1"/>
  <c r="G3" i="1" s="1"/>
  <c r="B3" i="21" s="1"/>
  <c r="G25" i="4" l="1"/>
  <c r="B9" i="22"/>
  <c r="B21" i="22"/>
  <c r="B21" i="21"/>
  <c r="B24" i="22"/>
  <c r="B24" i="21"/>
  <c r="B32" i="22"/>
  <c r="B28" i="22"/>
  <c r="B32" i="21"/>
  <c r="B28" i="21"/>
  <c r="B44" i="22"/>
  <c r="B44" i="21"/>
  <c r="G3" i="18"/>
  <c r="B39" i="22" s="1"/>
  <c r="G11" i="18"/>
  <c r="B40" i="22" s="1"/>
  <c r="G11" i="17"/>
  <c r="B40" i="21" s="1"/>
  <c r="G19" i="17"/>
  <c r="B41" i="21" s="1"/>
  <c r="G3" i="16"/>
  <c r="G3" i="15"/>
  <c r="G3" i="6"/>
  <c r="B14" i="22" s="1"/>
  <c r="G19" i="6"/>
  <c r="B15" i="22" s="1"/>
  <c r="G27" i="6"/>
  <c r="B16" i="22" s="1"/>
  <c r="G35" i="6"/>
  <c r="B17" i="22" s="1"/>
  <c r="G11" i="5"/>
  <c r="G19" i="5"/>
  <c r="B15" i="21" s="1"/>
  <c r="G27" i="5"/>
  <c r="B16" i="21" s="1"/>
  <c r="G35" i="5"/>
  <c r="B17" i="21" s="1"/>
  <c r="G11" i="3"/>
  <c r="B10" i="21" s="1"/>
  <c r="G3" i="3"/>
  <c r="B9" i="21" s="1"/>
  <c r="G11" i="2"/>
  <c r="B4" i="22" s="1"/>
  <c r="G19" i="2"/>
  <c r="B5" i="22" s="1"/>
  <c r="G19" i="1"/>
  <c r="B5" i="21" s="1"/>
  <c r="G11" i="1"/>
  <c r="G25" i="1" l="1"/>
  <c r="B4" i="21"/>
  <c r="G25" i="15"/>
  <c r="B35" i="21"/>
  <c r="G25" i="16"/>
  <c r="B35" i="22"/>
  <c r="G25" i="18"/>
  <c r="G25" i="17"/>
  <c r="G41" i="6"/>
  <c r="G41" i="5"/>
  <c r="G25" i="3"/>
  <c r="G25" i="2"/>
</calcChain>
</file>

<file path=xl/sharedStrings.xml><?xml version="1.0" encoding="utf-8"?>
<sst xmlns="http://schemas.openxmlformats.org/spreadsheetml/2006/main" count="480" uniqueCount="41">
  <si>
    <t>Considero que mi participación en actividades de investigación, desarrollo tecnológico, creación artística, culturales, deportivas y de extensión ha contribuido a mi desarrollo integral como persona</t>
  </si>
  <si>
    <t>Opción</t>
  </si>
  <si>
    <t xml:space="preserve">Valor del factor </t>
  </si>
  <si>
    <t>Recuento</t>
  </si>
  <si>
    <t>Puntuación</t>
  </si>
  <si>
    <t>Tendencia</t>
  </si>
  <si>
    <t>Totalmente de acuerdo</t>
  </si>
  <si>
    <t>De acuerdo</t>
  </si>
  <si>
    <t>Ni en acuerdo ni en desacuerdo</t>
  </si>
  <si>
    <t>En desacuerdo</t>
  </si>
  <si>
    <t>Totalmente en desacuerdo</t>
  </si>
  <si>
    <t>Considero que el reglamento estudiantil y las políticas académicas del programa son pertinentes y están actualizadas.</t>
  </si>
  <si>
    <t>Considero que los criterios para la concesión de estímulos académicos y apoyos socioeconómicos, son claros y justos.</t>
  </si>
  <si>
    <t>Considero que el material académico producido por los docentes es pertinente y adecuado con las necesidades y objetivos de la Maestría en Ciencias de la Información y las Comunicaciones.</t>
  </si>
  <si>
    <t>Considero que los criterios y mecanismos utilizados para la evaluación de los profesores son transparentes, accesibles y eficaces</t>
  </si>
  <si>
    <t>Considero que las estrategias de flexibilidad curricular me han permitido personalizar mi formación de acuerdo con mis objetivos profesionales y académicos.</t>
  </si>
  <si>
    <t>¿Cómo valorarías la efectividad de los énfasis en "Teleinformática" “Ingeniería de Software”, “Geomática” y "Inteligencia Artificial" en la formación integral de los estudiantes?</t>
  </si>
  <si>
    <t>Considero que las estrategias pedagógicas y escenarios de práctica utilizadas en la Maestría en Ciencias de la Información y las Comunicaciones son coherentes y efectivas para facilitar los resultados</t>
  </si>
  <si>
    <t>Considero que los sistemas de evaluación de los resultados de aprendizaje permiten una realimentación efectiva que contribuye a la mejora continua de la formación en los estudiantes.</t>
  </si>
  <si>
    <t>Considero que el proceso de evaluación y autorregulación de la Maestría en Ciencias de la Información y las Comunicaciones tiene en cuenta de manera efectiva las necesidades y expectativas de los estudiantes</t>
  </si>
  <si>
    <t>Considero que las intervenciones y el apoyo proporcionados para alertarme de forma temprana, han sido útiles para mejorar mi rendimiento académico y facilitar mi progreso hacia la graduación.</t>
  </si>
  <si>
    <t>Considero que la interacción con homólogos nacionales e internacionales ha mejorado mis competencias académicas y científicas, así como las oportunidades de desarrollo profesional.</t>
  </si>
  <si>
    <t>Considero que la Maestría en Ciencias de la Información y las Comunicaciones me proporciona una formación adecuada para la investigación, fomentando el desarrollo de un pensamiento crítico, creativo e innovador</t>
  </si>
  <si>
    <t>Considero que las políticas, programas y servicios de bienestar implementados en Maestría en Ciencias de la Información y las Comunicaciones son coherentes con las condiciones y necesidades específica</t>
  </si>
  <si>
    <t>Considero que los espacios, recurso, herramientas y equipos de apoyo ofrecidos son pertinentes y se ajustan adecuadamente a mis necesidades formativas en los diferentes contextos que requiero.</t>
  </si>
  <si>
    <t>Considero que el material bibliográfico y de información disponible en la Maestría en Ciencias de la Información y las Comunicaciones es pertinente y adecuado para apoyar el desarrollo de las distinta</t>
  </si>
  <si>
    <t>Considero que el representante estudiantil en los diferentes escenarios institucionales ha sido valorada y ha influido en las decisiones orientadas al mejoramiento de la Maestría en Ciencias de la Información</t>
  </si>
  <si>
    <t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t>
  </si>
  <si>
    <t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t>
  </si>
  <si>
    <t>Considero que los recursos informáticos disponibles, corresponden  adecuadamente con las 
necesidades tecnológicas de la Maestria de ciencias de la información y las comunicaciones y de sus miembros (profesores y 
estudiantes)</t>
  </si>
  <si>
    <t>FACTOR 2</t>
  </si>
  <si>
    <t>PONDERACIÓN</t>
  </si>
  <si>
    <t>FACTOR 3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</si>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</sst>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2- Característica 3. Participación en actividades de formación integral</a:t>
            </a:r>
          </a:p>
        </c:rich>
      </c:tx>
      <c:layout>
        <c:manualLayout>
          <c:xMode val="edge"/>
          <c:yMode val="edge"/>
          <c:x val="0.19194444444444442"/>
          <c:y val="7.2916666666666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91-4655-BA2D-4FA15A67DE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91-4655-BA2D-4FA15A67DE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91-4655-BA2D-4FA15A67DE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'FACTOR2-P'!$A$3:$A$5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'FACTOR2-P'!$C$3:$C$5</c:f>
              <c:numCache>
                <c:formatCode>General</c:formatCode>
                <c:ptCount val="3"/>
                <c:pt idx="0">
                  <c:v>12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3-40A1-9147-645358D37B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2 - Característica 6. Reglamento estudiantil y política académica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04-4D7C-892E-852E2016B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04-4D7C-892E-852E2016BF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04-4D7C-892E-852E2016BF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31-4D5C-906E-31E0EC8837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231-4D5C-906E-31E0EC883740}"/>
              </c:ext>
            </c:extLst>
          </c:dPt>
          <c:dLbls>
            <c:dLbl>
              <c:idx val="3"/>
              <c:layout>
                <c:manualLayout>
                  <c:x val="5.4669072615922909E-2"/>
                  <c:y val="0.130888743073782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31-4D5C-906E-31E0EC883740}"/>
                </c:ext>
              </c:extLst>
            </c:dLbl>
            <c:dLbl>
              <c:idx val="4"/>
              <c:layout>
                <c:manualLayout>
                  <c:x val="-1.9170822397200402E-2"/>
                  <c:y val="7.710885097696117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31-4D5C-906E-31E0EC8837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'FACTOR2-P'!$A$11:$A$15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'FACTOR2-P'!$C$11:$C$15</c:f>
              <c:numCache>
                <c:formatCode>General</c:formatCode>
                <c:ptCount val="5"/>
                <c:pt idx="0">
                  <c:v>5</c:v>
                </c:pt>
                <c:pt idx="1">
                  <c:v>16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1-4D5C-906E-31E0EC8837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2 - Característica 7 . Estímulos y apoyos para estudiantes</a:t>
            </a:r>
          </a:p>
        </c:rich>
      </c:tx>
      <c:layout>
        <c:manualLayout>
          <c:xMode val="edge"/>
          <c:yMode val="edge"/>
          <c:x val="0.135687445319335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7-4191-8FEB-09A2A087FA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BC-424F-9E62-D1D1DD143F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BC-424F-9E62-D1D1DD143F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BC-424F-9E62-D1D1DD143F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BC-424F-9E62-D1D1DD143F48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37-4191-8FEB-09A2A087FA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'FACTOR2-P'!$A$19:$A$23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'FACTOR2-P'!$C$19:$C$23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7-4191-8FEB-09A2A087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mi participación en actividades de investigación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DF-473A-BA90-8CE52B33FB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18-42E5-8EEB-1AD4A4B8E3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18-42E5-8EEB-1AD4A4B8E3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18-42E5-8EEB-1AD4A4B8E3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18-42E5-8EEB-1AD4A4B8E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'FACTOR2-I'!$C$3:$C$7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F-473A-BA90-8CE52B33FB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reglamento estudiantil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3C-4720-8143-6A0A966AA8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2-4D6B-B509-6D77638F89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22-4D6B-B509-6D77638F89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B22-4D6B-B509-6D77638F89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03C-4720-8143-6A0A966AA8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'FACTOR2-I'!$A$11:$A$15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'FACTOR2-I'!$C$11:$C$15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C-4720-8143-6A0A966AA8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criterios para la concesión de estímulos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D0-4F3D-BB80-1A159FA497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D0-4F3D-BB80-1A159FA497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D0-4F3D-BB80-1A159FA497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8-4CE4-9404-771551611D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8-4CE4-9404-771551611D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'FACTOR2-I'!$A$19:$A$23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'FACTOR2-I'!$C$19:$C$23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0-4F3D-BB80-1A159FA49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material académico producido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4D8-436F-8DDE-C427483041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84-41B5-B868-90B59E3F73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84-41B5-B868-90B59E3F73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84-41B5-B868-90B59E3F73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84-41B5-B868-90B59E3F73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'FACTOR3-P'!$A$3:$A$7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'FACTOR3-P'!$C$3:$C$7</c:f>
              <c:numCache>
                <c:formatCode>General</c:formatCode>
                <c:ptCount val="5"/>
                <c:pt idx="0">
                  <c:v>9</c:v>
                </c:pt>
                <c:pt idx="1">
                  <c:v>16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8-436F-8DDE-C4274830412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criterios y mecanismos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14-44E7-98D6-D44B38AF41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14-44E7-98D6-D44B38AF41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14-44E7-98D6-D44B38AF41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14-44E7-98D6-D44B38AF41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14-44E7-98D6-D44B38AF41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'FACTOR3-P'!$A$11:$A$15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'FACTOR3-P'!$C$11:$C$15</c:f>
              <c:numCache>
                <c:formatCode>General</c:formatCode>
                <c:ptCount val="5"/>
                <c:pt idx="0">
                  <c:v>11</c:v>
                </c:pt>
                <c:pt idx="1">
                  <c:v>14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A-4DB9-BBF0-9F80841E02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material académico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D4-42CE-9939-E0C18EAD02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D4-42CE-9939-E0C18EAD02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B6-428A-94E9-E147542457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CD4-42CE-9939-E0C18EAD02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B6-428A-94E9-E147542457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'FACTOR3-I'!$A$3:$A$7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'FACTOR3-I'!$C$3:$C$7</c:f>
              <c:numCache>
                <c:formatCode>General</c:formatCode>
                <c:ptCount val="5"/>
                <c:pt idx="0">
                  <c:v>5</c:v>
                </c:pt>
                <c:pt idx="1">
                  <c:v>15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4-42CE-9939-E0C18EAD02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de flexibilidad curricular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A9-4CED-873E-F9BDA90A0F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A9-4CED-873E-F9BDA90A0F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A9-4CED-873E-F9BDA90A0F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A9-4CED-873E-F9BDA90A0F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A9-4CED-873E-F9BDA90A0F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'FACTOR5-P'!$C$3:$C$7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12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E-4089-A405-DD189C984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pedagógicas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8-41DF-A7BB-28CBA114E8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8-41DF-A7BB-28CBA114E8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8-41DF-A7BB-28CBA114E8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08-41DF-A7BB-28CBA114E8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08-41DF-A7BB-28CBA114E8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'FACTOR5-P'!$C$19:$C$23</c:f>
              <c:numCache>
                <c:formatCode>General</c:formatCode>
                <c:ptCount val="5"/>
                <c:pt idx="0">
                  <c:v>5</c:v>
                </c:pt>
                <c:pt idx="1">
                  <c:v>17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1-42C4-8024-21B85525BA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proceso de evaluación y autorregulación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7E-4DEB-B957-6F21666481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7E-4DEB-B957-6F21666481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7E-4DEB-B957-6F21666481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7E-4DEB-B957-6F21666481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7E-4DEB-B957-6F21666481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'FACTOR5-P'!$A$35:$A$39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'FACTOR5-P'!$B$35:$B$39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3-4C48-A094-4234D508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de flexibilidad curricular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F8-4BB2-8E19-C61D0B28B4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F8-4BB2-8E19-C61D0B28B4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F8-4BB2-8E19-C61D0B28B4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F8-4BB2-8E19-C61D0B28B4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F8-4BB2-8E19-C61D0B28B4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'FACTOR5-I'!$C$3:$C$7</c:f>
              <c:numCache>
                <c:formatCode>General</c:formatCode>
                <c:ptCount val="5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4-4940-991D-D050C12E24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estrategias pedagógicas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F-4DB1-826F-918322E19A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DF-4DB1-826F-918322E19A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DF-4DB1-826F-918322E19A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DF-4DB1-826F-918322E19A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0DF-4DB1-826F-918322E19A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'FACTOR5-I'!$C$19:$C$23</c:f>
              <c:numCache>
                <c:formatCode>General</c:formatCode>
                <c:ptCount val="5"/>
                <c:pt idx="0">
                  <c:v>3</c:v>
                </c:pt>
                <c:pt idx="1">
                  <c:v>16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E-4AAB-A806-AA02E48F8C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proceso de evaluación y autorregulación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A-407D-AB0A-E4D3CDC5E1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A-407D-AB0A-E4D3CDC5E1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2A-407D-AB0A-E4D3CDC5E1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2A-407D-AB0A-E4D3CDC5E1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2A-407D-AB0A-E4D3CDC5E1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'FACTOR5-I'!$A$35:$A$39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'FACTOR5-I'!$C$35:$C$39</c:f>
              <c:numCache>
                <c:formatCode>General</c:formatCode>
                <c:ptCount val="5"/>
                <c:pt idx="0">
                  <c:v>2</c:v>
                </c:pt>
                <c:pt idx="1">
                  <c:v>14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C-497A-8B5B-D2AFDD4C26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B9-4506-BCA2-78A9016A5A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B9-4506-BCA2-78A9016A5A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B9-4506-BCA2-78A9016A5A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B9-4506-BCA2-78A9016A5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BB9-4506-BCA2-78A9016A5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'FACTOR6-P'!$A$3:$A$7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'FACTOR6-P'!$C$3:$C$7</c:f>
              <c:numCache>
                <c:formatCode>General</c:formatCode>
                <c:ptCount val="5"/>
                <c:pt idx="0">
                  <c:v>6</c:v>
                </c:pt>
                <c:pt idx="1">
                  <c:v>16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E-4A08-8513-6541E05065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intervenciones y el apoyo proporcionados para alertarme de forma temprana</a:t>
            </a:r>
          </a:p>
        </c:rich>
      </c:tx>
      <c:layout>
        <c:manualLayout>
          <c:xMode val="edge"/>
          <c:yMode val="edge"/>
          <c:x val="0.1520345581802274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55-46BC-87D7-CBD68AEF2C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55-46BC-87D7-CBD68AEF2C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55-46BC-87D7-CBD68AEF2C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855-46BC-87D7-CBD68AEF2C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855-46BC-87D7-CBD68AEF2C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'FACTOR6-I'!$A$3:$A$7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'FACTOR6-I'!$C$3:$C$7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E-4481-8707-3A55C444A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 interacción con homólogos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5F-4C62-B30F-BA32D43962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5F-4C62-B30F-BA32D43962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5F-4C62-B30F-BA32D43962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5F-4C62-B30F-BA32D43962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5F-4C62-B30F-BA32D43962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'FACTOR7-P 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'FACTOR7-P '!$C$3:$C$7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0-424D-AE10-C22EA75083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4-4C0A-B54D-062F613287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4-4C0A-B54D-062F613287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4-4C0A-B54D-062F613287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D4-4C0A-B54D-062F613287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D4-4C0A-B54D-062F613287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'FACTOR7-I'!$C$3:$C$7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4-4AE8-B8CB-D9BA758DAB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formación adecuada para la investigación, fomentando el desarrollo de un pensamiento crítico, creativo e innovador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1C-48A3-8D23-52CB20A9CB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1C-48A3-8D23-52CB20A9CB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1C-48A3-8D23-52CB20A9CB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1C-48A3-8D23-52CB20A9CB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1C-48A3-8D23-52CB20A9CB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'FACTOR8-P'!$A$3:$A$7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'FACTOR8-P'!$C$3:$C$7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F-40A9-88D7-309099AFF2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formación adecuada para la investigación, fomentando el desarrollo de un pensamiento crítico, creativo e innovador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CB-4C46-BE26-C58830E08A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DB-47EB-B7F8-07680BB25C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CB-4C46-BE26-C58830E08A1D}"/>
              </c:ext>
            </c:extLst>
          </c:dPt>
          <c:dLbls>
            <c:dLbl>
              <c:idx val="1"/>
              <c:layout>
                <c:manualLayout>
                  <c:x val="8.4256561679790024E-2"/>
                  <c:y val="-9.647127442403033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DB-47EB-B7F8-07680BB25C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'FACTOR8-I'!$A$3:$A$5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'FACTOR8-I'!$C$3:$C$5</c:f>
              <c:numCache>
                <c:formatCode>General</c:formatCode>
                <c:ptCount val="3"/>
                <c:pt idx="0">
                  <c:v>7</c:v>
                </c:pt>
                <c:pt idx="1">
                  <c:v>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B-47EB-B7F8-07680BB25C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políticas, programas y servicios de bienestar implementados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CF-417A-BD89-A4F7759540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F-417A-BD89-A4F7759540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CF-417A-BD89-A4F7759540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CF-417A-BD89-A4F7759540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F-417A-BD89-A4F775954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'FACTOR9-P'!$A$3:$A$7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'FACTOR9-P'!$C$3:$C$7</c:f>
              <c:numCache>
                <c:formatCode>General</c:formatCode>
                <c:ptCount val="5"/>
                <c:pt idx="0">
                  <c:v>4</c:v>
                </c:pt>
                <c:pt idx="1">
                  <c:v>14</c:v>
                </c:pt>
                <c:pt idx="2">
                  <c:v>8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0-4AEC-8097-3162BF7F9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las políticas, programas y servicios de bienestar implementados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F4-41CC-99C1-2FF7AF13B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F4-41CC-99C1-2FF7AF13B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F4-41CC-99C1-2FF7AF13B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F4-41CC-99C1-2FF7AF13B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F4-41CC-99C1-2FF7AF13B8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'FACTOR9-I'!$A$3:$A$7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'FACTOR9-I'!$C$3:$C$7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B-47E6-ABFA-805390ED5C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espacios, recurso, herramientas y equipos de apoyo ofrecidos son pertinentes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3A-4C52-80BE-E4C70422AF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3A-4C52-80BE-E4C70422AF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3A-4C52-80BE-E4C70422AF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3A-4C52-80BE-E4C70422AF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3A-4C52-80BE-E4C70422AF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'FACTOR10-P'!$C$3:$C$7</c:f>
              <c:numCache>
                <c:formatCode>General</c:formatCode>
                <c:ptCount val="5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8-4BB5-AB94-22869A281F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material bibliográfico y de información disponible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8B-4389-9715-5E5107086F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8B-4389-9715-5E5107086F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8B-4389-9715-5E5107086F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'FACTOR10-P'!$A$11:$A$13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'FACTOR10-P'!$C$11:$C$13</c:f>
              <c:numCache>
                <c:formatCode>General</c:formatCode>
                <c:ptCount val="3"/>
                <c:pt idx="0">
                  <c:v>9</c:v>
                </c:pt>
                <c:pt idx="1">
                  <c:v>14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B-43AD-90C7-EDBB609026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espacios, recurso, herramientas y equipos de apoyo ofrecidos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DF-48C6-B9C8-073F5AD232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DF-48C6-B9C8-073F5AD232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DF-48C6-B9C8-073F5AD232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'FACTOR10-I'!$A$3:$A$5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'FACTOR10-I'!$C$3:$C$5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E-46C3-BA21-32A78AE2AE1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material bibliográfico y de información disponible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1-4BE8-B9C0-D9DEB88F03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61-4BE8-B9C0-D9DEB88F03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61-4BE8-B9C0-D9DEB88F03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61-4BE8-B9C0-D9DEB88F03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61-4BE8-B9C0-D9DEB88F03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'FACTOR10-I'!$A$11:$A$15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'FACTOR10-I'!$C$11:$C$15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6-488F-BA73-92ACA1736E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en los diferentes escenarios institucionales</a:t>
            </a:r>
          </a:p>
        </c:rich>
      </c:tx>
      <c:layout>
        <c:manualLayout>
          <c:xMode val="edge"/>
          <c:yMode val="edge"/>
          <c:x val="0.1173888888888888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4D-444B-B03B-850E3341DF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4D-444B-B03B-850E3341DF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4D-444B-B03B-850E3341DF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4D-444B-B03B-850E3341DF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4D-444B-B03B-850E3341DF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'FACTOR11-P'!$C$3:$C$7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1-4634-B4A3-7E85498B0A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Creo que los procesos administrativos están orientados adecuadamente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BA-4EBC-A07E-9AA8E3DFA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BA-4EBC-A07E-9AA8E3DFA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BA-4EBC-A07E-9AA8E3DFA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BA-4EBC-A07E-9AA8E3DFA4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BA-4EBC-A07E-9AA8E3DFA4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'FACTOR11-P'!$C$11:$C$15</c:f>
              <c:numCache>
                <c:formatCode>General</c:formatCode>
                <c:ptCount val="5"/>
                <c:pt idx="0">
                  <c:v>3</c:v>
                </c:pt>
                <c:pt idx="1">
                  <c:v>17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E-4A9D-A150-5D1806D5D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recursos humanos (profesores, personal administrativo, etc.)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9C-4377-B968-47CFB1FE40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9C-4377-B968-47CFB1FE40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9C-4377-B968-47CFB1FE40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9C-4377-B968-47CFB1FE40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9C-4377-B968-47CFB1FE40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'FACTOR11-P'!$C$19:$C$23</c:f>
              <c:numCache>
                <c:formatCode>General</c:formatCode>
                <c:ptCount val="5"/>
                <c:pt idx="0">
                  <c:v>6</c:v>
                </c:pt>
                <c:pt idx="1">
                  <c:v>13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C-43C1-906A-C396CE95C0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en los diferentes escenarios institucionales ha sido valorada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35-4EAB-AABC-C60E74CBBA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35-4EAB-AABC-C60E74CBBA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35-4EAB-AABC-C60E74CBBA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35-4EAB-AABC-C60E74CBBA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35-4EAB-AABC-C60E74CBBA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'FACTOR11-I'!$C$3:$C$7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13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0-4F7D-9EFD-233B4CBF98C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Creo que los procesos administrativos están orientados adecuadamente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A4-42FF-AB11-4B9519239D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A4-42FF-AB11-4B9519239D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A4-42FF-AB11-4B9519239D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A4-42FF-AB11-4B9519239D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A4-42FF-AB11-4B9519239D90}"/>
              </c:ext>
            </c:extLst>
          </c:dPt>
          <c:cat>
            <c:strRef>
              <c:f>'FACTOR11-I'!$A$11:$A$15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'FACTOR11-I'!$C$11:$C$15</c:f>
              <c:numCache>
                <c:formatCode>General</c:formatCode>
                <c:ptCount val="5"/>
                <c:pt idx="0">
                  <c:v>3</c:v>
                </c:pt>
                <c:pt idx="1">
                  <c:v>13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3-4827-AA32-629E68CA5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recursos humanos (profesores, personal administrativo, etc.)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22-488A-8BC8-0FB1725F40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22-488A-8BC8-0FB1725F40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22-488A-8BC8-0FB1725F40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'FACTOR11-I'!$A$19:$A$21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'FACTOR11-I'!$C$19:$C$21</c:f>
              <c:numCache>
                <c:formatCode>General</c:formatCode>
                <c:ptCount val="3"/>
                <c:pt idx="0">
                  <c:v>6</c:v>
                </c:pt>
                <c:pt idx="1">
                  <c:v>14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9-48B9-B512-CE1E6A728E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recursos informáticos disponibles, corresponden  adecuadamente con las </a:t>
            </a:r>
          </a:p>
          <a:p>
            <a:pPr>
              <a:defRPr/>
            </a:pPr>
            <a:r>
              <a:rPr lang="es-CO"/>
              <a:t>necesidades tecnológicas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28-47AB-A14F-360D6E2DA9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28-47AB-A14F-360D6E2DA9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28-47AB-A14F-360D6E2DA9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'FACTOR12-P'!$A$3:$A$5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'FACTOR12-P'!$C$3:$C$5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B-4D04-A39F-5B01AA8C81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recursos informáticos disponibles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27-4AD9-A44F-97443A826F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27-4AD9-A44F-97443A826F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27-4AD9-A44F-97443A826F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27-4AD9-A44F-97443A826F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27-4AD9-A44F-97443A826F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'FACTOR12-I'!$A$3:$A$7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'FACTOR12-I'!$C$3:$C$7</c:f>
              <c:numCache>
                <c:formatCode>General</c:formatCode>
                <c:ptCount val="5"/>
                <c:pt idx="0">
                  <c:v>5</c:v>
                </c:pt>
                <c:pt idx="1">
                  <c:v>13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D-4EAF-810D-608AB7E71EF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'Graficos-P'!$A$3:$A$5</c:f>
              <c:strCache>
                <c:ptCount val="3"/>
                <c:pt idx="0">
                  <c:v>Considero que mi participación en actividades de investigación, desarrollo tecnológico, creación artística, culturales, deportivas y de extensión ha contribuido a mi desarrollo integral como persona</c:v>
                </c:pt>
                <c:pt idx="1">
                  <c:v>Considero que el reglamento estudiantil y las políticas académicas del programa son pertinentes y están actualizadas.</c:v>
                </c:pt>
                <c:pt idx="2">
                  <c:v>Considero que los criterios para la concesión de estímulos académicos y apoyos socioeconómicos, son claros y justos.</c:v>
                </c:pt>
              </c:strCache>
            </c:strRef>
          </c:cat>
          <c:val>
            <c:numRef>
              <c:f>'Graficos-P'!$B$3:$B$5</c:f>
              <c:numCache>
                <c:formatCode>0.00%</c:formatCode>
                <c:ptCount val="3"/>
                <c:pt idx="0">
                  <c:v>0.36102236421725242</c:v>
                </c:pt>
                <c:pt idx="1">
                  <c:v>0.33226837060702874</c:v>
                </c:pt>
                <c:pt idx="2">
                  <c:v>0.30670926517571884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4-4A23-8123-4F0E7A686F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4098512"/>
        <c:axId val="654100672"/>
      </c:barChart>
      <c:catAx>
        <c:axId val="65409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100672"/>
        <c:crosses val="autoZero"/>
        <c:auto val="1"/>
        <c:lblAlgn val="ctr"/>
        <c:lblOffset val="100"/>
        <c:noMultiLvlLbl val="0"/>
      </c:catAx>
      <c:valAx>
        <c:axId val="65410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09851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5C-4D3A-BA27-7452BF9E5C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5C-4D3A-BA27-7452BF9E5C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'Graficos-P'!$A$9:$A$10</c:f>
              <c:strCache>
                <c:ptCount val="2"/>
                <c:pt idx="0">
                  <c:v>Considero que el material académico producido por los docentes es pertinente y adecuado con las necesidades y objetivos de la Maestría en Ciencias de la Información y las Comunicaciones.</c:v>
                </c:pt>
                <c:pt idx="1">
                  <c:v>Considero que los criterios y mecanismos utilizados para la evaluación de los profesores son transparentes, accesibles y eficaces</c:v>
                </c:pt>
              </c:strCache>
            </c:strRef>
          </c:cat>
          <c:val>
            <c:numRef>
              <c:f>'Graficos-P'!$B$9:$B$10</c:f>
              <c:numCache>
                <c:formatCode>0.00%</c:formatCode>
                <c:ptCount val="2"/>
                <c:pt idx="0">
                  <c:v>0.49568965517241381</c:v>
                </c:pt>
                <c:pt idx="1">
                  <c:v>0.50431034482758619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B-45F4-9ED1-088B3DE119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'Graficos-P'!$A$35:$A$36</c:f>
              <c:strCache>
                <c:ptCount val="2"/>
                <c:pt idx="0">
                  <c:v>Considero que los espacios, recurso, herramientas y equipos de apoyo ofrecidos son pertinentes y se ajustan adecuadamente a mis necesidades formativas en los diferentes contextos que requiero.</c:v>
                </c:pt>
                <c:pt idx="1">
                  <c:v>Considero que el material bibliográfico y de información disponible en la Maestría en Ciencias de la Información y las Comunicaciones es pertinente y adecuado para apoyar el desarrollo de las distinta</c:v>
                </c:pt>
              </c:strCache>
            </c:strRef>
          </c:cat>
          <c:val>
            <c:numRef>
              <c:f>'Graficos-P'!$B$35:$B$36</c:f>
              <c:numCache>
                <c:formatCode>0.00%</c:formatCode>
                <c:ptCount val="2"/>
                <c:pt idx="0">
                  <c:v>0.48401826484018262</c:v>
                </c:pt>
                <c:pt idx="1">
                  <c:v>0.51598173515981738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4-41DA-B7B0-2DF43C01F1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1881432"/>
        <c:axId val="651878552"/>
      </c:barChart>
      <c:catAx>
        <c:axId val="65188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78552"/>
        <c:crosses val="autoZero"/>
        <c:auto val="1"/>
        <c:lblAlgn val="ctr"/>
        <c:lblOffset val="100"/>
        <c:noMultiLvlLbl val="0"/>
      </c:catAx>
      <c:valAx>
        <c:axId val="65187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8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'Graficos-P'!$A$14:$A$17</c:f>
              <c:strCache>
                <c:ptCount val="4"/>
                <c:pt idx="0">
                  <c:v>Considero que las estrategias de flexibilidad curricular me han permitido personalizar mi formación de acuerdo con mis objetivos profesionales y académicos.</c:v>
                </c:pt>
                <c:pt idx="1">
                  <c:v>Considero que las estrategias pedagógicas y escenarios de práctica utilizadas en la Maestría en Ciencias de la Información y las Comunicaciones son coherentes y efectivas para facilitar los resultados</c:v>
                </c:pt>
                <c:pt idx="2">
                  <c:v>Considero que los sistemas de evaluación de los resultados de aprendizaje permiten una realimentación efectiva que contribuye a la mejora continua de la formación en los estudiantes.</c:v>
                </c:pt>
                <c:pt idx="3">
                  <c:v>Considero que el proceso de evaluación y autorregulación de la Maestría en Ciencias de la Información y las Comunicaciones tiene en cuenta de manera efectiva las necesidades y expectativas de los estudiantes</c:v>
                </c:pt>
              </c:strCache>
            </c:strRef>
          </c:cat>
          <c:val>
            <c:numRef>
              <c:f>'Graficos-P'!$B$14:$B$17</c:f>
              <c:numCache>
                <c:formatCode>0.00%</c:formatCode>
                <c:ptCount val="4"/>
                <c:pt idx="0">
                  <c:v>0.23261390887290168</c:v>
                </c:pt>
                <c:pt idx="1">
                  <c:v>0.25659472422062352</c:v>
                </c:pt>
                <c:pt idx="2">
                  <c:v>0.26858513189448441</c:v>
                </c:pt>
                <c:pt idx="3">
                  <c:v>0.2422062350119904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C-40E7-83A9-0DDF7D42D5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12491928"/>
        <c:axId val="512487608"/>
      </c:barChart>
      <c:catAx>
        <c:axId val="51249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87608"/>
        <c:crosses val="autoZero"/>
        <c:auto val="1"/>
        <c:lblAlgn val="ctr"/>
        <c:lblOffset val="100"/>
        <c:noMultiLvlLbl val="0"/>
      </c:catAx>
      <c:valAx>
        <c:axId val="51248760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91928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'Graficos-P'!$A$39:$A$41</c:f>
              <c:strCache>
                <c:ptCount val="3"/>
                <c:pt idx="0">
                  <c:v>Considero que el representante estudiantil en los diferentes escenarios institucionales ha sido valorada y ha influido en las decisiones orientadas al mejoramiento de la Maestría en Ciencias de la Información</c:v>
                </c:pt>
                <c:pt idx="1">
                  <c: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c:v>
                </c:pt>
                <c:pt idx="2">
                  <c:v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c:v>
                </c:pt>
              </c:strCache>
            </c:strRef>
          </c:cat>
          <c:val>
            <c:numRef>
              <c:f>'Graficos-P'!$B$39:$B$41</c:f>
              <c:numCache>
                <c:formatCode>0.00%</c:formatCode>
                <c:ptCount val="3"/>
                <c:pt idx="0">
                  <c:v>0.28919860627177701</c:v>
                </c:pt>
                <c:pt idx="1">
                  <c:v>0.35540069686411152</c:v>
                </c:pt>
                <c:pt idx="2">
                  <c:v>0.35540069686411152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A-44C3-8EFA-0F8C5D2C1B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46211752"/>
        <c:axId val="546212472"/>
      </c:barChart>
      <c:catAx>
        <c:axId val="54621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2472"/>
        <c:crosses val="autoZero"/>
        <c:auto val="1"/>
        <c:lblAlgn val="ctr"/>
        <c:lblOffset val="100"/>
        <c:noMultiLvlLbl val="0"/>
      </c:catAx>
      <c:valAx>
        <c:axId val="54621247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17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'Graficos-I'!$A$3:$A$5</c:f>
              <c:strCache>
                <c:ptCount val="3"/>
                <c:pt idx="0">
                  <c:v>Considero que mi participación en actividades de investigación, desarrollo tecnológico, creación artística, culturales, deportivas y de extensión ha contribuido a mi desarrollo integral como persona</c:v>
                </c:pt>
                <c:pt idx="1">
                  <c:v>Considero que el reglamento estudiantil y las políticas académicas del programa son pertinentes y están actualizadas.</c:v>
                </c:pt>
                <c:pt idx="2">
                  <c:v>Considero que los criterios para la concesión de estímulos académicos y apoyos socioeconómicos, son claros y justos.</c:v>
                </c:pt>
              </c:strCache>
            </c:strRef>
          </c:cat>
          <c:val>
            <c:numRef>
              <c:f>'Graficos-I'!$B$3:$B$5</c:f>
              <c:numCache>
                <c:formatCode>0.00%</c:formatCode>
                <c:ptCount val="3"/>
                <c:pt idx="0">
                  <c:v>0.35496183206106868</c:v>
                </c:pt>
                <c:pt idx="1">
                  <c:v>0.30916030534351147</c:v>
                </c:pt>
                <c:pt idx="2">
                  <c:v>0.33587786259541985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4-4AB7-A6A1-281F5C8966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4098512"/>
        <c:axId val="654100672"/>
      </c:barChart>
      <c:catAx>
        <c:axId val="65409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100672"/>
        <c:crosses val="autoZero"/>
        <c:auto val="1"/>
        <c:lblAlgn val="ctr"/>
        <c:lblOffset val="100"/>
        <c:noMultiLvlLbl val="0"/>
      </c:catAx>
      <c:valAx>
        <c:axId val="65410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09851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0-4F43-9E51-4F65E0E74C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0-4F43-9E51-4F65E0E74C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'Graficos-I'!$A$9:$A$10</c:f>
              <c:strCache>
                <c:ptCount val="2"/>
                <c:pt idx="0">
                  <c:v>Considero que el material académico producido por los docentes es pertinente y adecuado con las necesidades y objetivos de la Maestría en Ciencias de la Información y las Comunicaciones.</c:v>
                </c:pt>
                <c:pt idx="1">
                  <c:v>Considero que los criterios y mecanismos utilizados para la evaluación de los profesores son transparentes, accesibles y eficaces</c:v>
                </c:pt>
              </c:strCache>
            </c:strRef>
          </c:cat>
          <c:val>
            <c:numRef>
              <c:f>'Graficos-I'!$B$9:$B$10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0-4F43-9E51-4F65E0E74C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'Graficos-I'!$A$35:$A$36</c:f>
              <c:strCache>
                <c:ptCount val="2"/>
                <c:pt idx="0">
                  <c:v>Considero que los espacios, recurso, herramientas y equipos de apoyo ofrecidos son pertinentes y se ajustan adecuadamente a mis necesidades formativas en los diferentes contextos que requiero.</c:v>
                </c:pt>
                <c:pt idx="1">
                  <c:v>Considero que el material bibliográfico y de información disponible en la Maestría en Ciencias de la Información y las Comunicaciones es pertinente y adecuado para apoyar el desarrollo de las distinta</c:v>
                </c:pt>
              </c:strCache>
            </c:strRef>
          </c:cat>
          <c:val>
            <c:numRef>
              <c:f>'Graficos-I'!$B$35:$B$36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D-41CA-9662-4F3C151B79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51881432"/>
        <c:axId val="651878552"/>
      </c:barChart>
      <c:catAx>
        <c:axId val="65188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78552"/>
        <c:crosses val="autoZero"/>
        <c:auto val="1"/>
        <c:lblAlgn val="ctr"/>
        <c:lblOffset val="100"/>
        <c:noMultiLvlLbl val="0"/>
      </c:catAx>
      <c:valAx>
        <c:axId val="65187855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8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'Graficos-I'!$A$14:$A$17</c:f>
              <c:strCache>
                <c:ptCount val="4"/>
                <c:pt idx="0">
                  <c:v>Considero que las estrategias de flexibilidad curricular me han permitido personalizar mi formación de acuerdo con mis objetivos profesionales y académicos.</c:v>
                </c:pt>
                <c:pt idx="1">
                  <c:v>Considero que las estrategias pedagógicas y escenarios de práctica utilizadas en la Maestría en Ciencias de la Información y las Comunicaciones son coherentes y efectivas para facilitar los resultados</c:v>
                </c:pt>
                <c:pt idx="2">
                  <c:v>Considero que los sistemas de evaluación de los resultados de aprendizaje permiten una realimentación efectiva que contribuye a la mejora continua de la formación en los estudiantes.</c:v>
                </c:pt>
                <c:pt idx="3">
                  <c:v>Considero que el proceso de evaluación y autorregulación de la Maestría en Ciencias de la Información y las Comunicaciones tiene en cuenta de manera efectiva las necesidades y expectativas de los estudiantes</c:v>
                </c:pt>
              </c:strCache>
            </c:strRef>
          </c:cat>
          <c:val>
            <c:numRef>
              <c:f>'Graficos-I'!$B$14:$B$17</c:f>
              <c:numCache>
                <c:formatCode>0.00%</c:formatCode>
                <c:ptCount val="4"/>
                <c:pt idx="0">
                  <c:v>0.25595238095238093</c:v>
                </c:pt>
                <c:pt idx="1">
                  <c:v>0.25297619047619047</c:v>
                </c:pt>
                <c:pt idx="2">
                  <c:v>0.25</c:v>
                </c:pt>
                <c:pt idx="3">
                  <c:v>0.24107142857142858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F-406C-AF45-E4D2186031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12491928"/>
        <c:axId val="512487608"/>
      </c:barChart>
      <c:catAx>
        <c:axId val="51249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87608"/>
        <c:crosses val="autoZero"/>
        <c:auto val="1"/>
        <c:lblAlgn val="ctr"/>
        <c:lblOffset val="100"/>
        <c:noMultiLvlLbl val="0"/>
      </c:catAx>
      <c:valAx>
        <c:axId val="51248760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91928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'Graficos-I'!$A$39:$A$41</c:f>
              <c:strCache>
                <c:ptCount val="3"/>
                <c:pt idx="0">
                  <c:v>Considero que el representante estudiantil en los diferentes escenarios institucionales ha sido valorada y ha influido en las decisiones orientadas al mejoramiento de la Maestría en Ciencias de la Información</c:v>
                </c:pt>
                <c:pt idx="1">
                  <c: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c:v>
                </c:pt>
                <c:pt idx="2">
                  <c:v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c:v>
                </c:pt>
              </c:strCache>
            </c:strRef>
          </c:cat>
          <c:val>
            <c:numRef>
              <c:f>'Graficos-I'!$B$39:$B$41</c:f>
              <c:numCache>
                <c:formatCode>0.00%</c:formatCode>
                <c:ptCount val="3"/>
                <c:pt idx="0">
                  <c:v>0.28870292887029286</c:v>
                </c:pt>
                <c:pt idx="1">
                  <c:v>0.33891213389121339</c:v>
                </c:pt>
                <c:pt idx="2">
                  <c:v>0.3723849372384937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C-4E4C-84CB-149949ECE1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46211752"/>
        <c:axId val="546212472"/>
      </c:barChart>
      <c:catAx>
        <c:axId val="54621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2472"/>
        <c:crosses val="autoZero"/>
        <c:auto val="1"/>
        <c:lblAlgn val="ctr"/>
        <c:lblOffset val="100"/>
        <c:noMultiLvlLbl val="0"/>
      </c:catAx>
      <c:valAx>
        <c:axId val="54621247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17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0</xdr:row>
      <xdr:rowOff>52387</xdr:rowOff>
    </xdr:from>
    <xdr:to>
      <xdr:col>17</xdr:col>
      <xdr:colOff>276225</xdr:colOff>
      <xdr:row>13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9F0E62-3C87-76B2-34B8-43F5A73B3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15</xdr:row>
      <xdr:rowOff>14287</xdr:rowOff>
    </xdr:from>
    <xdr:to>
      <xdr:col>17</xdr:col>
      <xdr:colOff>314325</xdr:colOff>
      <xdr:row>29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52823FD-24A7-4A6A-CE79-470E93D4CBB0}"/>
            </a:ext>
            <a:ext uri="{147F2762-F138-4A5C-976F-8EAC2B608ADB}">
              <a16:predDERef xmlns:a16="http://schemas.microsoft.com/office/drawing/2014/main" pred="{749F0E62-3C87-76B2-34B8-43F5A73B3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247650</xdr:colOff>
      <xdr:row>26</xdr:row>
      <xdr:rowOff>176212</xdr:rowOff>
    </xdr:from>
    <xdr:to>
      <xdr:col>8</xdr:col>
      <xdr:colOff>600075</xdr:colOff>
      <xdr:row>41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DE81C6-C986-5BE6-2FE7-77EFC02C6664}"/>
            </a:ext>
            <a:ext uri="{147F2762-F138-4A5C-976F-8EAC2B608ADB}">
              <a16:predDERef xmlns:a16="http://schemas.microsoft.com/office/drawing/2014/main" pred="{552823FD-24A7-4A6A-CE79-470E93D4C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0</xdr:row>
      <xdr:rowOff>147637</xdr:rowOff>
    </xdr:from>
    <xdr:to>
      <xdr:col>16</xdr:col>
      <xdr:colOff>76200</xdr:colOff>
      <xdr:row>14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B9B583-A92C-2F33-3A33-8D6D573BA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15</xdr:row>
      <xdr:rowOff>42862</xdr:rowOff>
    </xdr:from>
    <xdr:to>
      <xdr:col>16</xdr:col>
      <xdr:colOff>228600</xdr:colOff>
      <xdr:row>29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34B6BE-77D2-B529-7E13-453933258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1504950</xdr:colOff>
      <xdr:row>25</xdr:row>
      <xdr:rowOff>4762</xdr:rowOff>
    </xdr:from>
    <xdr:to>
      <xdr:col>5</xdr:col>
      <xdr:colOff>695325</xdr:colOff>
      <xdr:row>39</xdr:row>
      <xdr:rowOff>80962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295BBA-2EF1-611C-40D5-FABD793E7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0</xdr:row>
      <xdr:rowOff>71437</xdr:rowOff>
    </xdr:from>
    <xdr:to>
      <xdr:col>17</xdr:col>
      <xdr:colOff>438150</xdr:colOff>
      <xdr:row>13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2E9B72-7BA3-4200-0A25-D7EAD952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295275</xdr:colOff>
      <xdr:row>15</xdr:row>
      <xdr:rowOff>100012</xdr:rowOff>
    </xdr:from>
    <xdr:to>
      <xdr:col>17</xdr:col>
      <xdr:colOff>600075</xdr:colOff>
      <xdr:row>29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53CB66-9F96-9A6E-B266-F3337554F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0</xdr:row>
      <xdr:rowOff>280987</xdr:rowOff>
    </xdr:from>
    <xdr:to>
      <xdr:col>15</xdr:col>
      <xdr:colOff>219075</xdr:colOff>
      <xdr:row>14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0D3E31-4D52-3D4B-2EF3-FEBC58BBB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0</xdr:row>
      <xdr:rowOff>109537</xdr:rowOff>
    </xdr:from>
    <xdr:to>
      <xdr:col>17</xdr:col>
      <xdr:colOff>523875</xdr:colOff>
      <xdr:row>21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2DC8B5-AB50-F196-0435-7A2EF569C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21</xdr:row>
      <xdr:rowOff>176212</xdr:rowOff>
    </xdr:from>
    <xdr:to>
      <xdr:col>18</xdr:col>
      <xdr:colOff>57150</xdr:colOff>
      <xdr:row>36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F7D8FF-3DD0-0AF7-92FA-CC7C194C8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37</xdr:row>
      <xdr:rowOff>4762</xdr:rowOff>
    </xdr:from>
    <xdr:to>
      <xdr:col>18</xdr:col>
      <xdr:colOff>76200</xdr:colOff>
      <xdr:row>51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4EEA41-B195-8F81-A922-65B829D06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52387</xdr:rowOff>
    </xdr:from>
    <xdr:to>
      <xdr:col>17</xdr:col>
      <xdr:colOff>400050</xdr:colOff>
      <xdr:row>20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537FA1-D0FF-9773-0BA3-86302FE77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109537</xdr:colOff>
      <xdr:row>20</xdr:row>
      <xdr:rowOff>185737</xdr:rowOff>
    </xdr:from>
    <xdr:to>
      <xdr:col>17</xdr:col>
      <xdr:colOff>414337</xdr:colOff>
      <xdr:row>35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BAB637-10E8-88B1-DFCD-1C4F58C73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42862</xdr:colOff>
      <xdr:row>36</xdr:row>
      <xdr:rowOff>42862</xdr:rowOff>
    </xdr:from>
    <xdr:to>
      <xdr:col>17</xdr:col>
      <xdr:colOff>347662</xdr:colOff>
      <xdr:row>50</xdr:row>
      <xdr:rowOff>119062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469D16-FE55-C45A-8154-02A2BFB88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2</xdr:row>
      <xdr:rowOff>109537</xdr:rowOff>
    </xdr:from>
    <xdr:to>
      <xdr:col>12</xdr:col>
      <xdr:colOff>171450</xdr:colOff>
      <xdr:row>16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4FCF8C-861B-0A67-9D20-4AC18F42C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2</xdr:row>
      <xdr:rowOff>4762</xdr:rowOff>
    </xdr:from>
    <xdr:to>
      <xdr:col>10</xdr:col>
      <xdr:colOff>338137</xdr:colOff>
      <xdr:row>16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1D4AB-B1E3-3B4F-B961-B296252E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423862</xdr:colOff>
      <xdr:row>1</xdr:row>
      <xdr:rowOff>61912</xdr:rowOff>
    </xdr:from>
    <xdr:to>
      <xdr:col>15</xdr:col>
      <xdr:colOff>547687</xdr:colOff>
      <xdr:row>15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A38C5C-B6AD-686B-3821-21168E286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290512</xdr:colOff>
      <xdr:row>1</xdr:row>
      <xdr:rowOff>33337</xdr:rowOff>
    </xdr:from>
    <xdr:to>
      <xdr:col>15</xdr:col>
      <xdr:colOff>414337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44CD3E-A90D-972F-D18D-E7707B988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1</xdr:row>
      <xdr:rowOff>33337</xdr:rowOff>
    </xdr:from>
    <xdr:to>
      <xdr:col>16</xdr:col>
      <xdr:colOff>309562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B1CC0B-E29C-9473-E5C3-53D076173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1119187</xdr:colOff>
      <xdr:row>10</xdr:row>
      <xdr:rowOff>42862</xdr:rowOff>
    </xdr:from>
    <xdr:to>
      <xdr:col>5</xdr:col>
      <xdr:colOff>309562</xdr:colOff>
      <xdr:row>24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A54AC3-82B0-135C-FA69-1C788D27A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109537</xdr:colOff>
      <xdr:row>9</xdr:row>
      <xdr:rowOff>42862</xdr:rowOff>
    </xdr:from>
    <xdr:to>
      <xdr:col>7</xdr:col>
      <xdr:colOff>261937</xdr:colOff>
      <xdr:row>23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37DDF8-FD88-814A-CE6A-6BF4C2E7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890587</xdr:colOff>
      <xdr:row>8</xdr:row>
      <xdr:rowOff>138112</xdr:rowOff>
    </xdr:from>
    <xdr:to>
      <xdr:col>8</xdr:col>
      <xdr:colOff>242887</xdr:colOff>
      <xdr:row>23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F86800-88EE-DB12-0496-81F857493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290512</xdr:colOff>
      <xdr:row>0</xdr:row>
      <xdr:rowOff>0</xdr:rowOff>
    </xdr:from>
    <xdr:to>
      <xdr:col>17</xdr:col>
      <xdr:colOff>595312</xdr:colOff>
      <xdr:row>13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E5FF93-2145-9F08-E147-04B25C025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252412</xdr:colOff>
      <xdr:row>14</xdr:row>
      <xdr:rowOff>23812</xdr:rowOff>
    </xdr:from>
    <xdr:to>
      <xdr:col>17</xdr:col>
      <xdr:colOff>557212</xdr:colOff>
      <xdr:row>28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CD39DB-83A1-518A-3E7D-51084AECA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328612</xdr:colOff>
      <xdr:row>0</xdr:row>
      <xdr:rowOff>0</xdr:rowOff>
    </xdr:from>
    <xdr:to>
      <xdr:col>18</xdr:col>
      <xdr:colOff>23812</xdr:colOff>
      <xdr:row>13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FE155A-B70A-46B6-2772-C94F78B1B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109537</xdr:colOff>
      <xdr:row>7</xdr:row>
      <xdr:rowOff>71437</xdr:rowOff>
    </xdr:from>
    <xdr:to>
      <xdr:col>11</xdr:col>
      <xdr:colOff>404812</xdr:colOff>
      <xdr:row>21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035071-2B13-A2F4-F07F-B4F0E72EF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157162</xdr:colOff>
      <xdr:row>0</xdr:row>
      <xdr:rowOff>61912</xdr:rowOff>
    </xdr:from>
    <xdr:to>
      <xdr:col>17</xdr:col>
      <xdr:colOff>461962</xdr:colOff>
      <xdr:row>13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46B1DB-B02B-79BB-EFEB-351B801E9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204787</xdr:colOff>
      <xdr:row>14</xdr:row>
      <xdr:rowOff>71437</xdr:rowOff>
    </xdr:from>
    <xdr:to>
      <xdr:col>17</xdr:col>
      <xdr:colOff>509587</xdr:colOff>
      <xdr:row>28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D1B44E-3F14-57B6-F954-B6C2663E2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176212</xdr:colOff>
      <xdr:row>29</xdr:row>
      <xdr:rowOff>138112</xdr:rowOff>
    </xdr:from>
    <xdr:to>
      <xdr:col>17</xdr:col>
      <xdr:colOff>481012</xdr:colOff>
      <xdr:row>44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ED1067D-AEAB-0E50-88E7-9B6419F4F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0</xdr:row>
      <xdr:rowOff>33337</xdr:rowOff>
    </xdr:from>
    <xdr:to>
      <xdr:col>17</xdr:col>
      <xdr:colOff>471487</xdr:colOff>
      <xdr:row>13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3CE6AB-A09E-8BC9-5CDF-B947F061B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176212</xdr:colOff>
      <xdr:row>14</xdr:row>
      <xdr:rowOff>42862</xdr:rowOff>
    </xdr:from>
    <xdr:to>
      <xdr:col>17</xdr:col>
      <xdr:colOff>481012</xdr:colOff>
      <xdr:row>28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7FD88D-CA34-20D6-B149-4F8460F8E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100012</xdr:colOff>
      <xdr:row>29</xdr:row>
      <xdr:rowOff>23812</xdr:rowOff>
    </xdr:from>
    <xdr:to>
      <xdr:col>17</xdr:col>
      <xdr:colOff>404812</xdr:colOff>
      <xdr:row>43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9B7C69-172F-EF54-F1F9-5B647E38F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319087</xdr:colOff>
      <xdr:row>9</xdr:row>
      <xdr:rowOff>4762</xdr:rowOff>
    </xdr:from>
    <xdr:to>
      <xdr:col>7</xdr:col>
      <xdr:colOff>471487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873B24-B9E1-66F4-4BC2-0E6F7509D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2319337</xdr:colOff>
      <xdr:row>8</xdr:row>
      <xdr:rowOff>128587</xdr:rowOff>
    </xdr:from>
    <xdr:to>
      <xdr:col>7</xdr:col>
      <xdr:colOff>42862</xdr:colOff>
      <xdr:row>23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CDD2F7-0A79-DA44-7DDB-F7CDD853A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</xdr:row>
      <xdr:rowOff>80962</xdr:rowOff>
    </xdr:from>
    <xdr:to>
      <xdr:col>9</xdr:col>
      <xdr:colOff>200025</xdr:colOff>
      <xdr:row>11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987856-79ED-450F-44CB-D10520F1B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12</xdr:row>
      <xdr:rowOff>61912</xdr:rowOff>
    </xdr:from>
    <xdr:to>
      <xdr:col>8</xdr:col>
      <xdr:colOff>366712</xdr:colOff>
      <xdr:row>27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C91C7E-DCA1-6049-3356-97886F688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423862</xdr:colOff>
      <xdr:row>43</xdr:row>
      <xdr:rowOff>147637</xdr:rowOff>
    </xdr:from>
    <xdr:to>
      <xdr:col>8</xdr:col>
      <xdr:colOff>423862</xdr:colOff>
      <xdr:row>58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047C3D7-FA5F-0E70-B3BF-D9BC635E6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423862</xdr:colOff>
      <xdr:row>28</xdr:row>
      <xdr:rowOff>61912</xdr:rowOff>
    </xdr:from>
    <xdr:to>
      <xdr:col>8</xdr:col>
      <xdr:colOff>485775</xdr:colOff>
      <xdr:row>42</xdr:row>
      <xdr:rowOff>161926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2105EC-399A-850C-73DA-85A987532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647700</xdr:colOff>
      <xdr:row>45</xdr:row>
      <xdr:rowOff>42862</xdr:rowOff>
    </xdr:from>
    <xdr:to>
      <xdr:col>1</xdr:col>
      <xdr:colOff>1219200</xdr:colOff>
      <xdr:row>59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FD8C771-3C0E-F046-DA7D-2A90DBA9D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</xdr:row>
      <xdr:rowOff>80962</xdr:rowOff>
    </xdr:from>
    <xdr:to>
      <xdr:col>9</xdr:col>
      <xdr:colOff>200025</xdr:colOff>
      <xdr:row>11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F54C5A-52D6-4B5C-952A-BDDE9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12</xdr:row>
      <xdr:rowOff>61912</xdr:rowOff>
    </xdr:from>
    <xdr:to>
      <xdr:col>8</xdr:col>
      <xdr:colOff>366712</xdr:colOff>
      <xdr:row>27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B75C06-12C7-486C-8839-5A8EAA4BE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423862</xdr:colOff>
      <xdr:row>43</xdr:row>
      <xdr:rowOff>147637</xdr:rowOff>
    </xdr:from>
    <xdr:to>
      <xdr:col>8</xdr:col>
      <xdr:colOff>423862</xdr:colOff>
      <xdr:row>58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B16B38-749F-4B53-B29A-8BAB3534F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423862</xdr:colOff>
      <xdr:row>28</xdr:row>
      <xdr:rowOff>61912</xdr:rowOff>
    </xdr:from>
    <xdr:to>
      <xdr:col>8</xdr:col>
      <xdr:colOff>485775</xdr:colOff>
      <xdr:row>42</xdr:row>
      <xdr:rowOff>161926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D0D318A-4C1F-438A-9831-7381E1471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647700</xdr:colOff>
      <xdr:row>45</xdr:row>
      <xdr:rowOff>42862</xdr:rowOff>
    </xdr:from>
    <xdr:to>
      <xdr:col>1</xdr:col>
      <xdr:colOff>1219200</xdr:colOff>
      <xdr:row>59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CA83D58-1F9D-464A-B85F-134707EF7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B25" workbookViewId="0">
      <selection activeCell="K37" sqref="K3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</cols>
  <sheetData>
    <row r="1" spans="1:10" ht="29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12</v>
      </c>
      <c r="D3">
        <v>5</v>
      </c>
      <c r="E3">
        <f t="shared" ref="E3:E7" si="0">C3*D3</f>
        <v>60</v>
      </c>
      <c r="F3" s="9">
        <f>SUM(E3:E7)</f>
        <v>113</v>
      </c>
      <c r="G3" s="4">
        <f>F3/$F$25</f>
        <v>0.36102236421725242</v>
      </c>
      <c r="H3" s="9">
        <f>SUM(E3:E7)/SUM(C3:C7)</f>
        <v>4.1851851851851851</v>
      </c>
    </row>
    <row r="4" spans="1:10">
      <c r="A4" t="s">
        <v>7</v>
      </c>
      <c r="B4">
        <v>4</v>
      </c>
      <c r="C4">
        <v>8</v>
      </c>
      <c r="D4">
        <v>4</v>
      </c>
      <c r="E4">
        <f t="shared" si="0"/>
        <v>32</v>
      </c>
      <c r="F4" s="9"/>
      <c r="G4" s="4"/>
      <c r="H4" s="9"/>
    </row>
    <row r="5" spans="1:10">
      <c r="A5" t="s">
        <v>8</v>
      </c>
      <c r="B5">
        <v>3</v>
      </c>
      <c r="C5">
        <v>7</v>
      </c>
      <c r="D5">
        <v>3</v>
      </c>
      <c r="E5">
        <f t="shared" si="0"/>
        <v>21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A9" s="11" t="s">
        <v>11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5</v>
      </c>
      <c r="D11">
        <v>5</v>
      </c>
      <c r="E11">
        <f>C11*D11</f>
        <v>25</v>
      </c>
      <c r="F11" s="9">
        <f>SUM(E11:E15)</f>
        <v>104</v>
      </c>
      <c r="G11" s="4">
        <f>F11/$F$25</f>
        <v>0.33226837060702874</v>
      </c>
      <c r="H11" s="9">
        <f>SUM(E11:E15)/SUM(C11:C15)</f>
        <v>3.8518518518518516</v>
      </c>
    </row>
    <row r="12" spans="1:10">
      <c r="A12" t="s">
        <v>7</v>
      </c>
      <c r="B12">
        <v>4</v>
      </c>
      <c r="C12">
        <v>16</v>
      </c>
      <c r="D12">
        <v>4</v>
      </c>
      <c r="E12">
        <f t="shared" ref="E12:E15" si="1">C12*D12</f>
        <v>64</v>
      </c>
      <c r="F12" s="9"/>
      <c r="G12" s="4"/>
      <c r="H12" s="9"/>
    </row>
    <row r="13" spans="1:10">
      <c r="A13" t="s">
        <v>8</v>
      </c>
      <c r="B13">
        <v>3</v>
      </c>
      <c r="C13">
        <v>4</v>
      </c>
      <c r="D13">
        <v>3</v>
      </c>
      <c r="E13">
        <f t="shared" si="1"/>
        <v>12</v>
      </c>
      <c r="F13" s="9"/>
      <c r="G13" s="4"/>
      <c r="H13" s="9"/>
    </row>
    <row r="14" spans="1:10">
      <c r="A14" t="s">
        <v>9</v>
      </c>
      <c r="B14">
        <v>2</v>
      </c>
      <c r="C14">
        <v>1</v>
      </c>
      <c r="D14">
        <v>2</v>
      </c>
      <c r="E14">
        <f t="shared" si="1"/>
        <v>2</v>
      </c>
      <c r="F14" s="9"/>
      <c r="G14" s="4"/>
      <c r="H14" s="9"/>
    </row>
    <row r="15" spans="1:10">
      <c r="A15" t="s">
        <v>10</v>
      </c>
      <c r="B15">
        <v>1</v>
      </c>
      <c r="C15">
        <v>1</v>
      </c>
      <c r="D15">
        <v>1</v>
      </c>
      <c r="E15">
        <f t="shared" si="1"/>
        <v>1</v>
      </c>
      <c r="F15" s="9"/>
      <c r="G15" s="4"/>
      <c r="H15" s="9"/>
    </row>
    <row r="17" spans="1:10">
      <c r="A17" s="11" t="s">
        <v>12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5</v>
      </c>
      <c r="D19">
        <v>5</v>
      </c>
      <c r="E19">
        <f>C19*D19</f>
        <v>25</v>
      </c>
      <c r="F19" s="9">
        <f>SUM(E19:E23)</f>
        <v>96</v>
      </c>
      <c r="G19" s="4">
        <f>F19/$F$25</f>
        <v>0.30670926517571884</v>
      </c>
      <c r="H19" s="9">
        <f>SUM(E19:E23)/SUM(C19:C23)</f>
        <v>3.5555555555555554</v>
      </c>
    </row>
    <row r="20" spans="1:10">
      <c r="A20" t="s">
        <v>7</v>
      </c>
      <c r="B20">
        <v>4</v>
      </c>
      <c r="C20">
        <v>9</v>
      </c>
      <c r="D20">
        <v>4</v>
      </c>
      <c r="E20">
        <f t="shared" ref="E20:E23" si="2">C20*D20</f>
        <v>36</v>
      </c>
      <c r="F20" s="9"/>
      <c r="G20" s="4"/>
      <c r="H20" s="9"/>
    </row>
    <row r="21" spans="1:10">
      <c r="A21" t="s">
        <v>8</v>
      </c>
      <c r="B21">
        <v>3</v>
      </c>
      <c r="C21">
        <v>9</v>
      </c>
      <c r="D21">
        <v>3</v>
      </c>
      <c r="E21">
        <f t="shared" si="2"/>
        <v>27</v>
      </c>
      <c r="F21" s="9"/>
      <c r="G21" s="4"/>
      <c r="H21" s="9"/>
    </row>
    <row r="22" spans="1:10">
      <c r="A22" t="s">
        <v>9</v>
      </c>
      <c r="B22">
        <v>2</v>
      </c>
      <c r="C22">
        <v>4</v>
      </c>
      <c r="D22">
        <v>2</v>
      </c>
      <c r="E22">
        <f t="shared" si="2"/>
        <v>8</v>
      </c>
      <c r="F22" s="9"/>
      <c r="G22" s="4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9"/>
      <c r="G23" s="4"/>
      <c r="H23" s="9"/>
    </row>
    <row r="25" spans="1:10">
      <c r="F25">
        <f>F3+F11+F19</f>
        <v>313</v>
      </c>
      <c r="G25" s="2">
        <f>G3+G11+G19</f>
        <v>1</v>
      </c>
      <c r="H25">
        <f>(H3+H11+H19)/3</f>
        <v>3.8641975308641974</v>
      </c>
    </row>
  </sheetData>
  <mergeCells count="9">
    <mergeCell ref="H3:H7"/>
    <mergeCell ref="H11:H15"/>
    <mergeCell ref="H19:H23"/>
    <mergeCell ref="A1:J1"/>
    <mergeCell ref="F3:F7"/>
    <mergeCell ref="A9:J9"/>
    <mergeCell ref="F11:F15"/>
    <mergeCell ref="A17:J17"/>
    <mergeCell ref="F19:F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5451-49D5-420A-80CA-7AE2B1736C38}">
  <dimension ref="A1:J25"/>
  <sheetViews>
    <sheetView topLeftCell="A22" workbookViewId="0">
      <selection activeCell="I32" sqref="I3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</cols>
  <sheetData>
    <row r="1" spans="1:10" ht="29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11</v>
      </c>
      <c r="D3">
        <v>5</v>
      </c>
      <c r="E3">
        <f t="shared" ref="E3:E7" si="0">C3*D3</f>
        <v>55</v>
      </c>
      <c r="F3" s="9">
        <f>SUM(E3:E7)</f>
        <v>93</v>
      </c>
      <c r="G3" s="4">
        <f>F3/$F$25</f>
        <v>0.35496183206106868</v>
      </c>
      <c r="H3" s="9">
        <f>SUM(E3:E7)/SUM(C3:C7)</f>
        <v>4.4285714285714288</v>
      </c>
    </row>
    <row r="4" spans="1:10">
      <c r="A4" t="s">
        <v>7</v>
      </c>
      <c r="B4">
        <v>4</v>
      </c>
      <c r="C4">
        <v>8</v>
      </c>
      <c r="D4">
        <v>4</v>
      </c>
      <c r="E4">
        <f t="shared" si="0"/>
        <v>32</v>
      </c>
      <c r="F4" s="9"/>
      <c r="G4" s="4"/>
      <c r="H4" s="9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A9" s="11" t="s">
        <v>11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4</v>
      </c>
      <c r="D11">
        <v>5</v>
      </c>
      <c r="E11">
        <f>C11*D11</f>
        <v>20</v>
      </c>
      <c r="F11" s="9">
        <f>SUM(E11:E15)</f>
        <v>81</v>
      </c>
      <c r="G11" s="4">
        <f>F11/$F$25</f>
        <v>0.30916030534351147</v>
      </c>
      <c r="H11" s="9">
        <f>SUM(E11:E15)/SUM(C11:C15)</f>
        <v>3.8571428571428572</v>
      </c>
    </row>
    <row r="12" spans="1:10">
      <c r="A12" t="s">
        <v>7</v>
      </c>
      <c r="B12">
        <v>4</v>
      </c>
      <c r="C12">
        <v>10</v>
      </c>
      <c r="D12">
        <v>4</v>
      </c>
      <c r="E12">
        <f t="shared" ref="E12:E15" si="1">C12*D12</f>
        <v>40</v>
      </c>
      <c r="F12" s="9"/>
      <c r="G12" s="4"/>
      <c r="H12" s="9"/>
    </row>
    <row r="13" spans="1:10">
      <c r="A13" t="s">
        <v>8</v>
      </c>
      <c r="B13">
        <v>3</v>
      </c>
      <c r="C13">
        <v>7</v>
      </c>
      <c r="D13">
        <v>3</v>
      </c>
      <c r="E13">
        <f t="shared" si="1"/>
        <v>21</v>
      </c>
      <c r="F13" s="9"/>
      <c r="G13" s="4"/>
      <c r="H13" s="9"/>
    </row>
    <row r="14" spans="1:10">
      <c r="A14" t="s">
        <v>9</v>
      </c>
      <c r="B14">
        <v>2</v>
      </c>
      <c r="C14">
        <v>0</v>
      </c>
      <c r="D14">
        <v>2</v>
      </c>
      <c r="E14">
        <f t="shared" si="1"/>
        <v>0</v>
      </c>
      <c r="F14" s="9"/>
      <c r="G14" s="4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4"/>
      <c r="H15" s="9"/>
    </row>
    <row r="17" spans="1:10">
      <c r="A17" s="11" t="s">
        <v>12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7</v>
      </c>
      <c r="D19">
        <v>5</v>
      </c>
      <c r="E19">
        <f>C19*D19</f>
        <v>35</v>
      </c>
      <c r="F19" s="9">
        <f>SUM(E19:E23)</f>
        <v>88</v>
      </c>
      <c r="G19" s="4">
        <f>F19/$F$25</f>
        <v>0.33587786259541985</v>
      </c>
      <c r="H19" s="9">
        <f>SUM(E19:E23)/SUM(C19:C23)</f>
        <v>4.1904761904761907</v>
      </c>
    </row>
    <row r="20" spans="1:10">
      <c r="A20" t="s">
        <v>7</v>
      </c>
      <c r="B20">
        <v>4</v>
      </c>
      <c r="C20">
        <v>11</v>
      </c>
      <c r="D20">
        <v>4</v>
      </c>
      <c r="E20">
        <f t="shared" ref="E20:E23" si="2">C20*D20</f>
        <v>44</v>
      </c>
      <c r="F20" s="9"/>
      <c r="G20" s="4"/>
      <c r="H20" s="9"/>
    </row>
    <row r="21" spans="1:10">
      <c r="A21" t="s">
        <v>8</v>
      </c>
      <c r="B21">
        <v>3</v>
      </c>
      <c r="C21">
        <v>3</v>
      </c>
      <c r="D21">
        <v>3</v>
      </c>
      <c r="E21">
        <f t="shared" si="2"/>
        <v>9</v>
      </c>
      <c r="F21" s="9"/>
      <c r="G21" s="4"/>
      <c r="H21" s="9"/>
    </row>
    <row r="22" spans="1:10">
      <c r="A22" t="s">
        <v>9</v>
      </c>
      <c r="B22">
        <v>2</v>
      </c>
      <c r="C22">
        <v>0</v>
      </c>
      <c r="D22">
        <v>2</v>
      </c>
      <c r="E22">
        <f t="shared" si="2"/>
        <v>0</v>
      </c>
      <c r="F22" s="9"/>
      <c r="G22" s="4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9"/>
      <c r="G23" s="4"/>
      <c r="H23" s="9"/>
    </row>
    <row r="25" spans="1:10">
      <c r="F25">
        <f>F3+F11+F19</f>
        <v>262</v>
      </c>
      <c r="G25" s="2">
        <f>G3+G11+G19</f>
        <v>1</v>
      </c>
      <c r="H25">
        <f>(H3+H11+H19)/3</f>
        <v>4.1587301587301591</v>
      </c>
    </row>
  </sheetData>
  <mergeCells count="9">
    <mergeCell ref="A17:J17"/>
    <mergeCell ref="F19:F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EFE2-A341-4348-AE3D-81DD2978B2BB}">
  <dimension ref="A1:J25"/>
  <sheetViews>
    <sheetView workbookViewId="0">
      <selection activeCell="A11" sqref="A11:B15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9</v>
      </c>
      <c r="D3">
        <v>5</v>
      </c>
      <c r="E3">
        <f t="shared" ref="E3:E7" si="0">C3*D3</f>
        <v>45</v>
      </c>
      <c r="F3" s="9">
        <f>SUM(E3:E7)</f>
        <v>115</v>
      </c>
      <c r="G3" s="4">
        <f>F3/$F$25</f>
        <v>0.49568965517241381</v>
      </c>
      <c r="H3" s="9">
        <f>SUM(E3:E7)/SUM(C3:C7)</f>
        <v>4.2592592592592595</v>
      </c>
    </row>
    <row r="4" spans="1:10">
      <c r="A4" t="s">
        <v>7</v>
      </c>
      <c r="B4">
        <v>4</v>
      </c>
      <c r="C4">
        <v>16</v>
      </c>
      <c r="D4">
        <v>4</v>
      </c>
      <c r="E4">
        <f t="shared" si="0"/>
        <v>64</v>
      </c>
      <c r="F4" s="9"/>
      <c r="G4" s="4"/>
      <c r="H4" s="9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A9" s="11" t="s">
        <v>14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11</v>
      </c>
      <c r="D11">
        <v>5</v>
      </c>
      <c r="E11">
        <f>C11*D11</f>
        <v>55</v>
      </c>
      <c r="F11" s="9">
        <f>SUM(E11:E15)</f>
        <v>117</v>
      </c>
      <c r="G11" s="4">
        <f>F11/$F$25</f>
        <v>0.50431034482758619</v>
      </c>
      <c r="H11" s="9">
        <f>SUM(E11:E15)/SUM(C11:C15)</f>
        <v>4.333333333333333</v>
      </c>
    </row>
    <row r="12" spans="1:10">
      <c r="A12" t="s">
        <v>7</v>
      </c>
      <c r="B12">
        <v>4</v>
      </c>
      <c r="C12">
        <v>14</v>
      </c>
      <c r="D12">
        <v>4</v>
      </c>
      <c r="E12">
        <f t="shared" ref="E12:E15" si="1">C12*D12</f>
        <v>56</v>
      </c>
      <c r="F12" s="9"/>
      <c r="G12" s="4"/>
      <c r="H12" s="9"/>
    </row>
    <row r="13" spans="1:10">
      <c r="A13" t="s">
        <v>8</v>
      </c>
      <c r="B13">
        <v>3</v>
      </c>
      <c r="C13">
        <v>2</v>
      </c>
      <c r="D13">
        <v>3</v>
      </c>
      <c r="E13">
        <f t="shared" si="1"/>
        <v>6</v>
      </c>
      <c r="F13" s="9"/>
      <c r="G13" s="4"/>
      <c r="H13" s="9"/>
    </row>
    <row r="14" spans="1:10">
      <c r="A14" t="s">
        <v>9</v>
      </c>
      <c r="B14">
        <v>2</v>
      </c>
      <c r="C14">
        <v>0</v>
      </c>
      <c r="D14">
        <v>2</v>
      </c>
      <c r="E14">
        <f t="shared" si="1"/>
        <v>0</v>
      </c>
      <c r="F14" s="9"/>
      <c r="G14" s="4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4"/>
      <c r="H15" s="9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9" spans="1:10">
      <c r="F19" s="9"/>
      <c r="G19" s="12"/>
      <c r="H19" s="9"/>
    </row>
    <row r="20" spans="1:10">
      <c r="F20" s="9"/>
      <c r="G20" s="12"/>
      <c r="H20" s="9"/>
    </row>
    <row r="21" spans="1:10">
      <c r="F21" s="9"/>
      <c r="G21" s="12"/>
      <c r="H21" s="9"/>
    </row>
    <row r="22" spans="1:10">
      <c r="F22" s="9"/>
      <c r="G22" s="12"/>
      <c r="H22" s="9"/>
    </row>
    <row r="23" spans="1:10">
      <c r="F23" s="9"/>
      <c r="G23" s="12"/>
      <c r="H23" s="9"/>
    </row>
    <row r="25" spans="1:10">
      <c r="F25">
        <f>F3+F11+F19</f>
        <v>232</v>
      </c>
      <c r="G25" s="2">
        <f>G3+G11+G19</f>
        <v>1</v>
      </c>
      <c r="H25">
        <f>(H3+H11+H19)/2</f>
        <v>4.2962962962962958</v>
      </c>
      <c r="I25">
        <f>AVERAGE(H3,H11,H19)</f>
        <v>4.2962962962962958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71DD-FE2F-4651-8FB6-6356A47CE2B8}">
  <dimension ref="A1:J25"/>
  <sheetViews>
    <sheetView topLeftCell="B1" workbookViewId="0">
      <selection activeCell="O19" sqref="O19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9">
        <f>SUM(E3:E7)</f>
        <v>87</v>
      </c>
      <c r="G3" s="4">
        <f>F3/$F$25</f>
        <v>0.5</v>
      </c>
      <c r="H3" s="9">
        <f>SUM(E3:E7)/SUM(C3:C7)</f>
        <v>4.1428571428571432</v>
      </c>
    </row>
    <row r="4" spans="1:10">
      <c r="A4" t="s">
        <v>7</v>
      </c>
      <c r="B4">
        <v>4</v>
      </c>
      <c r="C4">
        <v>15</v>
      </c>
      <c r="D4">
        <v>4</v>
      </c>
      <c r="E4">
        <f t="shared" si="0"/>
        <v>60</v>
      </c>
      <c r="F4" s="9"/>
      <c r="G4" s="4"/>
      <c r="H4" s="9"/>
    </row>
    <row r="5" spans="1:10">
      <c r="A5" t="s">
        <v>8</v>
      </c>
      <c r="B5">
        <v>3</v>
      </c>
      <c r="C5">
        <v>0</v>
      </c>
      <c r="D5">
        <v>3</v>
      </c>
      <c r="E5">
        <f t="shared" si="0"/>
        <v>0</v>
      </c>
      <c r="F5" s="9"/>
      <c r="G5" s="4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A9" s="11" t="s">
        <v>14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8</v>
      </c>
      <c r="D11">
        <v>5</v>
      </c>
      <c r="E11">
        <f>C11*D11</f>
        <v>40</v>
      </c>
      <c r="F11" s="9">
        <f>SUM(E11:E15)</f>
        <v>87</v>
      </c>
      <c r="G11" s="4">
        <f>F11/$F$25</f>
        <v>0.5</v>
      </c>
      <c r="H11" s="9">
        <f>SUM(E11:E15)/SUM(C11:C15)</f>
        <v>4.1428571428571432</v>
      </c>
    </row>
    <row r="12" spans="1:10">
      <c r="A12" t="s">
        <v>7</v>
      </c>
      <c r="B12">
        <v>4</v>
      </c>
      <c r="C12">
        <v>10</v>
      </c>
      <c r="D12">
        <v>4</v>
      </c>
      <c r="E12">
        <f t="shared" ref="E12:E15" si="1">C12*D12</f>
        <v>40</v>
      </c>
      <c r="F12" s="9"/>
      <c r="G12" s="4"/>
      <c r="H12" s="9"/>
    </row>
    <row r="13" spans="1:10">
      <c r="A13" t="s">
        <v>8</v>
      </c>
      <c r="B13">
        <v>3</v>
      </c>
      <c r="C13">
        <v>1</v>
      </c>
      <c r="D13">
        <v>3</v>
      </c>
      <c r="E13">
        <f t="shared" si="1"/>
        <v>3</v>
      </c>
      <c r="F13" s="9"/>
      <c r="G13" s="4"/>
      <c r="H13" s="9"/>
    </row>
    <row r="14" spans="1:10">
      <c r="A14" t="s">
        <v>9</v>
      </c>
      <c r="B14">
        <v>2</v>
      </c>
      <c r="C14">
        <v>2</v>
      </c>
      <c r="D14">
        <v>2</v>
      </c>
      <c r="E14">
        <f t="shared" si="1"/>
        <v>4</v>
      </c>
      <c r="F14" s="9"/>
      <c r="G14" s="4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4"/>
      <c r="H15" s="9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9" spans="1:10">
      <c r="F19" s="9"/>
      <c r="G19" s="12"/>
      <c r="H19" s="9"/>
    </row>
    <row r="20" spans="1:10">
      <c r="F20" s="9"/>
      <c r="G20" s="12"/>
      <c r="H20" s="9"/>
    </row>
    <row r="21" spans="1:10">
      <c r="F21" s="9"/>
      <c r="G21" s="12"/>
      <c r="H21" s="9"/>
    </row>
    <row r="22" spans="1:10">
      <c r="F22" s="9"/>
      <c r="G22" s="12"/>
      <c r="H22" s="9"/>
    </row>
    <row r="23" spans="1:10">
      <c r="F23" s="9"/>
      <c r="G23" s="12"/>
      <c r="H23" s="9"/>
    </row>
    <row r="25" spans="1:10">
      <c r="F25">
        <f>F3+F11+F19</f>
        <v>174</v>
      </c>
      <c r="G25" s="2">
        <f>G3+G11+G19</f>
        <v>1</v>
      </c>
      <c r="H25">
        <f>AVERAGE(H3,H11,H19)</f>
        <v>4.1428571428571432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A436-233E-4870-9F31-717BBF657265}">
  <dimension ref="A1:J41"/>
  <sheetViews>
    <sheetView topLeftCell="C33" workbookViewId="0">
      <selection activeCell="S52" sqref="S5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 t="shared" ref="E3:E7" si="0">C3*D3</f>
        <v>30</v>
      </c>
      <c r="F3" s="9">
        <f>SUM(E3:E7)</f>
        <v>97</v>
      </c>
      <c r="G3" s="4">
        <f>F3/$F$41</f>
        <v>0.23261390887290168</v>
      </c>
      <c r="H3" s="9">
        <f>SUM(E3:E7)/SUM(C3:C7)</f>
        <v>3.5925925925925926</v>
      </c>
    </row>
    <row r="4" spans="1:10">
      <c r="A4" t="s">
        <v>7</v>
      </c>
      <c r="B4">
        <v>4</v>
      </c>
      <c r="C4">
        <v>7</v>
      </c>
      <c r="D4">
        <v>4</v>
      </c>
      <c r="E4">
        <f t="shared" si="0"/>
        <v>28</v>
      </c>
      <c r="F4" s="9"/>
      <c r="G4" s="4"/>
      <c r="H4" s="9"/>
    </row>
    <row r="5" spans="1:10">
      <c r="A5" t="s">
        <v>8</v>
      </c>
      <c r="B5">
        <v>3</v>
      </c>
      <c r="C5">
        <v>12</v>
      </c>
      <c r="D5">
        <v>3</v>
      </c>
      <c r="E5">
        <f t="shared" si="0"/>
        <v>36</v>
      </c>
      <c r="F5" s="9"/>
      <c r="G5" s="4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9"/>
      <c r="G6" s="4"/>
      <c r="H6" s="9"/>
    </row>
    <row r="7" spans="1:10">
      <c r="A7" t="s">
        <v>10</v>
      </c>
      <c r="B7">
        <v>1</v>
      </c>
      <c r="C7">
        <v>1</v>
      </c>
      <c r="D7">
        <v>1</v>
      </c>
      <c r="E7">
        <f t="shared" si="0"/>
        <v>1</v>
      </c>
      <c r="F7" s="9"/>
      <c r="G7" s="4"/>
      <c r="H7" s="9"/>
    </row>
    <row r="9" spans="1:10" hidden="1">
      <c r="A9" s="11" t="s">
        <v>16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hidden="1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 hidden="1">
      <c r="A11" t="s">
        <v>6</v>
      </c>
      <c r="B11">
        <v>5</v>
      </c>
      <c r="C11">
        <v>0</v>
      </c>
      <c r="D11">
        <v>5</v>
      </c>
      <c r="E11">
        <f>C11*D11</f>
        <v>0</v>
      </c>
      <c r="F11" s="9">
        <f>SUM(E11:E15)</f>
        <v>0</v>
      </c>
      <c r="G11" s="12">
        <f>F11/$F$41</f>
        <v>0</v>
      </c>
      <c r="H11" s="9" t="e">
        <f>SUM(E11:E15)/SUM(C11:C15)</f>
        <v>#DIV/0!</v>
      </c>
    </row>
    <row r="12" spans="1:10" hidden="1">
      <c r="A12" t="s">
        <v>7</v>
      </c>
      <c r="B12">
        <v>4</v>
      </c>
      <c r="C12">
        <v>0</v>
      </c>
      <c r="D12">
        <v>4</v>
      </c>
      <c r="E12">
        <f t="shared" ref="E12:E15" si="1">C12*D12</f>
        <v>0</v>
      </c>
      <c r="F12" s="9"/>
      <c r="G12" s="12"/>
      <c r="H12" s="9"/>
    </row>
    <row r="13" spans="1:10" hidden="1">
      <c r="A13" t="s">
        <v>8</v>
      </c>
      <c r="B13">
        <v>3</v>
      </c>
      <c r="C13">
        <v>0</v>
      </c>
      <c r="D13">
        <v>3</v>
      </c>
      <c r="E13">
        <f t="shared" si="1"/>
        <v>0</v>
      </c>
      <c r="F13" s="9"/>
      <c r="G13" s="12"/>
      <c r="H13" s="9"/>
    </row>
    <row r="14" spans="1:10" hidden="1">
      <c r="A14" t="s">
        <v>9</v>
      </c>
      <c r="B14">
        <v>2</v>
      </c>
      <c r="C14">
        <v>0</v>
      </c>
      <c r="D14">
        <v>2</v>
      </c>
      <c r="E14">
        <f t="shared" si="1"/>
        <v>0</v>
      </c>
      <c r="F14" s="9"/>
      <c r="G14" s="12"/>
      <c r="H14" s="9"/>
    </row>
    <row r="15" spans="1:10" hidden="1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12"/>
      <c r="H15" s="9"/>
    </row>
    <row r="17" spans="1:10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5</v>
      </c>
      <c r="D19">
        <v>5</v>
      </c>
      <c r="E19">
        <f>C19*D19</f>
        <v>25</v>
      </c>
      <c r="F19" s="9">
        <f>SUM(E19:E23)</f>
        <v>107</v>
      </c>
      <c r="G19" s="4">
        <f>F19/$F$41</f>
        <v>0.25659472422062352</v>
      </c>
      <c r="H19" s="9">
        <f>SUM(E19:E23)/SUM(C19:C23)</f>
        <v>3.9629629629629628</v>
      </c>
    </row>
    <row r="20" spans="1:10">
      <c r="A20" t="s">
        <v>7</v>
      </c>
      <c r="B20">
        <v>4</v>
      </c>
      <c r="C20">
        <v>17</v>
      </c>
      <c r="D20">
        <v>4</v>
      </c>
      <c r="E20">
        <f t="shared" ref="E20:E23" si="2">C20*D20</f>
        <v>68</v>
      </c>
      <c r="F20" s="9"/>
      <c r="G20" s="4"/>
      <c r="H20" s="9"/>
    </row>
    <row r="21" spans="1:10">
      <c r="A21" t="s">
        <v>8</v>
      </c>
      <c r="B21">
        <v>3</v>
      </c>
      <c r="C21">
        <v>4</v>
      </c>
      <c r="D21">
        <v>3</v>
      </c>
      <c r="E21">
        <f t="shared" si="2"/>
        <v>12</v>
      </c>
      <c r="F21" s="9"/>
      <c r="G21" s="4"/>
      <c r="H21" s="9"/>
    </row>
    <row r="22" spans="1:10">
      <c r="A22" t="s">
        <v>9</v>
      </c>
      <c r="B22">
        <v>2</v>
      </c>
      <c r="C22">
        <v>1</v>
      </c>
      <c r="D22">
        <v>2</v>
      </c>
      <c r="E22">
        <f t="shared" si="2"/>
        <v>2</v>
      </c>
      <c r="F22" s="9"/>
      <c r="G22" s="4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9"/>
      <c r="G23" s="4"/>
      <c r="H23" s="9"/>
    </row>
    <row r="25" spans="1:10">
      <c r="A25" s="11" t="s">
        <v>18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>
      <c r="A26" t="s">
        <v>1</v>
      </c>
      <c r="B26" t="s">
        <v>2</v>
      </c>
      <c r="C26" t="s">
        <v>3</v>
      </c>
      <c r="D26" t="s">
        <v>4</v>
      </c>
      <c r="H26" t="s">
        <v>5</v>
      </c>
    </row>
    <row r="27" spans="1:10">
      <c r="A27" t="s">
        <v>6</v>
      </c>
      <c r="B27">
        <v>5</v>
      </c>
      <c r="C27">
        <v>9</v>
      </c>
      <c r="D27">
        <v>5</v>
      </c>
      <c r="E27">
        <f>C27*D27</f>
        <v>45</v>
      </c>
      <c r="F27" s="9">
        <f>SUM(E27:E31)</f>
        <v>112</v>
      </c>
      <c r="G27" s="4">
        <f>F27/$F$41</f>
        <v>0.26858513189448441</v>
      </c>
      <c r="H27" s="9">
        <f>SUM(E27:E31)/SUM(C27:C31)</f>
        <v>4.1481481481481479</v>
      </c>
    </row>
    <row r="28" spans="1:10">
      <c r="A28" t="s">
        <v>7</v>
      </c>
      <c r="B28">
        <v>4</v>
      </c>
      <c r="C28">
        <v>13</v>
      </c>
      <c r="D28">
        <v>4</v>
      </c>
      <c r="E28">
        <f t="shared" ref="E28:E31" si="3">C28*D28</f>
        <v>52</v>
      </c>
      <c r="F28" s="9"/>
      <c r="G28" s="4"/>
      <c r="H28" s="9"/>
    </row>
    <row r="29" spans="1:10">
      <c r="A29" t="s">
        <v>8</v>
      </c>
      <c r="B29">
        <v>3</v>
      </c>
      <c r="C29">
        <v>5</v>
      </c>
      <c r="D29">
        <v>3</v>
      </c>
      <c r="E29">
        <f t="shared" si="3"/>
        <v>15</v>
      </c>
      <c r="F29" s="9"/>
      <c r="G29" s="4"/>
      <c r="H29" s="9"/>
    </row>
    <row r="30" spans="1:10">
      <c r="A30" t="s">
        <v>9</v>
      </c>
      <c r="B30">
        <v>2</v>
      </c>
      <c r="C30">
        <v>0</v>
      </c>
      <c r="D30">
        <v>2</v>
      </c>
      <c r="E30">
        <f t="shared" si="3"/>
        <v>0</v>
      </c>
      <c r="F30" s="9"/>
      <c r="G30" s="4"/>
      <c r="H30" s="9"/>
    </row>
    <row r="31" spans="1:10">
      <c r="A31" t="s">
        <v>10</v>
      </c>
      <c r="B31">
        <v>1</v>
      </c>
      <c r="C31">
        <v>0</v>
      </c>
      <c r="D31">
        <v>1</v>
      </c>
      <c r="E31">
        <f t="shared" si="3"/>
        <v>0</v>
      </c>
      <c r="F31" s="9"/>
      <c r="G31" s="4"/>
      <c r="H31" s="9"/>
    </row>
    <row r="33" spans="1:10">
      <c r="A33" s="11" t="s">
        <v>19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>
      <c r="A34" t="s">
        <v>1</v>
      </c>
      <c r="B34" t="s">
        <v>2</v>
      </c>
      <c r="C34" t="s">
        <v>3</v>
      </c>
      <c r="D34" t="s">
        <v>4</v>
      </c>
      <c r="H34" t="s">
        <v>5</v>
      </c>
    </row>
    <row r="35" spans="1:10">
      <c r="A35" t="s">
        <v>6</v>
      </c>
      <c r="B35">
        <v>5</v>
      </c>
      <c r="C35">
        <v>4</v>
      </c>
      <c r="D35">
        <v>5</v>
      </c>
      <c r="E35">
        <f>C35*D35</f>
        <v>20</v>
      </c>
      <c r="F35" s="9">
        <f>SUM(E35:E39)</f>
        <v>101</v>
      </c>
      <c r="G35" s="4">
        <f>F35/$F$41</f>
        <v>0.2422062350119904</v>
      </c>
      <c r="H35" s="9">
        <f>SUM(E35:E39)/SUM(C35:C39)</f>
        <v>3.7407407407407409</v>
      </c>
    </row>
    <row r="36" spans="1:10">
      <c r="A36" t="s">
        <v>7</v>
      </c>
      <c r="B36">
        <v>4</v>
      </c>
      <c r="C36">
        <v>13</v>
      </c>
      <c r="D36">
        <v>4</v>
      </c>
      <c r="E36">
        <f t="shared" ref="E36:E39" si="4">C36*D36</f>
        <v>52</v>
      </c>
      <c r="F36" s="9"/>
      <c r="G36" s="4"/>
      <c r="H36" s="9"/>
    </row>
    <row r="37" spans="1:10">
      <c r="A37" t="s">
        <v>8</v>
      </c>
      <c r="B37">
        <v>3</v>
      </c>
      <c r="C37">
        <v>9</v>
      </c>
      <c r="D37">
        <v>3</v>
      </c>
      <c r="E37">
        <f t="shared" si="4"/>
        <v>27</v>
      </c>
      <c r="F37" s="9"/>
      <c r="G37" s="4"/>
      <c r="H37" s="9"/>
    </row>
    <row r="38" spans="1:10">
      <c r="A38" t="s">
        <v>9</v>
      </c>
      <c r="B38">
        <v>2</v>
      </c>
      <c r="C38">
        <v>1</v>
      </c>
      <c r="D38">
        <v>2</v>
      </c>
      <c r="E38">
        <f t="shared" si="4"/>
        <v>2</v>
      </c>
      <c r="F38" s="9"/>
      <c r="G38" s="4"/>
      <c r="H38" s="9"/>
    </row>
    <row r="39" spans="1:10">
      <c r="A39" t="s">
        <v>10</v>
      </c>
      <c r="B39">
        <v>1</v>
      </c>
      <c r="C39">
        <v>0</v>
      </c>
      <c r="D39">
        <v>1</v>
      </c>
      <c r="E39">
        <f t="shared" si="4"/>
        <v>0</v>
      </c>
      <c r="F39" s="9"/>
      <c r="G39" s="4"/>
      <c r="H39" s="9"/>
    </row>
    <row r="41" spans="1:10">
      <c r="F41">
        <f>F3+F11+F19+F27+F35</f>
        <v>417</v>
      </c>
      <c r="G41" s="2">
        <f>G3+G11+G19+G27+G35</f>
        <v>1</v>
      </c>
      <c r="H41">
        <f>AVERAGE(H3,H19,H27,H35)</f>
        <v>3.8611111111111107</v>
      </c>
    </row>
  </sheetData>
  <mergeCells count="16">
    <mergeCell ref="A33:J33"/>
    <mergeCell ref="F35:F39"/>
    <mergeCell ref="H35:H39"/>
    <mergeCell ref="A17:J17"/>
    <mergeCell ref="F19:F23"/>
    <mergeCell ref="H19:H23"/>
    <mergeCell ref="A25:J25"/>
    <mergeCell ref="F27:F31"/>
    <mergeCell ref="H27:H31"/>
    <mergeCell ref="A1:J1"/>
    <mergeCell ref="F3:F7"/>
    <mergeCell ref="H3:H7"/>
    <mergeCell ref="A9:J9"/>
    <mergeCell ref="F11:F15"/>
    <mergeCell ref="G11:G15"/>
    <mergeCell ref="H11:H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9A78-B922-40B3-B263-54E1E6183471}">
  <dimension ref="A1:J41"/>
  <sheetViews>
    <sheetView topLeftCell="A28" workbookViewId="0">
      <selection activeCell="H53" sqref="H53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7</v>
      </c>
      <c r="D3">
        <v>5</v>
      </c>
      <c r="E3">
        <f t="shared" ref="E3:E7" si="0">C3*D3</f>
        <v>35</v>
      </c>
      <c r="F3" s="9">
        <f>SUM(E3:E7)</f>
        <v>86</v>
      </c>
      <c r="G3" s="4">
        <f>F3/$F$41</f>
        <v>0.25595238095238093</v>
      </c>
      <c r="H3" s="9">
        <f>SUM(E3:E7)/SUM(C3:C7)</f>
        <v>4.0952380952380949</v>
      </c>
    </row>
    <row r="4" spans="1:10">
      <c r="A4" t="s">
        <v>7</v>
      </c>
      <c r="B4">
        <v>4</v>
      </c>
      <c r="C4">
        <v>9</v>
      </c>
      <c r="D4">
        <v>4</v>
      </c>
      <c r="E4">
        <f t="shared" si="0"/>
        <v>36</v>
      </c>
      <c r="F4" s="9"/>
      <c r="G4" s="4"/>
      <c r="H4" s="9"/>
    </row>
    <row r="5" spans="1:10">
      <c r="A5" t="s">
        <v>8</v>
      </c>
      <c r="B5">
        <v>3</v>
      </c>
      <c r="C5">
        <v>5</v>
      </c>
      <c r="D5">
        <v>3</v>
      </c>
      <c r="E5">
        <f t="shared" si="0"/>
        <v>15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 hidden="1">
      <c r="A9" s="11" t="s">
        <v>16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hidden="1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 hidden="1">
      <c r="A11" t="s">
        <v>6</v>
      </c>
      <c r="B11">
        <v>5</v>
      </c>
      <c r="C11">
        <v>0</v>
      </c>
      <c r="D11">
        <v>5</v>
      </c>
      <c r="E11">
        <f>C11*D11</f>
        <v>0</v>
      </c>
      <c r="F11" s="9">
        <f>SUM(E11:E15)</f>
        <v>0</v>
      </c>
      <c r="G11" s="12">
        <f>F11/$F$41</f>
        <v>0</v>
      </c>
      <c r="H11" s="9" t="e">
        <f>SUM(E11:E15)/SUM(C11:C15)</f>
        <v>#DIV/0!</v>
      </c>
    </row>
    <row r="12" spans="1:10" hidden="1">
      <c r="A12" t="s">
        <v>7</v>
      </c>
      <c r="B12">
        <v>4</v>
      </c>
      <c r="C12">
        <v>0</v>
      </c>
      <c r="D12">
        <v>4</v>
      </c>
      <c r="E12">
        <f t="shared" ref="E12:E15" si="1">C12*D12</f>
        <v>0</v>
      </c>
      <c r="F12" s="9"/>
      <c r="G12" s="12"/>
      <c r="H12" s="9"/>
    </row>
    <row r="13" spans="1:10" hidden="1">
      <c r="A13" t="s">
        <v>8</v>
      </c>
      <c r="B13">
        <v>3</v>
      </c>
      <c r="C13">
        <v>0</v>
      </c>
      <c r="D13">
        <v>3</v>
      </c>
      <c r="E13">
        <f t="shared" si="1"/>
        <v>0</v>
      </c>
      <c r="F13" s="9"/>
      <c r="G13" s="12"/>
      <c r="H13" s="9"/>
    </row>
    <row r="14" spans="1:10" hidden="1">
      <c r="A14" t="s">
        <v>9</v>
      </c>
      <c r="B14">
        <v>2</v>
      </c>
      <c r="C14">
        <v>0</v>
      </c>
      <c r="D14">
        <v>2</v>
      </c>
      <c r="E14">
        <f t="shared" si="1"/>
        <v>0</v>
      </c>
      <c r="F14" s="9"/>
      <c r="G14" s="12"/>
      <c r="H14" s="9"/>
    </row>
    <row r="15" spans="1:10" hidden="1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12"/>
      <c r="H15" s="9"/>
    </row>
    <row r="17" spans="1:10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3</v>
      </c>
      <c r="D19">
        <v>5</v>
      </c>
      <c r="E19">
        <f>C19*D19</f>
        <v>15</v>
      </c>
      <c r="F19" s="9">
        <f>SUM(E19:E23)</f>
        <v>85</v>
      </c>
      <c r="G19" s="4">
        <f>F19/$F$41</f>
        <v>0.25297619047619047</v>
      </c>
      <c r="H19" s="9">
        <f>SUM(E19:E23)/SUM(C19:C23)</f>
        <v>4.0476190476190474</v>
      </c>
    </row>
    <row r="20" spans="1:10">
      <c r="A20" t="s">
        <v>7</v>
      </c>
      <c r="B20">
        <v>4</v>
      </c>
      <c r="C20">
        <v>16</v>
      </c>
      <c r="D20">
        <v>4</v>
      </c>
      <c r="E20">
        <f t="shared" ref="E20:E23" si="2">C20*D20</f>
        <v>64</v>
      </c>
      <c r="F20" s="9"/>
      <c r="G20" s="4"/>
      <c r="H20" s="9"/>
    </row>
    <row r="21" spans="1:10">
      <c r="A21" t="s">
        <v>8</v>
      </c>
      <c r="B21">
        <v>3</v>
      </c>
      <c r="C21">
        <v>2</v>
      </c>
      <c r="D21">
        <v>3</v>
      </c>
      <c r="E21">
        <f t="shared" si="2"/>
        <v>6</v>
      </c>
      <c r="F21" s="9"/>
      <c r="G21" s="4"/>
      <c r="H21" s="9"/>
    </row>
    <row r="22" spans="1:10">
      <c r="A22" t="s">
        <v>9</v>
      </c>
      <c r="B22">
        <v>2</v>
      </c>
      <c r="C22">
        <v>0</v>
      </c>
      <c r="D22">
        <v>2</v>
      </c>
      <c r="E22">
        <f t="shared" si="2"/>
        <v>0</v>
      </c>
      <c r="F22" s="9"/>
      <c r="G22" s="4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9"/>
      <c r="G23" s="4"/>
      <c r="H23" s="9"/>
    </row>
    <row r="25" spans="1:10">
      <c r="A25" s="11" t="s">
        <v>18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>
      <c r="A26" t="s">
        <v>1</v>
      </c>
      <c r="B26" t="s">
        <v>2</v>
      </c>
      <c r="C26" t="s">
        <v>3</v>
      </c>
      <c r="D26" t="s">
        <v>4</v>
      </c>
      <c r="H26" t="s">
        <v>5</v>
      </c>
    </row>
    <row r="27" spans="1:10">
      <c r="A27" t="s">
        <v>6</v>
      </c>
      <c r="B27">
        <v>5</v>
      </c>
      <c r="C27">
        <v>2</v>
      </c>
      <c r="D27">
        <v>5</v>
      </c>
      <c r="E27">
        <f>C27*D27</f>
        <v>10</v>
      </c>
      <c r="F27" s="9">
        <f>SUM(E27:E31)</f>
        <v>84</v>
      </c>
      <c r="G27" s="4">
        <f>F27/$F$41</f>
        <v>0.25</v>
      </c>
      <c r="H27" s="9">
        <f>SUM(E27:E31)/SUM(C27:C31)</f>
        <v>4</v>
      </c>
    </row>
    <row r="28" spans="1:10">
      <c r="A28" t="s">
        <v>7</v>
      </c>
      <c r="B28">
        <v>4</v>
      </c>
      <c r="C28">
        <v>17</v>
      </c>
      <c r="D28">
        <v>4</v>
      </c>
      <c r="E28">
        <f t="shared" ref="E28:E31" si="3">C28*D28</f>
        <v>68</v>
      </c>
      <c r="F28" s="9"/>
      <c r="G28" s="4"/>
      <c r="H28" s="9"/>
    </row>
    <row r="29" spans="1:10">
      <c r="A29" t="s">
        <v>8</v>
      </c>
      <c r="B29">
        <v>3</v>
      </c>
      <c r="C29">
        <v>2</v>
      </c>
      <c r="D29">
        <v>3</v>
      </c>
      <c r="E29">
        <f t="shared" si="3"/>
        <v>6</v>
      </c>
      <c r="F29" s="9"/>
      <c r="G29" s="4"/>
      <c r="H29" s="9"/>
    </row>
    <row r="30" spans="1:10">
      <c r="A30" t="s">
        <v>9</v>
      </c>
      <c r="B30">
        <v>2</v>
      </c>
      <c r="C30">
        <v>0</v>
      </c>
      <c r="D30">
        <v>2</v>
      </c>
      <c r="E30">
        <f t="shared" si="3"/>
        <v>0</v>
      </c>
      <c r="F30" s="9"/>
      <c r="G30" s="4"/>
      <c r="H30" s="9"/>
    </row>
    <row r="31" spans="1:10">
      <c r="A31" t="s">
        <v>10</v>
      </c>
      <c r="B31">
        <v>1</v>
      </c>
      <c r="C31">
        <v>0</v>
      </c>
      <c r="D31">
        <v>1</v>
      </c>
      <c r="E31">
        <f t="shared" si="3"/>
        <v>0</v>
      </c>
      <c r="F31" s="9"/>
      <c r="G31" s="4"/>
      <c r="H31" s="9"/>
    </row>
    <row r="33" spans="1:10">
      <c r="A33" s="11" t="s">
        <v>19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>
      <c r="A34" t="s">
        <v>1</v>
      </c>
      <c r="B34" t="s">
        <v>2</v>
      </c>
      <c r="C34" t="s">
        <v>3</v>
      </c>
      <c r="D34" t="s">
        <v>4</v>
      </c>
      <c r="H34" t="s">
        <v>5</v>
      </c>
    </row>
    <row r="35" spans="1:10">
      <c r="A35" t="s">
        <v>6</v>
      </c>
      <c r="B35">
        <v>5</v>
      </c>
      <c r="C35">
        <v>2</v>
      </c>
      <c r="D35">
        <v>5</v>
      </c>
      <c r="E35">
        <f>C35*D35</f>
        <v>10</v>
      </c>
      <c r="F35" s="9">
        <f>SUM(E35:E39)</f>
        <v>81</v>
      </c>
      <c r="G35" s="4">
        <f>F35/$F$41</f>
        <v>0.24107142857142858</v>
      </c>
      <c r="H35" s="9">
        <f>SUM(E35:E39)/SUM(C35:C39)</f>
        <v>3.8571428571428572</v>
      </c>
    </row>
    <row r="36" spans="1:10">
      <c r="A36" t="s">
        <v>7</v>
      </c>
      <c r="B36">
        <v>4</v>
      </c>
      <c r="C36">
        <v>14</v>
      </c>
      <c r="D36">
        <v>4</v>
      </c>
      <c r="E36">
        <f t="shared" ref="E36:E39" si="4">C36*D36</f>
        <v>56</v>
      </c>
      <c r="F36" s="9"/>
      <c r="G36" s="4"/>
      <c r="H36" s="9"/>
    </row>
    <row r="37" spans="1:10">
      <c r="A37" t="s">
        <v>8</v>
      </c>
      <c r="B37">
        <v>3</v>
      </c>
      <c r="C37">
        <v>5</v>
      </c>
      <c r="D37">
        <v>3</v>
      </c>
      <c r="E37">
        <f t="shared" si="4"/>
        <v>15</v>
      </c>
      <c r="F37" s="9"/>
      <c r="G37" s="4"/>
      <c r="H37" s="9"/>
    </row>
    <row r="38" spans="1:10">
      <c r="A38" t="s">
        <v>9</v>
      </c>
      <c r="B38">
        <v>2</v>
      </c>
      <c r="C38">
        <v>0</v>
      </c>
      <c r="D38">
        <v>2</v>
      </c>
      <c r="E38">
        <f t="shared" si="4"/>
        <v>0</v>
      </c>
      <c r="F38" s="9"/>
      <c r="G38" s="4"/>
      <c r="H38" s="9"/>
    </row>
    <row r="39" spans="1:10">
      <c r="A39" t="s">
        <v>10</v>
      </c>
      <c r="B39">
        <v>1</v>
      </c>
      <c r="C39">
        <v>0</v>
      </c>
      <c r="D39">
        <v>1</v>
      </c>
      <c r="E39">
        <f t="shared" si="4"/>
        <v>0</v>
      </c>
      <c r="F39" s="9"/>
      <c r="G39" s="4"/>
      <c r="H39" s="9"/>
    </row>
    <row r="41" spans="1:10">
      <c r="F41">
        <f>F3+F11+F19+F27+F35</f>
        <v>336</v>
      </c>
      <c r="G41" s="2">
        <f>G3+G11+G19+G27+G35</f>
        <v>1</v>
      </c>
      <c r="H41">
        <f>AVERAGE(H3,H19,H27,H35)</f>
        <v>4</v>
      </c>
    </row>
  </sheetData>
  <mergeCells count="16">
    <mergeCell ref="A33:J33"/>
    <mergeCell ref="F35:F39"/>
    <mergeCell ref="H35:H39"/>
    <mergeCell ref="A17:J17"/>
    <mergeCell ref="F19:F23"/>
    <mergeCell ref="H19:H23"/>
    <mergeCell ref="A25:J25"/>
    <mergeCell ref="F27:F31"/>
    <mergeCell ref="H27:H31"/>
    <mergeCell ref="A1:J1"/>
    <mergeCell ref="F3:F7"/>
    <mergeCell ref="H3:H7"/>
    <mergeCell ref="A9:J9"/>
    <mergeCell ref="F11:F15"/>
    <mergeCell ref="G11:G15"/>
    <mergeCell ref="H11:H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EC16-CBA0-4F23-BE2B-5F44B1CEA984}">
  <dimension ref="A1:J9"/>
  <sheetViews>
    <sheetView workbookViewId="0">
      <selection activeCell="A3" sqref="A3:B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 t="shared" ref="E3:E7" si="0">C3*D3</f>
        <v>30</v>
      </c>
      <c r="F3" s="9">
        <f>SUM(E3:E7)</f>
        <v>109</v>
      </c>
      <c r="G3" s="4">
        <f>F3/$F$9</f>
        <v>1</v>
      </c>
      <c r="H3" s="9">
        <f>SUM(E3:E7)/SUM(C3:C7)</f>
        <v>4.0370370370370372</v>
      </c>
    </row>
    <row r="4" spans="1:10">
      <c r="A4" t="s">
        <v>7</v>
      </c>
      <c r="B4">
        <v>4</v>
      </c>
      <c r="C4">
        <v>16</v>
      </c>
      <c r="D4">
        <v>4</v>
      </c>
      <c r="E4">
        <f t="shared" si="0"/>
        <v>64</v>
      </c>
      <c r="F4" s="9"/>
      <c r="G4" s="4"/>
      <c r="H4" s="9"/>
    </row>
    <row r="5" spans="1:10">
      <c r="A5" t="s">
        <v>8</v>
      </c>
      <c r="B5">
        <v>3</v>
      </c>
      <c r="C5">
        <v>5</v>
      </c>
      <c r="D5">
        <v>3</v>
      </c>
      <c r="E5">
        <f t="shared" si="0"/>
        <v>15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109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C20-5159-4EF7-85EB-D66EBE96E627}">
  <dimension ref="A1:J9"/>
  <sheetViews>
    <sheetView workbookViewId="0">
      <selection activeCell="C6" sqref="C6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9">
        <f>SUM(E3:E7)</f>
        <v>82</v>
      </c>
      <c r="G3" s="4">
        <f>F3/$F$9</f>
        <v>1</v>
      </c>
      <c r="H3" s="9">
        <f>SUM(E3:E7)/SUM(C3:C7)</f>
        <v>3.9047619047619047</v>
      </c>
    </row>
    <row r="4" spans="1:10">
      <c r="A4" t="s">
        <v>7</v>
      </c>
      <c r="B4">
        <v>4</v>
      </c>
      <c r="C4">
        <v>9</v>
      </c>
      <c r="D4">
        <v>4</v>
      </c>
      <c r="E4">
        <f t="shared" si="0"/>
        <v>36</v>
      </c>
      <c r="F4" s="9"/>
      <c r="G4" s="4"/>
      <c r="H4" s="9"/>
    </row>
    <row r="5" spans="1:10">
      <c r="A5" t="s">
        <v>8</v>
      </c>
      <c r="B5">
        <v>3</v>
      </c>
      <c r="C5">
        <v>7</v>
      </c>
      <c r="D5">
        <v>3</v>
      </c>
      <c r="E5">
        <f t="shared" si="0"/>
        <v>21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82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AE65-1A0E-44FC-8323-492B70C1E98A}">
  <dimension ref="A1:J9"/>
  <sheetViews>
    <sheetView topLeftCell="B1" workbookViewId="0">
      <selection activeCell="O14" sqref="O14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 t="shared" ref="E3:E7" si="0">C3*D3</f>
        <v>10</v>
      </c>
      <c r="F3" s="9">
        <f>SUM(E3:E7)</f>
        <v>90</v>
      </c>
      <c r="G3" s="4">
        <f>F3/$F$9</f>
        <v>1</v>
      </c>
      <c r="H3" s="9">
        <f>SUM(E3:E7)/SUM(C3:C7)</f>
        <v>3.3333333333333335</v>
      </c>
    </row>
    <row r="4" spans="1:10">
      <c r="A4" t="s">
        <v>7</v>
      </c>
      <c r="B4">
        <v>4</v>
      </c>
      <c r="C4">
        <v>5</v>
      </c>
      <c r="D4">
        <v>4</v>
      </c>
      <c r="E4">
        <f t="shared" si="0"/>
        <v>20</v>
      </c>
      <c r="F4" s="9"/>
      <c r="G4" s="4"/>
      <c r="H4" s="9"/>
    </row>
    <row r="5" spans="1:10">
      <c r="A5" t="s">
        <v>8</v>
      </c>
      <c r="B5">
        <v>3</v>
      </c>
      <c r="C5">
        <v>20</v>
      </c>
      <c r="D5">
        <v>3</v>
      </c>
      <c r="E5">
        <f t="shared" si="0"/>
        <v>60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90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2667-F212-45A4-A314-BF934AEAF826}">
  <dimension ref="A1:J9"/>
  <sheetViews>
    <sheetView topLeftCell="C1" workbookViewId="0">
      <selection activeCell="Q12" sqref="Q1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9">
        <f>SUM(E3:E7)</f>
        <v>77</v>
      </c>
      <c r="G3" s="4">
        <f>F3/$F$9</f>
        <v>1</v>
      </c>
      <c r="H3" s="9">
        <f>SUM(E3:E7)/SUM(C3:C7)</f>
        <v>3.6666666666666665</v>
      </c>
    </row>
    <row r="4" spans="1:10">
      <c r="A4" t="s">
        <v>7</v>
      </c>
      <c r="B4">
        <v>4</v>
      </c>
      <c r="C4">
        <v>4</v>
      </c>
      <c r="D4">
        <v>4</v>
      </c>
      <c r="E4">
        <f t="shared" si="0"/>
        <v>16</v>
      </c>
      <c r="F4" s="9"/>
      <c r="G4" s="4"/>
      <c r="H4" s="9"/>
    </row>
    <row r="5" spans="1:10">
      <c r="A5" t="s">
        <v>8</v>
      </c>
      <c r="B5">
        <v>3</v>
      </c>
      <c r="C5">
        <v>12</v>
      </c>
      <c r="D5">
        <v>3</v>
      </c>
      <c r="E5">
        <f t="shared" si="0"/>
        <v>36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77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8638-2792-4598-AFFB-09B43A1070DA}">
  <dimension ref="A1:J9"/>
  <sheetViews>
    <sheetView topLeftCell="B1" workbookViewId="0">
      <selection activeCell="C13" sqref="C13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10</v>
      </c>
      <c r="D3">
        <v>5</v>
      </c>
      <c r="E3">
        <f t="shared" ref="E3:E7" si="0">C3*D3</f>
        <v>50</v>
      </c>
      <c r="F3" s="9">
        <f>SUM(E3:E7)</f>
        <v>115</v>
      </c>
      <c r="G3" s="4">
        <f>F3/$F$9</f>
        <v>1</v>
      </c>
      <c r="H3" s="9">
        <f>SUM(E3:E7)/SUM(C3:C7)</f>
        <v>4.2592592592592595</v>
      </c>
    </row>
    <row r="4" spans="1:10">
      <c r="A4" t="s">
        <v>7</v>
      </c>
      <c r="B4">
        <v>4</v>
      </c>
      <c r="C4">
        <v>15</v>
      </c>
      <c r="D4">
        <v>4</v>
      </c>
      <c r="E4">
        <f t="shared" si="0"/>
        <v>60</v>
      </c>
      <c r="F4" s="9"/>
      <c r="G4" s="4"/>
      <c r="H4" s="9"/>
    </row>
    <row r="5" spans="1:10">
      <c r="A5" t="s">
        <v>8</v>
      </c>
      <c r="B5">
        <v>3</v>
      </c>
      <c r="C5">
        <v>1</v>
      </c>
      <c r="D5">
        <v>3</v>
      </c>
      <c r="E5">
        <f t="shared" si="0"/>
        <v>3</v>
      </c>
      <c r="F5" s="9"/>
      <c r="G5" s="4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115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8CC9-09DC-42D5-B43B-530F8144810B}">
  <dimension ref="A1:J9"/>
  <sheetViews>
    <sheetView topLeftCell="A4" workbookViewId="0">
      <selection activeCell="A6" sqref="A6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7</v>
      </c>
      <c r="D3">
        <v>5</v>
      </c>
      <c r="E3">
        <f t="shared" ref="E3:E7" si="0">C3*D3</f>
        <v>35</v>
      </c>
      <c r="F3" s="9">
        <f>SUM(E3:E7)</f>
        <v>90</v>
      </c>
      <c r="G3" s="4">
        <f>F3/$F$9</f>
        <v>1</v>
      </c>
      <c r="H3" s="9">
        <f>SUM(E3:E7)/SUM(C3:C7)</f>
        <v>4.2857142857142856</v>
      </c>
    </row>
    <row r="4" spans="1:10">
      <c r="A4" t="s">
        <v>7</v>
      </c>
      <c r="B4">
        <v>4</v>
      </c>
      <c r="C4">
        <v>13</v>
      </c>
      <c r="D4">
        <v>4</v>
      </c>
      <c r="E4">
        <f t="shared" si="0"/>
        <v>52</v>
      </c>
      <c r="F4" s="9"/>
      <c r="G4" s="4"/>
      <c r="H4" s="9"/>
    </row>
    <row r="5" spans="1:10">
      <c r="A5" t="s">
        <v>8</v>
      </c>
      <c r="B5">
        <v>3</v>
      </c>
      <c r="C5">
        <v>1</v>
      </c>
      <c r="D5">
        <v>3</v>
      </c>
      <c r="E5">
        <f t="shared" si="0"/>
        <v>3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90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6D6F-CBFF-4D06-A3FC-23F9B24BD24B}">
  <dimension ref="A1:J9"/>
  <sheetViews>
    <sheetView topLeftCell="A4" workbookViewId="0">
      <selection activeCell="I19" sqref="I19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4</v>
      </c>
      <c r="D3">
        <v>5</v>
      </c>
      <c r="E3">
        <f t="shared" ref="E3:E7" si="0">C3*D3</f>
        <v>20</v>
      </c>
      <c r="F3" s="9">
        <f>SUM(E3:E7)</f>
        <v>102</v>
      </c>
      <c r="G3" s="4">
        <f>F3/$F$9</f>
        <v>1</v>
      </c>
      <c r="H3" s="9">
        <f>SUM(E3:E7)/SUM(C3:C7)</f>
        <v>3.7777777777777777</v>
      </c>
    </row>
    <row r="4" spans="1:10">
      <c r="A4" t="s">
        <v>7</v>
      </c>
      <c r="B4">
        <v>4</v>
      </c>
      <c r="C4">
        <v>14</v>
      </c>
      <c r="D4">
        <v>4</v>
      </c>
      <c r="E4">
        <f t="shared" si="0"/>
        <v>56</v>
      </c>
      <c r="F4" s="9"/>
      <c r="G4" s="4"/>
      <c r="H4" s="9"/>
    </row>
    <row r="5" spans="1:10">
      <c r="A5" t="s">
        <v>8</v>
      </c>
      <c r="B5">
        <v>3</v>
      </c>
      <c r="C5">
        <v>8</v>
      </c>
      <c r="D5">
        <v>3</v>
      </c>
      <c r="E5">
        <f t="shared" si="0"/>
        <v>24</v>
      </c>
      <c r="F5" s="9"/>
      <c r="G5" s="4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102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DD11-D6B6-4C5F-A8A6-E5AAB23330E4}">
  <dimension ref="A1:J9"/>
  <sheetViews>
    <sheetView workbookViewId="0">
      <selection activeCell="A7" sqref="A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 t="shared" ref="E3:E7" si="0">C3*D3</f>
        <v>10</v>
      </c>
      <c r="F3" s="9">
        <f>SUM(E3:E7)</f>
        <v>74</v>
      </c>
      <c r="G3" s="4">
        <f>F3/$F$9</f>
        <v>1</v>
      </c>
      <c r="H3" s="9">
        <f>SUM(E3:E7)/SUM(C3:C7)</f>
        <v>3.5238095238095237</v>
      </c>
    </row>
    <row r="4" spans="1:10">
      <c r="A4" t="s">
        <v>7</v>
      </c>
      <c r="B4">
        <v>4</v>
      </c>
      <c r="C4">
        <v>9</v>
      </c>
      <c r="D4">
        <v>4</v>
      </c>
      <c r="E4">
        <f t="shared" si="0"/>
        <v>36</v>
      </c>
      <c r="F4" s="9"/>
      <c r="G4" s="4"/>
      <c r="H4" s="9"/>
    </row>
    <row r="5" spans="1:10">
      <c r="A5" t="s">
        <v>8</v>
      </c>
      <c r="B5">
        <v>3</v>
      </c>
      <c r="C5">
        <v>8</v>
      </c>
      <c r="D5">
        <v>3</v>
      </c>
      <c r="E5">
        <f t="shared" si="0"/>
        <v>24</v>
      </c>
      <c r="F5" s="9"/>
      <c r="G5" s="4"/>
      <c r="H5" s="9"/>
    </row>
    <row r="6" spans="1:10">
      <c r="A6" t="s">
        <v>9</v>
      </c>
      <c r="B6">
        <v>2</v>
      </c>
      <c r="C6">
        <v>2</v>
      </c>
      <c r="D6">
        <v>2</v>
      </c>
      <c r="E6">
        <f t="shared" si="0"/>
        <v>4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74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95EF3-AA51-449E-9DAA-6119C3D73B94}">
  <dimension ref="A1:J25"/>
  <sheetViews>
    <sheetView topLeftCell="E4" workbookViewId="0">
      <selection activeCell="R33" sqref="R33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 t="shared" ref="E3:E7" si="0">C3*D3</f>
        <v>30</v>
      </c>
      <c r="F3" s="9">
        <f>SUM(E3:E7)</f>
        <v>106</v>
      </c>
      <c r="G3" s="4">
        <f>F3/$F$25</f>
        <v>0.48401826484018262</v>
      </c>
      <c r="H3" s="9">
        <f>SUM(E3:E7)/SUM(C3:C7)</f>
        <v>3.925925925925926</v>
      </c>
    </row>
    <row r="4" spans="1:10">
      <c r="A4" t="s">
        <v>7</v>
      </c>
      <c r="B4">
        <v>4</v>
      </c>
      <c r="C4">
        <v>15</v>
      </c>
      <c r="D4">
        <v>4</v>
      </c>
      <c r="E4">
        <f t="shared" si="0"/>
        <v>60</v>
      </c>
      <c r="F4" s="9"/>
      <c r="G4" s="4"/>
      <c r="H4" s="9"/>
    </row>
    <row r="5" spans="1:10">
      <c r="A5" t="s">
        <v>8</v>
      </c>
      <c r="B5">
        <v>3</v>
      </c>
      <c r="C5">
        <v>4</v>
      </c>
      <c r="D5">
        <v>3</v>
      </c>
      <c r="E5">
        <f t="shared" si="0"/>
        <v>12</v>
      </c>
      <c r="F5" s="9"/>
      <c r="G5" s="4"/>
      <c r="H5" s="9"/>
    </row>
    <row r="6" spans="1:10">
      <c r="A6" t="s">
        <v>9</v>
      </c>
      <c r="B6">
        <v>2</v>
      </c>
      <c r="C6">
        <v>2</v>
      </c>
      <c r="D6">
        <v>2</v>
      </c>
      <c r="E6">
        <f t="shared" si="0"/>
        <v>4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A9" s="11" t="s">
        <v>25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9</v>
      </c>
      <c r="D11">
        <v>5</v>
      </c>
      <c r="E11">
        <f>C11*D11</f>
        <v>45</v>
      </c>
      <c r="F11" s="9">
        <f>SUM(E11:E15)</f>
        <v>113</v>
      </c>
      <c r="G11" s="4">
        <f>F11/$F$25</f>
        <v>0.51598173515981738</v>
      </c>
      <c r="H11" s="9">
        <f>SUM(E11:E15)/SUM(C11:C15)</f>
        <v>4.1851851851851851</v>
      </c>
    </row>
    <row r="12" spans="1:10">
      <c r="A12" t="s">
        <v>7</v>
      </c>
      <c r="B12">
        <v>4</v>
      </c>
      <c r="C12">
        <v>14</v>
      </c>
      <c r="D12">
        <v>4</v>
      </c>
      <c r="E12">
        <f t="shared" ref="E12:E15" si="1">C12*D12</f>
        <v>56</v>
      </c>
      <c r="F12" s="9"/>
      <c r="G12" s="4"/>
      <c r="H12" s="9"/>
    </row>
    <row r="13" spans="1:10">
      <c r="A13" t="s">
        <v>8</v>
      </c>
      <c r="B13">
        <v>3</v>
      </c>
      <c r="C13">
        <v>4</v>
      </c>
      <c r="D13">
        <v>3</v>
      </c>
      <c r="E13">
        <f t="shared" si="1"/>
        <v>12</v>
      </c>
      <c r="F13" s="9"/>
      <c r="G13" s="4"/>
      <c r="H13" s="9"/>
    </row>
    <row r="14" spans="1:10">
      <c r="A14" t="s">
        <v>9</v>
      </c>
      <c r="B14">
        <v>2</v>
      </c>
      <c r="C14">
        <v>0</v>
      </c>
      <c r="D14">
        <v>2</v>
      </c>
      <c r="E14">
        <f t="shared" si="1"/>
        <v>0</v>
      </c>
      <c r="F14" s="9"/>
      <c r="G14" s="4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4"/>
      <c r="H15" s="9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9" spans="1:10">
      <c r="F19" s="9"/>
      <c r="G19" s="12"/>
      <c r="H19" s="9"/>
    </row>
    <row r="20" spans="1:10">
      <c r="F20" s="9"/>
      <c r="G20" s="12"/>
      <c r="H20" s="9"/>
    </row>
    <row r="21" spans="1:10">
      <c r="F21" s="9"/>
      <c r="G21" s="12"/>
      <c r="H21" s="9"/>
    </row>
    <row r="22" spans="1:10">
      <c r="F22" s="9"/>
      <c r="G22" s="12"/>
      <c r="H22" s="9"/>
    </row>
    <row r="23" spans="1:10">
      <c r="F23" s="9"/>
      <c r="G23" s="12"/>
      <c r="H23" s="9"/>
    </row>
    <row r="25" spans="1:10">
      <c r="F25">
        <f>F3+F11+F19</f>
        <v>219</v>
      </c>
      <c r="G25" s="2">
        <f>G3+G11+G19</f>
        <v>1</v>
      </c>
      <c r="H25">
        <f>(H3+H11+H19)/2</f>
        <v>4.0555555555555554</v>
      </c>
      <c r="I25">
        <f>AVERAGE(H3,H11,H19)</f>
        <v>4.0555555555555554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B1EC-678C-4EA3-BDCA-8D9A40D92885}">
  <dimension ref="A1:J25"/>
  <sheetViews>
    <sheetView topLeftCell="A7" workbookViewId="0">
      <selection activeCell="A9" sqref="A9:J9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 t="shared" ref="E3:E7" si="0">C3*D3</f>
        <v>30</v>
      </c>
      <c r="F3" s="9">
        <f>SUM(E3:E7)</f>
        <v>85</v>
      </c>
      <c r="G3" s="4">
        <f>F3/$F$25</f>
        <v>0.5</v>
      </c>
      <c r="H3" s="9">
        <f>SUM(E3:E7)/SUM(C3:C7)</f>
        <v>4.0476190476190474</v>
      </c>
    </row>
    <row r="4" spans="1:10">
      <c r="A4" t="s">
        <v>7</v>
      </c>
      <c r="B4">
        <v>4</v>
      </c>
      <c r="C4">
        <v>10</v>
      </c>
      <c r="D4">
        <v>4</v>
      </c>
      <c r="E4">
        <f t="shared" si="0"/>
        <v>40</v>
      </c>
      <c r="F4" s="9"/>
      <c r="G4" s="4"/>
      <c r="H4" s="9"/>
    </row>
    <row r="5" spans="1:10">
      <c r="A5" t="s">
        <v>8</v>
      </c>
      <c r="B5">
        <v>3</v>
      </c>
      <c r="C5">
        <v>5</v>
      </c>
      <c r="D5">
        <v>3</v>
      </c>
      <c r="E5">
        <f t="shared" si="0"/>
        <v>15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A9" s="11" t="s">
        <v>25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6</v>
      </c>
      <c r="D11">
        <v>5</v>
      </c>
      <c r="E11">
        <f>C11*D11</f>
        <v>30</v>
      </c>
      <c r="F11" s="9">
        <f>SUM(E11:E15)</f>
        <v>85</v>
      </c>
      <c r="G11" s="4">
        <f>F11/$F$25</f>
        <v>0.5</v>
      </c>
      <c r="H11" s="9">
        <f>SUM(E11:E15)/SUM(C11:C15)</f>
        <v>4.0476190476190474</v>
      </c>
    </row>
    <row r="12" spans="1:10">
      <c r="A12" t="s">
        <v>7</v>
      </c>
      <c r="B12">
        <v>4</v>
      </c>
      <c r="C12">
        <v>11</v>
      </c>
      <c r="D12">
        <v>4</v>
      </c>
      <c r="E12">
        <f t="shared" ref="E12:E15" si="1">C12*D12</f>
        <v>44</v>
      </c>
      <c r="F12" s="9"/>
      <c r="G12" s="4"/>
      <c r="H12" s="9"/>
    </row>
    <row r="13" spans="1:10">
      <c r="A13" t="s">
        <v>8</v>
      </c>
      <c r="B13">
        <v>3</v>
      </c>
      <c r="C13">
        <v>3</v>
      </c>
      <c r="D13">
        <v>3</v>
      </c>
      <c r="E13">
        <f t="shared" si="1"/>
        <v>9</v>
      </c>
      <c r="F13" s="9"/>
      <c r="G13" s="4"/>
      <c r="H13" s="9"/>
    </row>
    <row r="14" spans="1:10">
      <c r="A14" t="s">
        <v>9</v>
      </c>
      <c r="B14">
        <v>2</v>
      </c>
      <c r="C14">
        <v>1</v>
      </c>
      <c r="D14">
        <v>2</v>
      </c>
      <c r="E14">
        <f t="shared" si="1"/>
        <v>2</v>
      </c>
      <c r="F14" s="9"/>
      <c r="G14" s="4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4"/>
      <c r="H15" s="9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9" spans="1:10">
      <c r="F19" s="9"/>
      <c r="G19" s="12"/>
      <c r="H19" s="9"/>
    </row>
    <row r="20" spans="1:10">
      <c r="F20" s="9"/>
      <c r="G20" s="12"/>
      <c r="H20" s="9"/>
    </row>
    <row r="21" spans="1:10">
      <c r="F21" s="9"/>
      <c r="G21" s="12"/>
      <c r="H21" s="9"/>
    </row>
    <row r="22" spans="1:10">
      <c r="F22" s="9"/>
      <c r="G22" s="12"/>
      <c r="H22" s="9"/>
    </row>
    <row r="23" spans="1:10">
      <c r="F23" s="9"/>
      <c r="G23" s="12"/>
      <c r="H23" s="9"/>
    </row>
    <row r="25" spans="1:10">
      <c r="F25">
        <f>F3+F11+F19</f>
        <v>170</v>
      </c>
      <c r="G25" s="2">
        <f>G3+G11+G19</f>
        <v>1</v>
      </c>
      <c r="H25">
        <f>(H3+H11+H19)/2</f>
        <v>4.0476190476190474</v>
      </c>
      <c r="I25">
        <f>AVERAGE(H3,H11,H19)</f>
        <v>4.0476190476190474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A614-D970-4C44-A6BA-DB6D92021AD7}">
  <dimension ref="A1:J25"/>
  <sheetViews>
    <sheetView topLeftCell="B1" workbookViewId="0">
      <selection activeCell="J25" sqref="J25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 t="shared" ref="E3:E7" si="0">C3*D3</f>
        <v>10</v>
      </c>
      <c r="F3" s="9">
        <f>SUM(E3:E7)</f>
        <v>83</v>
      </c>
      <c r="G3" s="4">
        <f>F3/$F$25</f>
        <v>0.28919860627177701</v>
      </c>
      <c r="H3" s="9">
        <f>SUM(E3:E7)/SUM(C3:C7)</f>
        <v>3.074074074074074</v>
      </c>
    </row>
    <row r="4" spans="1:10">
      <c r="A4" t="s">
        <v>7</v>
      </c>
      <c r="B4">
        <v>4</v>
      </c>
      <c r="C4">
        <v>2</v>
      </c>
      <c r="D4">
        <v>4</v>
      </c>
      <c r="E4">
        <f t="shared" si="0"/>
        <v>8</v>
      </c>
      <c r="F4" s="9"/>
      <c r="G4" s="4"/>
      <c r="H4" s="9"/>
    </row>
    <row r="5" spans="1:10">
      <c r="A5" t="s">
        <v>8</v>
      </c>
      <c r="B5">
        <v>3</v>
      </c>
      <c r="C5">
        <v>20</v>
      </c>
      <c r="D5">
        <v>3</v>
      </c>
      <c r="E5">
        <f t="shared" si="0"/>
        <v>60</v>
      </c>
      <c r="F5" s="9"/>
      <c r="G5" s="4"/>
      <c r="H5" s="9"/>
    </row>
    <row r="6" spans="1:10">
      <c r="A6" t="s">
        <v>9</v>
      </c>
      <c r="B6">
        <v>2</v>
      </c>
      <c r="C6">
        <v>2</v>
      </c>
      <c r="D6">
        <v>2</v>
      </c>
      <c r="E6">
        <f t="shared" si="0"/>
        <v>4</v>
      </c>
      <c r="F6" s="9"/>
      <c r="G6" s="4"/>
      <c r="H6" s="9"/>
    </row>
    <row r="7" spans="1:10">
      <c r="A7" t="s">
        <v>10</v>
      </c>
      <c r="B7">
        <v>1</v>
      </c>
      <c r="C7">
        <v>1</v>
      </c>
      <c r="D7">
        <v>1</v>
      </c>
      <c r="E7">
        <f t="shared" si="0"/>
        <v>1</v>
      </c>
      <c r="F7" s="9"/>
      <c r="G7" s="4"/>
      <c r="H7" s="9"/>
    </row>
    <row r="9" spans="1:10">
      <c r="A9" s="11" t="s">
        <v>27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3</v>
      </c>
      <c r="D11">
        <v>5</v>
      </c>
      <c r="E11">
        <f>C11*D11</f>
        <v>15</v>
      </c>
      <c r="F11" s="9">
        <f>SUM(E11:E15)</f>
        <v>102</v>
      </c>
      <c r="G11" s="4">
        <f>F11/$F$25</f>
        <v>0.35540069686411152</v>
      </c>
      <c r="H11" s="9">
        <f>SUM(E11:E15)/SUM(C11:C15)</f>
        <v>3.7777777777777777</v>
      </c>
    </row>
    <row r="12" spans="1:10">
      <c r="A12" t="s">
        <v>7</v>
      </c>
      <c r="B12">
        <v>4</v>
      </c>
      <c r="C12">
        <v>17</v>
      </c>
      <c r="D12">
        <v>4</v>
      </c>
      <c r="E12">
        <f t="shared" ref="E12:E15" si="1">C12*D12</f>
        <v>68</v>
      </c>
      <c r="F12" s="9"/>
      <c r="G12" s="4"/>
      <c r="H12" s="9"/>
    </row>
    <row r="13" spans="1:10">
      <c r="A13" t="s">
        <v>8</v>
      </c>
      <c r="B13">
        <v>3</v>
      </c>
      <c r="C13">
        <v>5</v>
      </c>
      <c r="D13">
        <v>3</v>
      </c>
      <c r="E13">
        <f t="shared" si="1"/>
        <v>15</v>
      </c>
      <c r="F13" s="9"/>
      <c r="G13" s="4"/>
      <c r="H13" s="9"/>
    </row>
    <row r="14" spans="1:10">
      <c r="A14" t="s">
        <v>9</v>
      </c>
      <c r="B14">
        <v>2</v>
      </c>
      <c r="C14">
        <v>2</v>
      </c>
      <c r="D14">
        <v>2</v>
      </c>
      <c r="E14">
        <f t="shared" si="1"/>
        <v>4</v>
      </c>
      <c r="F14" s="9"/>
      <c r="G14" s="4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4"/>
      <c r="H15" s="9"/>
    </row>
    <row r="17" spans="1:10">
      <c r="A17" s="11" t="s">
        <v>28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6</v>
      </c>
      <c r="D19">
        <v>5</v>
      </c>
      <c r="E19">
        <f>C19*D19</f>
        <v>30</v>
      </c>
      <c r="F19" s="9">
        <f>SUM(E19:E23)</f>
        <v>102</v>
      </c>
      <c r="G19" s="4">
        <f>F19/$F$25</f>
        <v>0.35540069686411152</v>
      </c>
      <c r="H19" s="9">
        <f>SUM(E19:E23)/SUM(C19:C23)</f>
        <v>3.7777777777777777</v>
      </c>
    </row>
    <row r="20" spans="1:10">
      <c r="A20" t="s">
        <v>7</v>
      </c>
      <c r="B20">
        <v>4</v>
      </c>
      <c r="C20">
        <v>13</v>
      </c>
      <c r="D20">
        <v>4</v>
      </c>
      <c r="E20">
        <f t="shared" ref="E20:E23" si="2">C20*D20</f>
        <v>52</v>
      </c>
      <c r="F20" s="9"/>
      <c r="G20" s="4"/>
      <c r="H20" s="9"/>
    </row>
    <row r="21" spans="1:10">
      <c r="A21" t="s">
        <v>8</v>
      </c>
      <c r="B21">
        <v>3</v>
      </c>
      <c r="C21">
        <v>4</v>
      </c>
      <c r="D21">
        <v>3</v>
      </c>
      <c r="E21">
        <f t="shared" si="2"/>
        <v>12</v>
      </c>
      <c r="F21" s="9"/>
      <c r="G21" s="4"/>
      <c r="H21" s="9"/>
    </row>
    <row r="22" spans="1:10">
      <c r="A22" t="s">
        <v>9</v>
      </c>
      <c r="B22">
        <v>2</v>
      </c>
      <c r="C22">
        <v>4</v>
      </c>
      <c r="D22">
        <v>2</v>
      </c>
      <c r="E22">
        <f t="shared" si="2"/>
        <v>8</v>
      </c>
      <c r="F22" s="9"/>
      <c r="G22" s="4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9"/>
      <c r="G23" s="4"/>
      <c r="H23" s="9"/>
    </row>
    <row r="25" spans="1:10">
      <c r="F25">
        <f>F3+F11+F19</f>
        <v>287</v>
      </c>
      <c r="G25" s="2">
        <f>G3+G11+G19</f>
        <v>1</v>
      </c>
      <c r="H25">
        <f>(H3+H11+H19)/3</f>
        <v>3.5432098765432101</v>
      </c>
      <c r="I25">
        <f>AVERAGE(H3,H11,H19)</f>
        <v>3.5432098765432101</v>
      </c>
    </row>
  </sheetData>
  <mergeCells count="9">
    <mergeCell ref="A17:J17"/>
    <mergeCell ref="F19:F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9617-0FBA-4862-8582-711C7CA06CAC}">
  <dimension ref="A1:J25"/>
  <sheetViews>
    <sheetView topLeftCell="C1" workbookViewId="0">
      <selection activeCell="H37" sqref="H37:H38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0</v>
      </c>
      <c r="D3">
        <v>5</v>
      </c>
      <c r="E3">
        <f t="shared" ref="E3:E7" si="0">C3*D3</f>
        <v>0</v>
      </c>
      <c r="F3" s="9">
        <f>SUM(E3:E7)</f>
        <v>69</v>
      </c>
      <c r="G3" s="4">
        <f>F3/$F$25</f>
        <v>0.28870292887029286</v>
      </c>
      <c r="H3" s="9">
        <f>SUM(E3:E7)/SUM(C3:C7)</f>
        <v>3.2857142857142856</v>
      </c>
    </row>
    <row r="4" spans="1:10">
      <c r="A4" t="s">
        <v>7</v>
      </c>
      <c r="B4">
        <v>4</v>
      </c>
      <c r="C4">
        <v>7</v>
      </c>
      <c r="D4">
        <v>4</v>
      </c>
      <c r="E4">
        <f t="shared" si="0"/>
        <v>28</v>
      </c>
      <c r="F4" s="9"/>
      <c r="G4" s="4"/>
      <c r="H4" s="9"/>
    </row>
    <row r="5" spans="1:10">
      <c r="A5" t="s">
        <v>8</v>
      </c>
      <c r="B5">
        <v>3</v>
      </c>
      <c r="C5">
        <v>13</v>
      </c>
      <c r="D5">
        <v>3</v>
      </c>
      <c r="E5">
        <f t="shared" si="0"/>
        <v>39</v>
      </c>
      <c r="F5" s="9"/>
      <c r="G5" s="4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A9" s="11" t="s">
        <v>27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3</v>
      </c>
      <c r="D11">
        <v>5</v>
      </c>
      <c r="E11">
        <f>C11*D11</f>
        <v>15</v>
      </c>
      <c r="F11" s="9">
        <f>SUM(E11:E15)</f>
        <v>81</v>
      </c>
      <c r="G11" s="4">
        <f>F11/$F$25</f>
        <v>0.33891213389121339</v>
      </c>
      <c r="H11" s="9">
        <f>SUM(E11:E15)/SUM(C11:C15)</f>
        <v>3.8571428571428572</v>
      </c>
    </row>
    <row r="12" spans="1:10">
      <c r="A12" t="s">
        <v>7</v>
      </c>
      <c r="B12">
        <v>4</v>
      </c>
      <c r="C12">
        <v>13</v>
      </c>
      <c r="D12">
        <v>4</v>
      </c>
      <c r="E12">
        <f t="shared" ref="E12:E15" si="1">C12*D12</f>
        <v>52</v>
      </c>
      <c r="F12" s="9"/>
      <c r="G12" s="4"/>
      <c r="H12" s="9"/>
    </row>
    <row r="13" spans="1:10">
      <c r="A13" t="s">
        <v>8</v>
      </c>
      <c r="B13">
        <v>3</v>
      </c>
      <c r="C13">
        <v>4</v>
      </c>
      <c r="D13">
        <v>3</v>
      </c>
      <c r="E13">
        <f t="shared" si="1"/>
        <v>12</v>
      </c>
      <c r="F13" s="9"/>
      <c r="G13" s="4"/>
      <c r="H13" s="9"/>
    </row>
    <row r="14" spans="1:10">
      <c r="A14" t="s">
        <v>9</v>
      </c>
      <c r="B14">
        <v>2</v>
      </c>
      <c r="C14">
        <v>1</v>
      </c>
      <c r="D14">
        <v>2</v>
      </c>
      <c r="E14">
        <f t="shared" si="1"/>
        <v>2</v>
      </c>
      <c r="F14" s="9"/>
      <c r="G14" s="4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 t="shared" si="1"/>
        <v>0</v>
      </c>
      <c r="F15" s="9"/>
      <c r="G15" s="4"/>
      <c r="H15" s="9"/>
    </row>
    <row r="17" spans="1:10">
      <c r="A17" s="11" t="s">
        <v>28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6</v>
      </c>
      <c r="D19">
        <v>5</v>
      </c>
      <c r="E19">
        <f>C19*D19</f>
        <v>30</v>
      </c>
      <c r="F19" s="9">
        <f>SUM(E19:E23)</f>
        <v>89</v>
      </c>
      <c r="G19" s="4">
        <f>F19/$F$25</f>
        <v>0.3723849372384937</v>
      </c>
      <c r="H19" s="9">
        <f>SUM(E19:E23)/SUM(C19:C23)</f>
        <v>4.2380952380952381</v>
      </c>
    </row>
    <row r="20" spans="1:10">
      <c r="A20" t="s">
        <v>7</v>
      </c>
      <c r="B20">
        <v>4</v>
      </c>
      <c r="C20">
        <v>14</v>
      </c>
      <c r="D20">
        <v>4</v>
      </c>
      <c r="E20">
        <f t="shared" ref="E20:E23" si="2">C20*D20</f>
        <v>56</v>
      </c>
      <c r="F20" s="9"/>
      <c r="G20" s="4"/>
      <c r="H20" s="9"/>
    </row>
    <row r="21" spans="1:10">
      <c r="A21" t="s">
        <v>8</v>
      </c>
      <c r="B21">
        <v>3</v>
      </c>
      <c r="C21">
        <v>1</v>
      </c>
      <c r="D21">
        <v>3</v>
      </c>
      <c r="E21">
        <f t="shared" si="2"/>
        <v>3</v>
      </c>
      <c r="F21" s="9"/>
      <c r="G21" s="4"/>
      <c r="H21" s="9"/>
    </row>
    <row r="22" spans="1:10">
      <c r="A22" t="s">
        <v>9</v>
      </c>
      <c r="B22">
        <v>2</v>
      </c>
      <c r="C22">
        <v>0</v>
      </c>
      <c r="D22">
        <v>2</v>
      </c>
      <c r="E22">
        <f t="shared" si="2"/>
        <v>0</v>
      </c>
      <c r="F22" s="9"/>
      <c r="G22" s="4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 t="shared" si="2"/>
        <v>0</v>
      </c>
      <c r="F23" s="9"/>
      <c r="G23" s="4"/>
      <c r="H23" s="9"/>
    </row>
    <row r="25" spans="1:10">
      <c r="F25">
        <f>F3+F11+F19</f>
        <v>239</v>
      </c>
      <c r="G25" s="2">
        <f>G3+G11+G19</f>
        <v>1</v>
      </c>
      <c r="H25">
        <f>(H3+H11+H19)/3</f>
        <v>3.7936507936507931</v>
      </c>
      <c r="I25">
        <f>AVERAGE(H3,H11,H19)</f>
        <v>3.7936507936507931</v>
      </c>
    </row>
  </sheetData>
  <mergeCells count="9">
    <mergeCell ref="A17:J17"/>
    <mergeCell ref="F19:F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4BCA-0313-4508-976D-92ADF00F116A}">
  <dimension ref="A1:J9"/>
  <sheetViews>
    <sheetView workbookViewId="0">
      <selection activeCell="K11" sqref="K1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8</v>
      </c>
      <c r="D3">
        <v>5</v>
      </c>
      <c r="E3">
        <f t="shared" ref="E3:E7" si="0">C3*D3</f>
        <v>40</v>
      </c>
      <c r="F3" s="9">
        <f>SUM(E3:E7)</f>
        <v>110</v>
      </c>
      <c r="G3" s="4">
        <f>F3/$F$9</f>
        <v>1</v>
      </c>
      <c r="H3" s="9">
        <f>SUM(E3:E7)/SUM(C3:C7)</f>
        <v>4.0740740740740744</v>
      </c>
    </row>
    <row r="4" spans="1:10">
      <c r="A4" t="s">
        <v>7</v>
      </c>
      <c r="B4">
        <v>4</v>
      </c>
      <c r="C4">
        <v>13</v>
      </c>
      <c r="D4">
        <v>4</v>
      </c>
      <c r="E4">
        <f t="shared" si="0"/>
        <v>52</v>
      </c>
      <c r="F4" s="9"/>
      <c r="G4" s="4"/>
      <c r="H4" s="9"/>
    </row>
    <row r="5" spans="1:10">
      <c r="A5" t="s">
        <v>8</v>
      </c>
      <c r="B5">
        <v>3</v>
      </c>
      <c r="C5">
        <v>6</v>
      </c>
      <c r="D5">
        <v>3</v>
      </c>
      <c r="E5">
        <f t="shared" si="0"/>
        <v>18</v>
      </c>
      <c r="F5" s="9"/>
      <c r="G5" s="4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 t="shared" si="0"/>
        <v>0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110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012B-FE07-40FC-B6DD-54F06CA1D250}">
  <dimension ref="A1:J9"/>
  <sheetViews>
    <sheetView workbookViewId="0">
      <selection sqref="A1:J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5</v>
      </c>
      <c r="D3">
        <v>5</v>
      </c>
      <c r="E3">
        <f t="shared" ref="E3:E7" si="0">C3*D3</f>
        <v>25</v>
      </c>
      <c r="F3" s="9">
        <f>SUM(E3:E7)</f>
        <v>85</v>
      </c>
      <c r="G3" s="4">
        <f>F3/$F$9</f>
        <v>1</v>
      </c>
      <c r="H3" s="9">
        <f>SUM(E3:E7)/SUM(C3:C7)</f>
        <v>4.0476190476190474</v>
      </c>
    </row>
    <row r="4" spans="1:10">
      <c r="A4" t="s">
        <v>7</v>
      </c>
      <c r="B4">
        <v>4</v>
      </c>
      <c r="C4">
        <v>13</v>
      </c>
      <c r="D4">
        <v>4</v>
      </c>
      <c r="E4">
        <f t="shared" si="0"/>
        <v>52</v>
      </c>
      <c r="F4" s="9"/>
      <c r="G4" s="4"/>
      <c r="H4" s="9"/>
    </row>
    <row r="5" spans="1:10">
      <c r="A5" t="s">
        <v>8</v>
      </c>
      <c r="B5">
        <v>3</v>
      </c>
      <c r="C5">
        <v>2</v>
      </c>
      <c r="D5">
        <v>3</v>
      </c>
      <c r="E5">
        <f t="shared" si="0"/>
        <v>6</v>
      </c>
      <c r="F5" s="9"/>
      <c r="G5" s="4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 t="shared" si="0"/>
        <v>2</v>
      </c>
      <c r="F6" s="9"/>
      <c r="G6" s="4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 t="shared" si="0"/>
        <v>0</v>
      </c>
      <c r="F7" s="9"/>
      <c r="G7" s="4"/>
      <c r="H7" s="9"/>
    </row>
    <row r="9" spans="1:10">
      <c r="F9">
        <f>F3</f>
        <v>85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30A6-FE29-4DC8-A3D2-F350BFAF11B5}">
  <dimension ref="A2:B44"/>
  <sheetViews>
    <sheetView workbookViewId="0">
      <selection activeCell="C30" sqref="C30"/>
    </sheetView>
  </sheetViews>
  <sheetFormatPr defaultColWidth="11.42578125" defaultRowHeight="15"/>
  <cols>
    <col min="1" max="1" width="60" style="3" customWidth="1"/>
    <col min="2" max="2" width="18.42578125" style="1" customWidth="1"/>
  </cols>
  <sheetData>
    <row r="2" spans="1:2">
      <c r="A2" s="5" t="s">
        <v>30</v>
      </c>
      <c r="B2" s="7" t="s">
        <v>31</v>
      </c>
    </row>
    <row r="3" spans="1:2" ht="44.25" customHeight="1">
      <c r="A3" s="6" t="str">
        <f>'FACTOR2-P'!A1:J1</f>
        <v>Considero que mi participación en actividades de investigación, desarrollo tecnológico, creación artística, culturales, deportivas y de extensión ha contribuido a mi desarrollo integral como persona</v>
      </c>
      <c r="B3" s="8">
        <f>'FACTOR2-P'!G3:G7</f>
        <v>0.36102236421725242</v>
      </c>
    </row>
    <row r="4" spans="1:2" ht="30">
      <c r="A4" s="6" t="str">
        <f>'FACTOR2-P'!A9:J9</f>
        <v>Considero que el reglamento estudiantil y las políticas académicas del programa son pertinentes y están actualizadas.</v>
      </c>
      <c r="B4" s="8">
        <f>'FACTOR2-P'!G11</f>
        <v>0.33226837060702874</v>
      </c>
    </row>
    <row r="5" spans="1:2" ht="30">
      <c r="A5" s="6" t="str">
        <f>'FACTOR2-P'!A17:J17</f>
        <v>Considero que los criterios para la concesión de estímulos académicos y apoyos socioeconómicos, son claros y justos.</v>
      </c>
      <c r="B5" s="8">
        <f>'FACTOR2-P'!G19</f>
        <v>0.30670926517571884</v>
      </c>
    </row>
    <row r="8" spans="1:2">
      <c r="A8" s="6" t="s">
        <v>32</v>
      </c>
      <c r="B8" s="7" t="s">
        <v>31</v>
      </c>
    </row>
    <row r="9" spans="1:2" ht="45">
      <c r="A9" s="6" t="str">
        <f>'FACTOR3-P'!A1:J1</f>
        <v>Considero que el material académico producido por los docentes es pertinente y adecuado con las necesidades y objetivos de la Maestría en Ciencias de la Información y las Comunicaciones.</v>
      </c>
      <c r="B9" s="8">
        <f>'FACTOR3-P'!G3</f>
        <v>0.49568965517241381</v>
      </c>
    </row>
    <row r="10" spans="1:2" ht="45">
      <c r="A10" s="6" t="str">
        <f>'FACTOR3-P'!A9:J9</f>
        <v>Considero que los criterios y mecanismos utilizados para la evaluación de los profesores son transparentes, accesibles y eficaces</v>
      </c>
      <c r="B10" s="8">
        <f>'FACTOR3-P'!G11</f>
        <v>0.50431034482758619</v>
      </c>
    </row>
    <row r="13" spans="1:2">
      <c r="A13" s="6" t="s">
        <v>33</v>
      </c>
      <c r="B13" s="7" t="s">
        <v>31</v>
      </c>
    </row>
    <row r="14" spans="1:2" ht="45">
      <c r="A14" s="6" t="str">
        <f>'FACTOR5-P'!A1:J1</f>
        <v>Considero que las estrategias de flexibilidad curricular me han permitido personalizar mi formación de acuerdo con mis objetivos profesionales y académicos.</v>
      </c>
      <c r="B14" s="8">
        <f>'FACTOR5-P'!G3</f>
        <v>0.23261390887290168</v>
      </c>
    </row>
    <row r="15" spans="1:2" ht="60">
      <c r="A15" s="6" t="str">
        <f>'FACTOR5-P'!A17:J17</f>
        <v>Considero que las estrategias pedagógicas y escenarios de práctica utilizadas en la Maestría en Ciencias de la Información y las Comunicaciones son coherentes y efectivas para facilitar los resultados</v>
      </c>
      <c r="B15" s="8">
        <f>'FACTOR5-P'!G19</f>
        <v>0.25659472422062352</v>
      </c>
    </row>
    <row r="16" spans="1:2" ht="60">
      <c r="A16" s="6" t="str">
        <f>'FACTOR5-P'!A25:J25</f>
        <v>Considero que los sistemas de evaluación de los resultados de aprendizaje permiten una realimentación efectiva que contribuye a la mejora continua de la formación en los estudiantes.</v>
      </c>
      <c r="B16" s="8">
        <f>'FACTOR5-P'!G27</f>
        <v>0.26858513189448441</v>
      </c>
    </row>
    <row r="17" spans="1:2" ht="60">
      <c r="A17" s="6" t="str">
        <f>'FACTOR5-P'!A33:J33</f>
        <v>Considero que el proceso de evaluación y autorregulación de la Maestría en Ciencias de la Información y las Comunicaciones tiene en cuenta de manera efectiva las necesidades y expectativas de los estudiantes</v>
      </c>
      <c r="B17" s="8">
        <f>'FACTOR5-P'!G35</f>
        <v>0.2422062350119904</v>
      </c>
    </row>
    <row r="20" spans="1:2">
      <c r="A20" s="6" t="s">
        <v>34</v>
      </c>
      <c r="B20" s="7" t="s">
        <v>31</v>
      </c>
    </row>
    <row r="21" spans="1:2" ht="60">
      <c r="A21" s="6" t="str">
        <f>'FACTOR6-P'!A1:J1</f>
        <v>Considero que las intervenciones y el apoyo proporcionados para alertarme de forma temprana, han sido útiles para mejorar mi rendimiento académico y facilitar mi progreso hacia la graduación.</v>
      </c>
      <c r="B21" s="8">
        <f>'FACTOR6-P'!G3</f>
        <v>1</v>
      </c>
    </row>
    <row r="23" spans="1:2">
      <c r="A23" s="6" t="s">
        <v>35</v>
      </c>
      <c r="B23" s="7" t="s">
        <v>31</v>
      </c>
    </row>
    <row r="24" spans="1:2" ht="45">
      <c r="A24" s="6" t="str">
        <f>'FACTOR7-P '!A1:J1</f>
        <v>Considero que la interacción con homólogos nacionales e internacionales ha mejorado mis competencias académicas y científicas, así como las oportunidades de desarrollo profesional.</v>
      </c>
      <c r="B24" s="8">
        <f>'FACTOR7-P '!G3</f>
        <v>1</v>
      </c>
    </row>
    <row r="27" spans="1:2">
      <c r="A27" s="6" t="s">
        <v>36</v>
      </c>
      <c r="B27" s="7" t="s">
        <v>31</v>
      </c>
    </row>
    <row r="28" spans="1:2" ht="60">
      <c r="A28" s="6" t="str">
        <f>'FACTOR8-P'!A1:J1</f>
        <v>Considero que la Maestría en Ciencias de la Información y las Comunicaciones me proporciona una formación adecuada para la investigación, fomentando el desarrollo de un pensamiento crítico, creativo e innovador</v>
      </c>
      <c r="B28" s="8">
        <f>'FACTOR8-P'!G3</f>
        <v>1</v>
      </c>
    </row>
    <row r="31" spans="1:2">
      <c r="A31" s="6" t="s">
        <v>37</v>
      </c>
      <c r="B31" s="7" t="s">
        <v>31</v>
      </c>
    </row>
    <row r="32" spans="1:2" ht="60">
      <c r="A32" s="6" t="str">
        <f>'FACTOR9-P'!A1:J1</f>
        <v>Considero que las políticas, programas y servicios de bienestar implementados en Maestría en Ciencias de la Información y las Comunicaciones son coherentes con las condiciones y necesidades específica</v>
      </c>
      <c r="B32" s="8">
        <f>'FACTOR8-P'!G3</f>
        <v>1</v>
      </c>
    </row>
    <row r="34" spans="1:2">
      <c r="A34" s="6" t="s">
        <v>38</v>
      </c>
      <c r="B34" s="7" t="s">
        <v>31</v>
      </c>
    </row>
    <row r="35" spans="1:2" ht="60">
      <c r="A35" s="6" t="str">
        <f>'FACTOR10-P'!A1:J1</f>
        <v>Considero que los espacios, recurso, herramientas y equipos de apoyo ofrecidos son pertinentes y se ajustan adecuadamente a mis necesidades formativas en los diferentes contextos que requiero.</v>
      </c>
      <c r="B35" s="8">
        <f>'FACTOR10-P'!G3</f>
        <v>0.48401826484018262</v>
      </c>
    </row>
    <row r="36" spans="1:2" ht="60">
      <c r="A36" s="6" t="str">
        <f>'FACTOR10-P'!A9:J9</f>
        <v>Considero que el material bibliográfico y de información disponible en la Maestría en Ciencias de la Información y las Comunicaciones es pertinente y adecuado para apoyar el desarrollo de las distinta</v>
      </c>
      <c r="B36" s="8">
        <f>'FACTOR10-P'!G11</f>
        <v>0.51598173515981738</v>
      </c>
    </row>
    <row r="38" spans="1:2">
      <c r="A38" s="6" t="s">
        <v>39</v>
      </c>
      <c r="B38" s="7" t="s">
        <v>31</v>
      </c>
    </row>
    <row r="39" spans="1:2" ht="60">
      <c r="A39" s="6" t="str">
        <f>'FACTOR11-P'!A1:J1</f>
        <v>Considero que el representante estudiantil en los diferentes escenarios institucionales ha sido valorada y ha influido en las decisiones orientadas al mejoramiento de la Maestría en Ciencias de la Información</v>
      </c>
      <c r="B39" s="8">
        <f>'FACTOR11-P'!G3</f>
        <v>0.28919860627177701</v>
      </c>
    </row>
    <row r="40" spans="1:2" ht="75">
      <c r="A40" s="6" t="str">
        <f>'FACTOR11-P'!A9:J9</f>
        <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v>
      </c>
      <c r="B40" s="8">
        <f>'FACTOR11-P'!G11</f>
        <v>0.35540069686411152</v>
      </c>
    </row>
    <row r="41" spans="1:2" ht="90">
      <c r="A41" s="6" t="str">
        <f>'FACTOR11-P'!A17:J17</f>
        <v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v>
      </c>
      <c r="B41" s="8">
        <f>'FACTOR11-P'!G19</f>
        <v>0.35540069686411152</v>
      </c>
    </row>
    <row r="43" spans="1:2">
      <c r="A43" s="6" t="s">
        <v>40</v>
      </c>
      <c r="B43" s="7" t="s">
        <v>31</v>
      </c>
    </row>
    <row r="44" spans="1:2" ht="90">
      <c r="A44" s="6" t="str">
        <f>'FACTOR12-P'!A1:J1</f>
        <v>Considero que los recursos informáticos disponibles, corresponden  adecuadamente con las 
necesidades tecnológicas de la Maestria de ciencias de la información y las comunicaciones y de sus miembros (profesores y 
estudiantes)</v>
      </c>
      <c r="B44" s="8">
        <f>'FACTOR12-P'!G3</f>
        <v>1</v>
      </c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6C4B-4B91-4E08-BE76-EE8B0847AB04}">
  <dimension ref="A2:B44"/>
  <sheetViews>
    <sheetView workbookViewId="0">
      <selection activeCell="B42" sqref="B42"/>
    </sheetView>
  </sheetViews>
  <sheetFormatPr defaultColWidth="11.42578125" defaultRowHeight="15"/>
  <cols>
    <col min="1" max="1" width="60" style="3" customWidth="1"/>
    <col min="2" max="2" width="18.42578125" style="1" customWidth="1"/>
  </cols>
  <sheetData>
    <row r="2" spans="1:2">
      <c r="A2" s="5" t="s">
        <v>30</v>
      </c>
      <c r="B2" s="7" t="s">
        <v>31</v>
      </c>
    </row>
    <row r="3" spans="1:2" ht="44.25" customHeight="1">
      <c r="A3" s="6" t="str">
        <f>'FACTOR2-P'!A1:J1</f>
        <v>Considero que mi participación en actividades de investigación, desarrollo tecnológico, creación artística, culturales, deportivas y de extensión ha contribuido a mi desarrollo integral como persona</v>
      </c>
      <c r="B3" s="8">
        <f>'FACTOR2-I'!G3:G7</f>
        <v>0.35496183206106868</v>
      </c>
    </row>
    <row r="4" spans="1:2" ht="30">
      <c r="A4" s="6" t="str">
        <f>'FACTOR2-P'!A9:J9</f>
        <v>Considero que el reglamento estudiantil y las políticas académicas del programa son pertinentes y están actualizadas.</v>
      </c>
      <c r="B4" s="8">
        <f>'FACTOR2-I'!G11</f>
        <v>0.30916030534351147</v>
      </c>
    </row>
    <row r="5" spans="1:2" ht="30">
      <c r="A5" s="6" t="str">
        <f>'FACTOR2-P'!A17:J17</f>
        <v>Considero que los criterios para la concesión de estímulos académicos y apoyos socioeconómicos, son claros y justos.</v>
      </c>
      <c r="B5" s="8">
        <f>'FACTOR2-I'!G19</f>
        <v>0.33587786259541985</v>
      </c>
    </row>
    <row r="8" spans="1:2">
      <c r="A8" s="6" t="s">
        <v>32</v>
      </c>
      <c r="B8" s="7" t="s">
        <v>31</v>
      </c>
    </row>
    <row r="9" spans="1:2" ht="45">
      <c r="A9" s="6" t="str">
        <f>'FACTOR3-P'!A1:J1</f>
        <v>Considero que el material académico producido por los docentes es pertinente y adecuado con las necesidades y objetivos de la Maestría en Ciencias de la Información y las Comunicaciones.</v>
      </c>
      <c r="B9" s="8">
        <f>'FACTOR3-I'!G3</f>
        <v>0.5</v>
      </c>
    </row>
    <row r="10" spans="1:2" ht="45">
      <c r="A10" s="6" t="str">
        <f>'FACTOR3-P'!A9:J9</f>
        <v>Considero que los criterios y mecanismos utilizados para la evaluación de los profesores son transparentes, accesibles y eficaces</v>
      </c>
      <c r="B10" s="8">
        <f>'FACTOR3-I'!G11</f>
        <v>0.5</v>
      </c>
    </row>
    <row r="13" spans="1:2">
      <c r="A13" s="6" t="s">
        <v>33</v>
      </c>
      <c r="B13" s="7" t="s">
        <v>31</v>
      </c>
    </row>
    <row r="14" spans="1:2" ht="45">
      <c r="A14" s="6" t="str">
        <f>'FACTOR5-P'!A1:J1</f>
        <v>Considero que las estrategias de flexibilidad curricular me han permitido personalizar mi formación de acuerdo con mis objetivos profesionales y académicos.</v>
      </c>
      <c r="B14" s="8">
        <f>'FACTOR5-I'!G3</f>
        <v>0.25595238095238093</v>
      </c>
    </row>
    <row r="15" spans="1:2" ht="60">
      <c r="A15" s="6" t="str">
        <f>'FACTOR5-P'!A17:J17</f>
        <v>Considero que las estrategias pedagógicas y escenarios de práctica utilizadas en la Maestría en Ciencias de la Información y las Comunicaciones son coherentes y efectivas para facilitar los resultados</v>
      </c>
      <c r="B15" s="8">
        <f>'FACTOR5-I'!G19</f>
        <v>0.25297619047619047</v>
      </c>
    </row>
    <row r="16" spans="1:2" ht="60">
      <c r="A16" s="6" t="str">
        <f>'FACTOR5-P'!A25:J25</f>
        <v>Considero que los sistemas de evaluación de los resultados de aprendizaje permiten una realimentación efectiva que contribuye a la mejora continua de la formación en los estudiantes.</v>
      </c>
      <c r="B16" s="8">
        <f>'FACTOR5-I'!G27</f>
        <v>0.25</v>
      </c>
    </row>
    <row r="17" spans="1:2" ht="60">
      <c r="A17" s="6" t="str">
        <f>'FACTOR5-P'!A33:J33</f>
        <v>Considero que el proceso de evaluación y autorregulación de la Maestría en Ciencias de la Información y las Comunicaciones tiene en cuenta de manera efectiva las necesidades y expectativas de los estudiantes</v>
      </c>
      <c r="B17" s="8">
        <f>'FACTOR5-I'!G35</f>
        <v>0.24107142857142858</v>
      </c>
    </row>
    <row r="20" spans="1:2">
      <c r="A20" s="6" t="s">
        <v>34</v>
      </c>
      <c r="B20" s="7" t="s">
        <v>31</v>
      </c>
    </row>
    <row r="21" spans="1:2" ht="60">
      <c r="A21" s="6" t="str">
        <f>'FACTOR6-P'!A1:J1</f>
        <v>Considero que las intervenciones y el apoyo proporcionados para alertarme de forma temprana, han sido útiles para mejorar mi rendimiento académico y facilitar mi progreso hacia la graduación.</v>
      </c>
      <c r="B21" s="8">
        <f>'FACTOR6-P'!G3</f>
        <v>1</v>
      </c>
    </row>
    <row r="23" spans="1:2">
      <c r="A23" s="6" t="s">
        <v>35</v>
      </c>
      <c r="B23" s="7" t="s">
        <v>31</v>
      </c>
    </row>
    <row r="24" spans="1:2" ht="45">
      <c r="A24" s="6" t="str">
        <f>'FACTOR7-P '!A1:J1</f>
        <v>Considero que la interacción con homólogos nacionales e internacionales ha mejorado mis competencias académicas y científicas, así como las oportunidades de desarrollo profesional.</v>
      </c>
      <c r="B24" s="8">
        <f>'FACTOR7-P '!G3</f>
        <v>1</v>
      </c>
    </row>
    <row r="27" spans="1:2">
      <c r="A27" s="6" t="s">
        <v>36</v>
      </c>
      <c r="B27" s="7" t="s">
        <v>31</v>
      </c>
    </row>
    <row r="28" spans="1:2" ht="60">
      <c r="A28" s="6" t="str">
        <f>'FACTOR8-P'!A1:J1</f>
        <v>Considero que la Maestría en Ciencias de la Información y las Comunicaciones me proporciona una formación adecuada para la investigación, fomentando el desarrollo de un pensamiento crítico, creativo e innovador</v>
      </c>
      <c r="B28" s="8">
        <f>'FACTOR8-P'!G3</f>
        <v>1</v>
      </c>
    </row>
    <row r="31" spans="1:2">
      <c r="A31" s="6" t="s">
        <v>37</v>
      </c>
      <c r="B31" s="7" t="s">
        <v>31</v>
      </c>
    </row>
    <row r="32" spans="1:2" ht="60">
      <c r="A32" s="6" t="str">
        <f>'FACTOR9-P'!A1:J1</f>
        <v>Considero que las políticas, programas y servicios de bienestar implementados en Maestría en Ciencias de la Información y las Comunicaciones son coherentes con las condiciones y necesidades específica</v>
      </c>
      <c r="B32" s="8">
        <f>'FACTOR8-P'!G3</f>
        <v>1</v>
      </c>
    </row>
    <row r="34" spans="1:2">
      <c r="A34" s="6" t="s">
        <v>38</v>
      </c>
      <c r="B34" s="7" t="s">
        <v>31</v>
      </c>
    </row>
    <row r="35" spans="1:2" ht="60">
      <c r="A35" s="6" t="str">
        <f>'FACTOR10-P'!A1:J1</f>
        <v>Considero que los espacios, recurso, herramientas y equipos de apoyo ofrecidos son pertinentes y se ajustan adecuadamente a mis necesidades formativas en los diferentes contextos que requiero.</v>
      </c>
      <c r="B35" s="8">
        <f>'FACTOR10-I'!G3</f>
        <v>0.5</v>
      </c>
    </row>
    <row r="36" spans="1:2" ht="60">
      <c r="A36" s="6" t="str">
        <f>'FACTOR10-P'!A9:J9</f>
        <v>Considero que el material bibliográfico y de información disponible en la Maestría en Ciencias de la Información y las Comunicaciones es pertinente y adecuado para apoyar el desarrollo de las distinta</v>
      </c>
      <c r="B36" s="8">
        <f>'FACTOR10-I'!G11</f>
        <v>0.5</v>
      </c>
    </row>
    <row r="38" spans="1:2">
      <c r="A38" s="6" t="s">
        <v>39</v>
      </c>
      <c r="B38" s="7" t="s">
        <v>31</v>
      </c>
    </row>
    <row r="39" spans="1:2" ht="60">
      <c r="A39" s="6" t="str">
        <f>'FACTOR11-P'!A1:J1</f>
        <v>Considero que el representante estudiantil en los diferentes escenarios institucionales ha sido valorada y ha influido en las decisiones orientadas al mejoramiento de la Maestría en Ciencias de la Información</v>
      </c>
      <c r="B39" s="8">
        <f>'FACTOR11-I'!G3</f>
        <v>0.28870292887029286</v>
      </c>
    </row>
    <row r="40" spans="1:2" ht="75">
      <c r="A40" s="6" t="str">
        <f>'FACTOR11-P'!A9:J9</f>
        <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v>
      </c>
      <c r="B40" s="8">
        <f>'FACTOR11-I'!G11</f>
        <v>0.33891213389121339</v>
      </c>
    </row>
    <row r="41" spans="1:2" ht="90">
      <c r="A41" s="6" t="str">
        <f>'FACTOR11-P'!A17:J17</f>
        <v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v>
      </c>
      <c r="B41" s="8">
        <f>'FACTOR11-I'!G19</f>
        <v>0.3723849372384937</v>
      </c>
    </row>
    <row r="43" spans="1:2">
      <c r="A43" s="6" t="s">
        <v>40</v>
      </c>
      <c r="B43" s="7" t="s">
        <v>31</v>
      </c>
    </row>
    <row r="44" spans="1:2" ht="90">
      <c r="A44" s="6" t="str">
        <f>'FACTOR12-P'!A1:J1</f>
        <v>Considero que los recursos informáticos disponibles, corresponden  adecuadamente con las 
necesidades tecnológicas de la Maestria de ciencias de la información y las comunicaciones y de sus miembros (profesores y 
estudiantes)</v>
      </c>
      <c r="B44" s="8">
        <f>'FACTOR12-P'!G3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CAIMAN URQUIJO CAMILO ANDRES</cp:lastModifiedBy>
  <cp:revision/>
  <dcterms:created xsi:type="dcterms:W3CDTF">2025-04-30T00:30:48Z</dcterms:created>
  <dcterms:modified xsi:type="dcterms:W3CDTF">2025-05-13T15:14:44Z</dcterms:modified>
  <cp:category/>
  <cp:contentStatus/>
</cp:coreProperties>
</file>