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ALISI\OneDrive - Universidad Distrital Francisco José de Caldas\MCIC\2024\Doc modificaicones\"/>
    </mc:Choice>
  </mc:AlternateContent>
  <xr:revisionPtr revIDLastSave="1" documentId="13_ncr:1_{A66F45BA-6738-4C8F-AA4A-9D1FA321B94A}" xr6:coauthVersionLast="36" xr6:coauthVersionMax="47" xr10:uidLastSave="{C909409E-BC27-430E-8677-0825F1811FB8}"/>
  <bookViews>
    <workbookView xWindow="29300" yWindow="-120" windowWidth="24240" windowHeight="13140" activeTab="14" xr2:uid="{DDDC3E85-E9CC-467D-85C0-3C576D3DCAFD}"/>
  </bookViews>
  <sheets>
    <sheet name="INV" sheetId="1" r:id="rId1"/>
    <sheet name="PRO" sheetId="2" r:id="rId2"/>
    <sheet name="syllabus" sheetId="11" r:id="rId3"/>
    <sheet name="Plan Transicion" sheetId="3" state="hidden" r:id="rId4"/>
    <sheet name="diferencias" sheetId="4" state="hidden" r:id="rId5"/>
    <sheet name="RES 155 " sheetId="6" state="hidden" r:id="rId6"/>
    <sheet name="Hoja4" sheetId="15" r:id="rId7"/>
    <sheet name="cambios" sheetId="5" state="hidden" r:id="rId8"/>
    <sheet name="vice ac" sheetId="7" state="hidden" r:id="rId9"/>
    <sheet name="datos vi" sheetId="8" state="hidden" r:id="rId10"/>
    <sheet name="vice con" sheetId="9" state="hidden" r:id="rId11"/>
    <sheet name="Hoja1" sheetId="12" state="hidden" r:id="rId12"/>
    <sheet name="Compilado 2020-2024" sheetId="10" state="hidden" r:id="rId13"/>
    <sheet name="PRO Tranciscion" sheetId="13" r:id="rId14"/>
    <sheet name="INV Trancision" sheetId="14" r:id="rId15"/>
  </sheets>
  <definedNames>
    <definedName name="_Toc169507128" localSheetId="11">Hoja1!$B$4</definedName>
  </definedNames>
  <calcPr calcId="191028"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13" l="1"/>
  <c r="H54" i="13" s="1"/>
  <c r="P53" i="13"/>
  <c r="N53" i="13"/>
  <c r="O53" i="13"/>
  <c r="P55" i="14"/>
  <c r="G53" i="13"/>
  <c r="Q53" i="13"/>
  <c r="M53" i="13"/>
  <c r="F53" i="13"/>
  <c r="I53" i="13"/>
  <c r="E53" i="13"/>
  <c r="Q40" i="13"/>
  <c r="P40" i="13"/>
  <c r="O40" i="13"/>
  <c r="N40" i="13"/>
  <c r="M40" i="13"/>
  <c r="I40" i="13"/>
  <c r="H40" i="13"/>
  <c r="F40" i="13"/>
  <c r="G40" i="13"/>
  <c r="E40" i="13"/>
  <c r="Q17" i="13"/>
  <c r="Q54" i="13" s="1"/>
  <c r="P17" i="13"/>
  <c r="O17" i="13"/>
  <c r="N17" i="13"/>
  <c r="M17" i="13"/>
  <c r="I17" i="13"/>
  <c r="H17" i="13"/>
  <c r="G17" i="13"/>
  <c r="F17" i="13"/>
  <c r="E17" i="13"/>
  <c r="S41" i="14"/>
  <c r="M17" i="14"/>
  <c r="P17" i="14"/>
  <c r="O17" i="14"/>
  <c r="N17" i="14"/>
  <c r="E41" i="14"/>
  <c r="F54" i="14"/>
  <c r="G54" i="14"/>
  <c r="H54" i="14"/>
  <c r="E54" i="14"/>
  <c r="H41" i="14"/>
  <c r="G41" i="14"/>
  <c r="F41" i="14"/>
  <c r="F17" i="14"/>
  <c r="G17" i="14"/>
  <c r="H17" i="14"/>
  <c r="E17" i="14"/>
  <c r="E16" i="1"/>
  <c r="Q54" i="14"/>
  <c r="P54" i="14"/>
  <c r="O54" i="14"/>
  <c r="N54" i="14"/>
  <c r="M54" i="14"/>
  <c r="Q41" i="14"/>
  <c r="P41" i="14"/>
  <c r="O41" i="14"/>
  <c r="N41" i="14"/>
  <c r="M41" i="14"/>
  <c r="Q17" i="14"/>
  <c r="I54" i="14"/>
  <c r="I41" i="14"/>
  <c r="I17" i="14"/>
  <c r="F54" i="13" l="1"/>
  <c r="I54" i="13"/>
  <c r="M54" i="13"/>
  <c r="O54" i="13"/>
  <c r="E54" i="13"/>
  <c r="P54" i="13"/>
  <c r="N54" i="13"/>
  <c r="G54" i="13"/>
  <c r="E55" i="14"/>
  <c r="M55" i="14"/>
  <c r="H55" i="14"/>
  <c r="I55" i="14"/>
  <c r="Q55" i="14"/>
  <c r="O55" i="14"/>
  <c r="N55" i="14"/>
  <c r="F55" i="14"/>
  <c r="G55" i="14"/>
  <c r="J49" i="2"/>
  <c r="J47" i="2"/>
  <c r="J45" i="2"/>
  <c r="J44" i="2"/>
  <c r="J42" i="2"/>
  <c r="J37" i="2"/>
  <c r="J36" i="2"/>
  <c r="J35" i="2"/>
  <c r="J34" i="2"/>
  <c r="J32" i="2"/>
  <c r="J31" i="2"/>
  <c r="J30" i="2"/>
  <c r="J29" i="2"/>
  <c r="J27" i="2"/>
  <c r="J26" i="2"/>
  <c r="J25" i="2"/>
  <c r="J24" i="2"/>
  <c r="J22" i="2"/>
  <c r="J21" i="2"/>
  <c r="J20" i="2"/>
  <c r="J19" i="2"/>
  <c r="J20" i="1"/>
  <c r="I16" i="1"/>
  <c r="J46" i="1"/>
  <c r="J50" i="1"/>
  <c r="J48" i="1"/>
  <c r="J45" i="1"/>
  <c r="J43" i="1"/>
  <c r="J36" i="1"/>
  <c r="J37" i="1"/>
  <c r="J38" i="1"/>
  <c r="J35" i="1"/>
  <c r="J31" i="1"/>
  <c r="J32" i="1"/>
  <c r="J33" i="1"/>
  <c r="J30" i="1"/>
  <c r="J26" i="1"/>
  <c r="J27" i="1"/>
  <c r="J28" i="1"/>
  <c r="J25" i="1"/>
  <c r="J21" i="1"/>
  <c r="J22" i="1"/>
  <c r="J23" i="1"/>
  <c r="H16" i="2"/>
  <c r="I16" i="2"/>
  <c r="F16" i="2"/>
  <c r="G16" i="2"/>
  <c r="E16" i="2"/>
  <c r="I50" i="2"/>
  <c r="E38" i="2"/>
  <c r="F38" i="2"/>
  <c r="G38" i="2"/>
  <c r="H38" i="2"/>
  <c r="I38" i="2"/>
  <c r="E50" i="2"/>
  <c r="F50" i="2"/>
  <c r="F51" i="2"/>
  <c r="G50" i="2"/>
  <c r="G51" i="2"/>
  <c r="H50" i="2"/>
  <c r="H51" i="2"/>
  <c r="F16" i="1"/>
  <c r="G16" i="1"/>
  <c r="H16" i="1"/>
  <c r="E39" i="1"/>
  <c r="F39" i="1"/>
  <c r="G39" i="1"/>
  <c r="H39" i="1"/>
  <c r="I39" i="1"/>
  <c r="E51" i="1"/>
  <c r="F51" i="1"/>
  <c r="G51" i="1"/>
  <c r="H51" i="1"/>
  <c r="I51" i="1"/>
  <c r="F52" i="1"/>
  <c r="I52" i="1"/>
  <c r="E52" i="1"/>
  <c r="H52" i="1"/>
  <c r="G52" i="1"/>
  <c r="E51" i="2"/>
  <c r="I51" i="2"/>
</calcChain>
</file>

<file path=xl/sharedStrings.xml><?xml version="1.0" encoding="utf-8"?>
<sst xmlns="http://schemas.openxmlformats.org/spreadsheetml/2006/main" count="1417" uniqueCount="463">
  <si>
    <t>N°</t>
  </si>
  <si>
    <t>Espacio académico</t>
  </si>
  <si>
    <t>Carácter</t>
  </si>
  <si>
    <t>Nivel</t>
  </si>
  <si>
    <t>Horas</t>
  </si>
  <si>
    <t>Créd.</t>
  </si>
  <si>
    <t>Espacio académico pensum actual</t>
  </si>
  <si>
    <t>Observación</t>
  </si>
  <si>
    <t>(Teórico-Práctico)</t>
  </si>
  <si>
    <t>TD</t>
  </si>
  <si>
    <t>TC</t>
  </si>
  <si>
    <t>TA</t>
  </si>
  <si>
    <t>Total horas al semestre</t>
  </si>
  <si>
    <t>PRIMER SEMESTRE</t>
  </si>
  <si>
    <t xml:space="preserve">	HERRAMIENTAS MATEMATICAS PARA EL MANEJO DE LA INFORMACION</t>
  </si>
  <si>
    <t>OBLIGATORIO</t>
  </si>
  <si>
    <t>INFORMATICA</t>
  </si>
  <si>
    <t>SEMINARIO DE INVESTIGACION</t>
  </si>
  <si>
    <t>ENFASIS TELEINFORMATICA</t>
  </si>
  <si>
    <t>PROCESOS ESTOCASTICOS</t>
  </si>
  <si>
    <t>ENFASIS GEOMATICA</t>
  </si>
  <si>
    <t>BASES DE DATOS ESPECIALES</t>
  </si>
  <si>
    <t>ENFASIS INGENIERIA DE SOFTWARE</t>
  </si>
  <si>
    <t>INGENIERIA DE SOTFWARE I</t>
  </si>
  <si>
    <t>ENFASIS INTELIGENCIA ARTIFICIAL</t>
  </si>
  <si>
    <t>INTELIGENCIA COMPUTACIONAL</t>
  </si>
  <si>
    <t>Subtotales</t>
  </si>
  <si>
    <t>SEGUNDO SEMESTRE</t>
  </si>
  <si>
    <t>TRABAJO DE GRADO I</t>
  </si>
  <si>
    <t>REDES</t>
  </si>
  <si>
    <t>MODELADO Y SIMULACION DE REDES</t>
  </si>
  <si>
    <t>APLICACIONES SOBRE INTERNET EN LA NUBE</t>
  </si>
  <si>
    <t>AVANCES EN REDES INALAMBRICAS</t>
  </si>
  <si>
    <t>ANALISIS ESPACIAL</t>
  </si>
  <si>
    <t>SERVICIOS GEOGRAFICOS WEB</t>
  </si>
  <si>
    <t>SISTEMAS DE POSICIONAMIENTO GEODESICO</t>
  </si>
  <si>
    <t>METODOS AVANZADOS EN ANALISIS DE IMÁGENES</t>
  </si>
  <si>
    <t>BASES DE DATOS</t>
  </si>
  <si>
    <t>INGENIERIA DE SOTFWARE II</t>
  </si>
  <si>
    <t>PATRONES DE ARQUITECTURA DE SOFTWARE</t>
  </si>
  <si>
    <t>CONSTRUCCION Y PRUEBAS DE SOFTWARE</t>
  </si>
  <si>
    <t>BIG DATA</t>
  </si>
  <si>
    <t>ANALITICA DE DATOS</t>
  </si>
  <si>
    <t>INTELIGENCIA DE NEGOCIOS</t>
  </si>
  <si>
    <t>COMPUTACION PARALELA</t>
  </si>
  <si>
    <t>TRABAJO DE GRADO II</t>
  </si>
  <si>
    <t>POLITICA SECTORIAL Y REGULACION EN TELECOMUNICACIONES</t>
  </si>
  <si>
    <t>ESTADISTICA ESPACIAL</t>
  </si>
  <si>
    <t>PROCESAMIENTO DIGITAL DE IMÁGENES Y ELABORACION DE PRODUCTOS CARTOGRAFICOS</t>
  </si>
  <si>
    <t>TENDENCIAS EN INGENIERIA DE SOFTWARE</t>
  </si>
  <si>
    <t>ROBOTICA</t>
  </si>
  <si>
    <t>Total</t>
  </si>
  <si>
    <t>Profundización / Investigación</t>
  </si>
  <si>
    <t>Fundamentales</t>
  </si>
  <si>
    <t>Profesor colaborador</t>
  </si>
  <si>
    <t>Herramientas matemáticas para el manejo de la información</t>
  </si>
  <si>
    <t>Hans Igor Lopez Y Luis Eduardo Castillo</t>
  </si>
  <si>
    <t> </t>
  </si>
  <si>
    <t>Informática</t>
  </si>
  <si>
    <t>Alvaro Ortiz - Alvaro Espinel</t>
  </si>
  <si>
    <t>Investigación</t>
  </si>
  <si>
    <t>Seminario de Investigación</t>
  </si>
  <si>
    <t>No está presente en el syllabus</t>
  </si>
  <si>
    <t>Trabajo de grado I</t>
  </si>
  <si>
    <t>No esta el syllabus</t>
  </si>
  <si>
    <t>Trabajo de grado II</t>
  </si>
  <si>
    <t>No está el syllabus</t>
  </si>
  <si>
    <t>Énfasis Geomática</t>
  </si>
  <si>
    <t>Bases de datos espaciales</t>
  </si>
  <si>
    <t>Alvaro Ortiz</t>
  </si>
  <si>
    <t>Análisis Espacial</t>
  </si>
  <si>
    <t>Luz Angela Roche</t>
  </si>
  <si>
    <t>Matemática avanzada y geoprocesamiento</t>
  </si>
  <si>
    <t>Ruben Javier Medina</t>
  </si>
  <si>
    <t>Método Avanzados en análisis de imágenes</t>
  </si>
  <si>
    <t>Corrección en el nombre a : Métodos…</t>
  </si>
  <si>
    <t>Procesamiento de imágenes y elaboración de productos cartográficos o fotogramétricos</t>
  </si>
  <si>
    <t>Carlos Melo</t>
  </si>
  <si>
    <t>Servicios Geográficos web</t>
  </si>
  <si>
    <t>Jose Valero</t>
  </si>
  <si>
    <t>Sistemas de posicionamiento geodésico</t>
  </si>
  <si>
    <t>Andres Cardenas</t>
  </si>
  <si>
    <t>Énfasis Ingeniería de Software</t>
  </si>
  <si>
    <t>Bases de datos</t>
  </si>
  <si>
    <t>Construcción y pruebas de software</t>
  </si>
  <si>
    <t>1.inconsistencia en el nombre en el documento. 2. Falta logo de la maestría en el syllabus</t>
  </si>
  <si>
    <t>Ingeniería de software I</t>
  </si>
  <si>
    <t>Alvaro Espinel</t>
  </si>
  <si>
    <t>Ingeniería de software II</t>
  </si>
  <si>
    <t>Henry Diosa</t>
  </si>
  <si>
    <t>Patrones y arquitecturas de software</t>
  </si>
  <si>
    <t>Tendencias en ingeniería de software</t>
  </si>
  <si>
    <t>Énfasis Teleinformática</t>
  </si>
  <si>
    <t>Aplicaciones sobre internet la nube</t>
  </si>
  <si>
    <t>Modelación y simulación de redes</t>
  </si>
  <si>
    <t>Marco Alzate</t>
  </si>
  <si>
    <t>Procesos estocásticos</t>
  </si>
  <si>
    <t>Redes</t>
  </si>
  <si>
    <t>Leonardo Plazas</t>
  </si>
  <si>
    <t xml:space="preserve">Avances en redes inalámbricas </t>
  </si>
  <si>
    <t>política sectorial y regulación en telecomunicaciones</t>
  </si>
  <si>
    <t>Octavio Salcedo</t>
  </si>
  <si>
    <t>Énfasis Inteligencia Artificial</t>
  </si>
  <si>
    <t>Big Data</t>
  </si>
  <si>
    <t>Inteligencia computacional aplicada</t>
  </si>
  <si>
    <t>Cesar Perdomo</t>
  </si>
  <si>
    <t>Inteligencia de Negocios</t>
  </si>
  <si>
    <t>Jairo Humberto Torres Acosta (QEPD)</t>
  </si>
  <si>
    <t>Elaborado por el doctorado en ingeniería</t>
  </si>
  <si>
    <t>Computación paralela</t>
  </si>
  <si>
    <t>Esteban Hernández Barragán</t>
  </si>
  <si>
    <t>Syllabus desactualizado</t>
  </si>
  <si>
    <t>Robótica</t>
  </si>
  <si>
    <t>FUNDAMENTALES</t>
  </si>
  <si>
    <t xml:space="preserve">TRABAJO DE GRADO </t>
  </si>
  <si>
    <t>Sin embargo, los estudiantes que se encuentren cursando la Maestría bajo uno de los otros 3 (tres) enfasis actuales (Ingenieria de Software, Teleinformatica y Geomatica) decide cambiar de énfasis a Inteligencia Artificial (énfasis entrante) se realizará una validación de los espacios académicos Obligatorios y si cuenta con espacios de enfasis cursados. Esta validación se deberá realizar por cada estudiante que lo requiera, dado que, pueden contar con diferentes espacios académicos cursados.</t>
  </si>
  <si>
    <t>INVESTIGACIÓN</t>
  </si>
  <si>
    <t>Asignatura cursada</t>
  </si>
  <si>
    <t>Asignatura homologada</t>
  </si>
  <si>
    <t>Semestre I</t>
  </si>
  <si>
    <t>Fundamental 1</t>
  </si>
  <si>
    <t>Obligatorio</t>
  </si>
  <si>
    <t>Fundamental 2</t>
  </si>
  <si>
    <t>Seminario de investigación</t>
  </si>
  <si>
    <t>Enfasis</t>
  </si>
  <si>
    <t>Electiva</t>
  </si>
  <si>
    <t>Semestre II</t>
  </si>
  <si>
    <t>Complementario</t>
  </si>
  <si>
    <t>Semestre III</t>
  </si>
  <si>
    <t>PROFUNDIZACIÓN</t>
  </si>
  <si>
    <t>RESOLUCIÓN 155 DE 2014</t>
  </si>
  <si>
    <t>REORGANIZACION PARA NUEVA RESOLUCIÓN</t>
  </si>
  <si>
    <t>Observaciones de la Resolucion 155 de 2014</t>
  </si>
  <si>
    <t>Observaciones de la organización del plan de estudios</t>
  </si>
  <si>
    <t>Espacios academicos de nucleo comun</t>
  </si>
  <si>
    <t>Se mantiene en el plan de estudios</t>
  </si>
  <si>
    <t>FUNDAMENTAL I</t>
  </si>
  <si>
    <t>FUNDAMENTAL II</t>
  </si>
  <si>
    <t>SEMINARIO DE INVESTIGACIÓN</t>
  </si>
  <si>
    <t>Tesis I</t>
  </si>
  <si>
    <t xml:space="preserve">Se realiza cambio de nombre con el fin de realizar una estandarización bajo el reglamento de trabajos de grado. </t>
  </si>
  <si>
    <t>Tesis II</t>
  </si>
  <si>
    <t>Espacios academicos Propuestos los cuales corresponden a la profundización del énfasis - se debem cursar tres para la modalidad de investigación, cinco para la modalidad de profundización. El tutor recomienda cuales materias tomar.</t>
  </si>
  <si>
    <t>Comunicaciones</t>
  </si>
  <si>
    <t xml:space="preserve">Se elimina del plan de estudio </t>
  </si>
  <si>
    <t>-</t>
  </si>
  <si>
    <t>Procesos estocasticos</t>
  </si>
  <si>
    <t>Modelado y Simulación de Redes</t>
  </si>
  <si>
    <t>Aplicaciones sobre internet en la nube</t>
  </si>
  <si>
    <t>Espacio Academico propuestos como electivas del enfasis - se deben cursar dos Espacios para la modalidad de investigacion como para la de profundización.
El tutor recomienda cuales materias tomar</t>
  </si>
  <si>
    <t>Redes ópticas
Encaminamiento Avanzado 
Calidad de servicio avanzada
Politica Sectorial y regulación en telecomunicaciones
Diseño y modelamiento de antena
Redes de nueva generación 
Criptología</t>
  </si>
  <si>
    <t xml:space="preserve">Se crea el espacio academico </t>
  </si>
  <si>
    <t>Se reorganiza la electiva dentro de las asignatura de enfasis</t>
  </si>
  <si>
    <t>Espacios academicos Propuesttos los cuales corresponden a la profundización del énfasis - se debem cursar tres para la modalidad de investigación, cinco para la modalidad de profundización. El tutor recomienda cuales materias tomar.</t>
  </si>
  <si>
    <t>Analisis Espacial</t>
  </si>
  <si>
    <t>Servicios Geograficos Web</t>
  </si>
  <si>
    <t>Sistemas de posicionamiento geodesico</t>
  </si>
  <si>
    <t>Metodos avanzados en anaisis de imágenes</t>
  </si>
  <si>
    <t>Ingenieria de sotfware I</t>
  </si>
  <si>
    <t>Ingenieria de sotfware II</t>
  </si>
  <si>
    <t>Patrones de arquitectura de software</t>
  </si>
  <si>
    <t>Tendencias en ingenieria de software</t>
  </si>
  <si>
    <t>El espacio academico de se cambia de enfasis</t>
  </si>
  <si>
    <t>Big data</t>
  </si>
  <si>
    <t>Se mantiene la asignatura y se incluye para el enfasis.</t>
  </si>
  <si>
    <t>Nombre del espacio académico</t>
  </si>
  <si>
    <t xml:space="preserve">SEMINARIO </t>
  </si>
  <si>
    <t>Tesis I (Modalidad Profundización)</t>
  </si>
  <si>
    <t>Tesis II (Modalidad Investigación)</t>
  </si>
  <si>
    <t>Espacios académicos Propuestos los cuales corresponden a la profundización del énfasis - se deben cursar tres para la modalidad de investigación, cinco para la modalidad de profundización. El tutor recomienda cuales materias tomar.</t>
  </si>
  <si>
    <t>Espacio Académico propuestos como electivas del énfasis - se deben cursar dos Espacios para la modalidad de investigación como para la de profundización.
El tutor recomienda cuales materias tomar</t>
  </si>
  <si>
    <t>Redes ópticas
Encaminamiento Avanzado 
Calidad de servicio avanzada
Política Sectorial y regulación en telecomunicaciones
Diseño y modelamiento de antena
Redes de nueva generación 
Criptología</t>
  </si>
  <si>
    <t>Servicios Geográficos Web</t>
  </si>
  <si>
    <t>Métodos avanzados en análisis de imágenes</t>
  </si>
  <si>
    <t>Geoservicios
Matemáticas avanzadas y geoprocesamiento</t>
  </si>
  <si>
    <t>Electiva Redes de siguiente generación
Big Data
Emprendimiento y Gestión Tecnológica
Gestión del Conocimiento</t>
  </si>
  <si>
    <t>DENOMINACIÓN RESOLUCIÓN 155 DE 2014</t>
  </si>
  <si>
    <t xml:space="preserve">NUEVA DENOMINACIÓN </t>
  </si>
  <si>
    <t>Espacio Academico</t>
  </si>
  <si>
    <t>Nombre espacio académico</t>
  </si>
  <si>
    <t>SEMINARIO</t>
  </si>
  <si>
    <t xml:space="preserve">Tesis I </t>
  </si>
  <si>
    <t>Tesis I (Modalidad Investigación)</t>
  </si>
  <si>
    <t>TRABAJO DE GRADO II (Modalidad Investigación)</t>
  </si>
  <si>
    <t xml:space="preserve">A) Se sugiere adoptar una denominación para el documento que haga alusión al carácter articulador del ejercicio con la información reportada en el proceso de Registro Calificado para cada uno de los componentes: Investigación y Profundización. </t>
  </si>
  <si>
    <t xml:space="preserve">b) Se requiere que el documento dé cuenta del alcance de las modificaciones en cada uno de los componentes: Investigación y Profundización. </t>
  </si>
  <si>
    <t xml:space="preserve">c) Se requiere precisar las modificaciones que se integraron al plan de estudios de la Maestría; que no corresponden exclusivamente a integración de espacios académicos a cuatro (4) de los énfasis aprobados en la Resolución N°032 de 21 de octubre de 2002. </t>
  </si>
  <si>
    <t>d) Se debe incluir que el trámite de actualización del acto administrativo que sustenta el plan de estudios del programa surge de la necesidad de armonizar la información reportada en el proceso de Registro Calificado, radicado en 2022 ante el Ministerio de Educación Nacional; lo cual tiene incidencia en la estructura del plan de estudios cargada en el Sistema de Gestión Académica.</t>
  </si>
  <si>
    <t xml:space="preserve">e) Es pertinente integrar tablas comparativas de los planes de estudio (vigente/ nuevo) con el objetivo de facilitar la comprensión del alcance de las modificaciones en cada uno de los componentes. </t>
  </si>
  <si>
    <t>f) Se requiere referenciar los documentos que sustentan las discusiones al interior del programa sobre las cuales se definieron las modificaciones.</t>
  </si>
  <si>
    <t xml:space="preserve"> g) Es necesario definir la diferencia entre cada uno de los componentes y cómo esta se refleja en la estructura curricular del programa. </t>
  </si>
  <si>
    <t xml:space="preserve">h) Es pertinente argumentar por qué no se han ofertado la totalidad de los énfasis aprobados por el Consejo Superior Universitario en la Resolución N°032 de octubre de 2002 y, si la determinación es no ofertarlos en lo sucesivo, explicar cuáles son los motivos de la decisión. </t>
  </si>
  <si>
    <t>i) Es conveniente evaluar el apartado de “Plan de transición” ya que se anuncia que no se requiere, pero se presentan criterios para los estudiantes interesados de pasar de un énfasis a otro.</t>
  </si>
  <si>
    <t xml:space="preserve"> j) Se debe tener en cuenta que en la reglamentación institucional no existe el concepto de electivos complementarios, por lo que la alusión en el documento no es correcta. </t>
  </si>
  <si>
    <t xml:space="preserve">k) Es necesario contar con exposición de los motivos por los cuales se asumiría el concepto de énfasis solamente y no profundización que está integrado a la Resolución N°155 de 23 de septiembre de 2014. </t>
  </si>
  <si>
    <t xml:space="preserve">l) En los soportes allegados no se encuentran los syllabus de los espacios académicos; estos corresponden a todos los que sustentan el plan de estudios actualizado, no solamente los espacios académicos integrados. </t>
  </si>
  <si>
    <t>m) Es necesario contar con información sobre los motivos por los cuales, entre uno y otro énfasis, difiere el número de espacios académicos disponibles para ser cursados.</t>
  </si>
  <si>
    <t>✓ La presentación de modificaciones al plan de estudios se debe dar en la plantilla institucional estructurada para tal fin. Dado el carácter del proceso que se adelanta para la Maestría se sugiere evaluar la pertinencia del desarrollo de los apartados.</t>
  </si>
  <si>
    <t>La Vicerrectoría Académica en el oficio 2024IE3860 solicita el desarrollo de diferentes aspectos, los
cuales no se ven reflejados en el documento recibido:
• Indicar cuáles son los cambios que se hicieron respecto a la Resolución N°155 de 23 de septiembre de
2014 y los argumentos que sustentan dichos cambios, atendiendo a la consideración que cualquier cambio
en el plan de estudios se entiende como modificación.
• Incluir una tabla comparativa entre los dos planes de estudio.
• Definir el plan de homologación y transición para estudiantes activos.
• Explicar detalladamente cómo se hará la gestión curricular respecto a los espacios académicos comunes
en uno y otro componente.</t>
  </si>
  <si>
    <t>En cuanto a los planes de estudio (vigente y actualizado), el día de ayer, como resultado de los compromisos de la
reunión se recibió el plan de estudios actualizado en Excel con base en el cual se hizo un ejercicio comparativo
encontrando que:
a) El plan de estudios reportado en el proceso de Registro Calificado e integrado en el documento de
modificación, sitúa los énfasis como electivos; estos, según lo informado por la Coordinación del Proyecto
Curricular en la reunión, se corresponden con los espacios académicos denominados profundización. En
este caso, se está modificando el carácter del espacio académico, pues profundización es obligatorio.
b) En posgrado, los espacios académicos se clasifican en obligatorios y electivos por lo que la clasificación
de énfasis no es coherente en la tabla entregada por el programa (ver Acuerdo N°009 de 12 de septiembre
de 2006, artículo 13).</t>
  </si>
  <si>
    <t>Los espacios académicos Fundamental (I, II, II), Seminario, Tesis I y Tesis II, de la resolución de 2014 que sustenta el plan de estudios, tienen asociado un espacio académico únicamente, por lo que no se considera pertinente manejarlos con la estructura de asociación. Situación que no se refleja en el plan de estudios actualizado, lo cual es coherente con la sugerencia, pero requiere una exposición clara sobre los motivos que sustentan el cambio en la denominación del espacio</t>
  </si>
  <si>
    <t>d) La resolución de 2014 incluye como espacio académico Seminario, pero en el plan de estudios actualizado se refiere como Seminario de investigación, lo cual también implica un cambio en la denominación del espacio.</t>
  </si>
  <si>
    <t>NO APLICA</t>
  </si>
  <si>
    <t>e) El espacio académico de Big Data en el plan de estudios actualizado respecto al vigente en resolución del Consejo Académico, se cambia de énfasis, lo cual implica una reubicación del espacio académico, también se entiende como modificación.</t>
  </si>
  <si>
    <t>f) En el plan de estudios (vigente) se indica que Tesis I y Defensa de tesis (en algunas tablas Tesis II), se reporta como espacios comunes, lo cual no corresponde; en el caso de Trabajo de grado I y Trabajo de grado II, del plan de estudios (actualizado) se reportan dos Trabajos de grado II para profundización</t>
  </si>
  <si>
    <t>g) La resolución vigente incluye precisiones sobre el número de espacios académicos electivos que se deben cursar según el énfasis, situación que genera incertidumbre sobre el carácter del énfasis que se define como electivo en el plan de estudios actualizado y las electivas que tienen indicación de que deben ser cursadas en el énfasis, ya que básicamente se trata de dos espacios académicos de igual naturaleza y aporte al proceso formativo.</t>
  </si>
  <si>
    <t>1. El documento no expone de manera suficiente el tipo de modificaciones, el alcance, la gestión curricular de un plan de estudios común que permite la trayectoria formativa del estudiante según el componente al que pertenece. Pues como se ha mencionado en diferentes reuniones con la Maestría la intención es tener un mismo plan de estudios que permite la movilidad según los escenarios de formación.</t>
  </si>
  <si>
    <t>2. El documento exige una argumentación sobre los motivos que determinaron las modificaciones en el plan de estudios, más allá de la necesidad de integrar Inteligencia artificial.</t>
  </si>
  <si>
    <t>3. El documento no refiere una conceptualización clara sobre lo que se entiende por énfasis y los modos como esta organización permite alcanzar el perfil de egreso.</t>
  </si>
  <si>
    <t>4. En el caso que se considere solamente ofertar cuatro (4) de los seis (6) énfasis aprobados por el Consejo Superior Universitario, se requiere contar con la argumentación sobre si se van a ofertar en un futuro o si definitivamente no tendrán continuidad en la oferta del programa, pues se requiere esta información para los considerandos del acto administrativo.</t>
  </si>
  <si>
    <t>5. Aunque el Ministerio de Educación Nacional cuenta con información de la organización de los espacios académicos asociados a diferentes énfasis, la aprobación de la estructura del plan de estudios y todo el componente curricular debe estar sustentado en un acto administrativo del Consejo Académico, sin excepción.</t>
  </si>
  <si>
    <t>Maestría en Ciencias de la Información y las Comunicaciones</t>
  </si>
  <si>
    <t>ÍTEM</t>
  </si>
  <si>
    <t>FECHA</t>
  </si>
  <si>
    <t xml:space="preserve">REMITENTE </t>
  </si>
  <si>
    <t>COMUNICACIÓN  (Enviado o Recibido desde CCYC  )</t>
  </si>
  <si>
    <t>ASUNTO</t>
  </si>
  <si>
    <t>DOCUMENTOS  ANEXOS</t>
  </si>
  <si>
    <t>Año 2020</t>
  </si>
  <si>
    <t>Acreditación de Alta Calidad Universidad Distrital (acreditacionpc@udistrital.edu.co)</t>
  </si>
  <si>
    <t>Recibido CAFI</t>
  </si>
  <si>
    <t>AA-AAC-MCIC-INFORME DE PARES ACADÉMICOS DE LA MAESTRÍA EN CIENCIAS DE LA INFORMACIÓN Y DE LAS COMUNICACIONES</t>
  </si>
  <si>
    <r>
      <rPr>
        <u/>
        <sz val="11"/>
        <color rgb="FF0563C1"/>
        <rFont val="Calibri"/>
        <family val="2"/>
        <scheme val="minor"/>
      </rPr>
      <t xml:space="preserve">4. CUADRO_ MAESTRO_DOCTORADO Y MAESTRIA (1)
3_Formato Eval Pares 2014 Ultima Version (14)
</t>
    </r>
    <r>
      <rPr>
        <b/>
        <u/>
        <sz val="11"/>
        <color rgb="FF0563C1"/>
        <rFont val="Calibri"/>
        <family val="2"/>
        <scheme val="minor"/>
      </rPr>
      <t xml:space="preserve">2. Distritl_Maes_Inf_Comunicacioanes (1)
</t>
    </r>
    <r>
      <rPr>
        <u/>
        <sz val="11"/>
        <color rgb="FF0563C1"/>
        <rFont val="Calibri"/>
        <family val="2"/>
        <scheme val="minor"/>
      </rPr>
      <t>formato Comentarios del rector 2020</t>
    </r>
  </si>
  <si>
    <t>MCIC</t>
  </si>
  <si>
    <t>Re: AA-AAC-MCIC-INFORME DE PARES ACADÉMICOS DE LA MAESTRÍA EN CIENCIAS DE LA INFORMACIÓN Y DE LAS COMUNICACIONES</t>
  </si>
  <si>
    <r>
      <rPr>
        <b/>
        <u/>
        <sz val="11"/>
        <color rgb="FF0563C1"/>
        <rFont val="Calibri"/>
        <family val="2"/>
        <scheme val="minor"/>
      </rPr>
      <t xml:space="preserve">Comentarios del rector 2020_MCIC
</t>
    </r>
    <r>
      <rPr>
        <u/>
        <sz val="11"/>
        <color rgb="FF0563C1"/>
        <rFont val="Calibri"/>
        <family val="2"/>
        <scheme val="minor"/>
      </rPr>
      <t>Eval_Par1_MCIC
Eval_Par2_MCIC
CUADRO_ MAESTRO_MCIC</t>
    </r>
  </si>
  <si>
    <t>Autoevaluación y Acreditación Universidad Distrital (acreditacion@udistrital.edu.co)</t>
  </si>
  <si>
    <t>AA-AAC-CNA-RESPUESTA: Oficio_0661 Sol_Com_Rector_MaestC Infory Comun_UDFJC</t>
  </si>
  <si>
    <t>Anexo 1
Anexo 2
Eval_Par1_MCIC (1)
Eval_Par2_MCIC (1)
CUADRO_ MAESTRO_MCIC (1)
AA-AAC-RCT-ComentariosRector_2020_MCIC - firmado</t>
  </si>
  <si>
    <t>Entrega Informe de Autoevaluación</t>
  </si>
  <si>
    <t>https://drive.google.com/drive/folders/1LyosGkRsKQzyU11jNmjtFu2yvZBYRhLS?usp=gmail</t>
  </si>
  <si>
    <t>Año 2021</t>
  </si>
  <si>
    <t>Comité de Acreditación Facultad de Ingeniería (cafi@udistrital.edu.co)</t>
  </si>
  <si>
    <t>Enviado CAFI</t>
  </si>
  <si>
    <t>Re: Radicación Documento de Registro Calificado</t>
  </si>
  <si>
    <t>Sin anexos</t>
  </si>
  <si>
    <t>Maestría en Ciencias de la Información y las Comunicaciones (mtteleinformatica@udistrital.edu.co)</t>
  </si>
  <si>
    <t>Radicación Documento de Registro Calificado</t>
  </si>
  <si>
    <t>https://drive.google.com/drive/folders/1LyosGkRsKQzyU11jNmjtFu2yvZBYRhLS?usp=sharing</t>
  </si>
  <si>
    <t>CAFI PC-038</t>
  </si>
  <si>
    <t>Secretaria Academica Ingenieria (asecing@udistrital.edu.co)</t>
  </si>
  <si>
    <t>DECISION CONSEJO DE FACULTAD SESION 09 DE 2021</t>
  </si>
  <si>
    <t>Radicacion Documentos de registro calificado</t>
  </si>
  <si>
    <t>https://drive.google.com/drive/folders/1HDRAWb-tgg7xDOFmw9oEJvF290csoHaW?usp=sharing</t>
  </si>
  <si>
    <t>Viabilidad financiera investigacion
Viabilidad financiera profundizacion
DOC MAES REGCALI MCIC-PROF (1)
DOC MAES REGCALI MCIC-INV (1)</t>
  </si>
  <si>
    <t>CAFI PC -043 Documentos de RRC Maestría en Ciencias de la Información y las Comunicaciones</t>
  </si>
  <si>
    <t>Documentos anexos</t>
  </si>
  <si>
    <t>Registro Calificado - Autoevaluación y Acreditación (regcalificado@udistrital.edu.co)</t>
  </si>
  <si>
    <t>AA-RC-Reunión revisión inquietudes u observaciones FEF Maestría en Ciencias de la Información y las Comunicaciones- componente profundización</t>
  </si>
  <si>
    <t>AA-RC-Observaciones formato de evaluación financiera Maestría en Ciencias de la Información y las Comunicaciones</t>
  </si>
  <si>
    <t>AA-PADM F.E.F. MICI 22-04-21</t>
  </si>
  <si>
    <t>Re: AA-RC-Observaciones formato de evaluación financiera Maestría en Ciencias de la Información y las Comunicaciones</t>
  </si>
  <si>
    <t>Viabilidad financiera profundizacion V3</t>
  </si>
  <si>
    <t>AA-RC-Remisión solicitud trámite componente Profundización de la Maestría en Ciencias de la Información y las Comunicaciones</t>
  </si>
  <si>
    <t>Estado del trámite Acreditación de alta Calidad Maestría en Ciencias de la Información y las Comunicaciones</t>
  </si>
  <si>
    <t>AA-AAC-MCIC-RESPUESTA: Estado del trámite Acreditación de alta Calidad Maestría en Ciencias de la Información y las Comunicaciones</t>
  </si>
  <si>
    <t>488-AA-AAC-CNA-Slct estado de los programas radicados en el marco de la AAC y RN radicados ante el CNA
Correo de Universidad Distrital Francisco José de Caldas - AA-AAC-CNA-SOLICITUD ESTADO DE LOS PROGRAMAS RADICADOS EN EL MARCO DE LA ACREDITACIÓN DE ALTA CALIDAD Y RENOVACIÓN RADICADOS ANTE EL CNA</t>
  </si>
  <si>
    <t>Año 2022</t>
  </si>
  <si>
    <t>Secretaria Academica Facultad Ing. (secing@udistrital.edu.co)</t>
  </si>
  <si>
    <t>Fwd: MAESTRÍA CIC-1015 - Inclusión del énfasis en Telemedicina</t>
  </si>
  <si>
    <t>015 Inclusión del énfasis en Telemedicina.docx
Documento para Inclusión del énfasis en Telemedicina (1) modificado febreo de 2022</t>
  </si>
  <si>
    <t>Registro Calificado - Vicerrectoría Académica
(regcalificado@udistrital.edu.co)</t>
  </si>
  <si>
    <t>RC-Observaciones proceso renovación Registro Calificado MCIC-Inv</t>
  </si>
  <si>
    <t>E2-Observaciones prc MCIC-27-04-22</t>
  </si>
  <si>
    <t>RC-Trazabilidad proceso de renovación al Registro Calificado de la Maestría en Ciencias de la Información y las Comunicaciones</t>
  </si>
  <si>
    <t>AA-RC-Trazabilidad proceso MCIC-20-04-22-Ajst</t>
  </si>
  <si>
    <t>RC-Aspectos centrales devolución proceso RC MCIC</t>
  </si>
  <si>
    <t>Observaciones proceso renovación Registro Calificado</t>
  </si>
  <si>
    <t>RC-Cambio de estado proceso renovación RC Maestría en Ciencias de la Información y las Comunicaciones-Componente profundización</t>
  </si>
  <si>
    <t>E2-Estado Debida forma-20-05-22</t>
  </si>
  <si>
    <t>RC-Soportes radicación respuesta observaciones MEN renovación RC MCIC-Componente investigación</t>
  </si>
  <si>
    <t>RC-Información proceso renovación RC Maestría en Ciencias de la Información y las Comunicaciones (RD4991/RD4994)</t>
  </si>
  <si>
    <t>4991-MCIC-Inv-2022-EE-143248-Maes Ciencias Inf Comunicaciones-Inv
4994-MCIC-Prof-2022-EE-143253-Maes Ciencias Inf Comunicaciones-Prof</t>
  </si>
  <si>
    <t>Re: RC-Información proceso renovación RC Maestría en Ciencias de la Información y las Comunicaciones (RD4991/RD4994)</t>
  </si>
  <si>
    <t>RC-Información gestión proceso RC y AAC Maestría en Ciencias de la Información y las Comunicaciones</t>
  </si>
  <si>
    <t>15992-RC-FI-Información estado proceso MCIC-31-08-22</t>
  </si>
  <si>
    <t>RC-Aspectos visita de pares académicos MEN Maestría en Ciencias de la Información y las Comunicaciones</t>
  </si>
  <si>
    <t>20255-RC-FI-Inf visitas RC MEN-MCIC-Inv Prf-04-10-22.docx
AGENDA DECRETO 1330-021795 PRESENCIAL FINAL</t>
  </si>
  <si>
    <t>AAC-Información proceso solicitud Acreditación en Alta Calidad-Maestría en Ciencias de la Información y las Comunicaciones</t>
  </si>
  <si>
    <t>21841-AAC-FI-Inf prcs AAC MCIC CNA-21-10-22.docx</t>
  </si>
  <si>
    <t>Recibido CCyC</t>
  </si>
  <si>
    <t>RC-Información proceso Registro Calificado-Maestría en Ciencias de la Información y las Comunicaciones</t>
  </si>
  <si>
    <t>22009-RC-FI-Información estado proceso MCIC-26-10-22.docx</t>
  </si>
  <si>
    <t>RC-Información RC Maestría en Ciencias de la Información y las Comunicaciones</t>
  </si>
  <si>
    <t>24953-RC-FI-Inform Slc reunión MEN prc RC MCIC-28-11-22.docx</t>
  </si>
  <si>
    <t>RE: RC-Información RC Maestría en Ciencias de la Información y las Comunicaciones</t>
  </si>
  <si>
    <t>Año 2023</t>
  </si>
  <si>
    <t>Recibido</t>
  </si>
  <si>
    <t>RC-Información proceso renovación de Registro Calificado de la Maestría en Ciencias de la Información y las Comunicaciones</t>
  </si>
  <si>
    <t>4597-RC-FI-Inform prc RC MCIC-16-03-23</t>
  </si>
  <si>
    <t>RC-Información del estado del proceso de renovación del Registro Calificado de la Maestría en Ciencias de la Información y las Comunicaciones (Profundización (RD4994) e Investigación (RD4991)) de acuerdo con la reunión desarrollada con el Ministerio de Ed</t>
  </si>
  <si>
    <t>5789-RC-FI-Inform prc RC MCIC-27-03-23</t>
  </si>
  <si>
    <t>RC-Información sobre proceso de renovación del Registro Calificado de la Maestría en Ciencias de la Información y las Comunicaciones (caso RD4991 (Investigación) y Caso RD4994 (Profundización).</t>
  </si>
  <si>
    <t>8768-FI-RC-Infrm proceso Rn RC Gest VA-16-05-23</t>
  </si>
  <si>
    <t>Secretaría Académica Ingeniería</t>
  </si>
  <si>
    <t>DECISIÓN CONSEJO DE FACULTAD SESIÓN 024 DE 2022</t>
  </si>
  <si>
    <t>Carpeta compartida en Drive "5.1.1 en Telemedicina" (no se puede acceder desde el CCyC)</t>
  </si>
  <si>
    <t xml:space="preserve">RC-Información proceso renovación Registro Calificado Maestría en Ciencias de la Información y las Comunicaciones </t>
  </si>
  <si>
    <t>11107-RC-FI-Inform prc RC MCIC-08-06-23</t>
  </si>
  <si>
    <t>RC-Notificación Resolución N°009931 de 2023-renovación Registro Calificado MCIC Profundización</t>
  </si>
  <si>
    <t>Res 00995 junio 2023-Rn RC Prof MCIC-22-06-23</t>
  </si>
  <si>
    <t>(Alcance) RC-Notificación Resolución N°009925 de 2023-renovación Registro Calificado MCIC Profundización</t>
  </si>
  <si>
    <t>Res 009925 junio 2023-Rn RC Prof MCIC-22-06-23</t>
  </si>
  <si>
    <t xml:space="preserve">RC-Información Registro Calificado Maestría en Ciencias de la Información y las Comunicaciones </t>
  </si>
  <si>
    <t>11897-RC-FI-Infr proceso Rn RC MCIC-Prof-05-07-23</t>
  </si>
  <si>
    <t xml:space="preserve">AAC-Información concepto Consejo Nacional de Acreditación al  proceso de Autoevaluación del programa en el marco de la Acreditación en Alta Calidad. </t>
  </si>
  <si>
    <t>12905-AAC-FI-Infr Plan mejoramiento MCIC-06-07-23</t>
  </si>
  <si>
    <t>REUNIÓN: AAC-PM-Orientación actualización plan de mejoramiento MCIC</t>
  </si>
  <si>
    <t>CCyC</t>
  </si>
  <si>
    <t>Enviado</t>
  </si>
  <si>
    <t>Solicitud Plan de Mejoramiento.</t>
  </si>
  <si>
    <t>RE: Solicitud Plan de Mejoramiento.</t>
  </si>
  <si>
    <t>Anexo 34. Plan de mejoramiento</t>
  </si>
  <si>
    <t>Solicitud de reunión</t>
  </si>
  <si>
    <t>RE: Solicitud de reunión</t>
  </si>
  <si>
    <t>Documento guía Plan de Mejoramiento.</t>
  </si>
  <si>
    <t>Guía No. 4 CNA - Seguimiento Planes de Mejoramiento</t>
  </si>
  <si>
    <t>RE: Documento guía Plan de Mejoramiento. 
(envío documentación solicitada)</t>
  </si>
  <si>
    <t>Visita_2020 (enlace OneDrive)</t>
  </si>
  <si>
    <t>RC-Remisión copia de la comunicación dirigida al Ministerio de Educación Nacional sobre asignación código SNIES MPLLC-MCIC-Prf</t>
  </si>
  <si>
    <t>1832-RC-MEN-Cnst asignación Cód SNIES-25-07-23
1832-MEN-RC-Número de radicado-25-07-23</t>
  </si>
  <si>
    <t>AAC-Notificación Resolución N°013033 con la cual se corrige el acto administrativo que otorgó la Acreditación en la Maestría en Ciencias de la Información y las Comunicaciones</t>
  </si>
  <si>
    <t>Res N°13033 julio 2023-AAC MCIC</t>
  </si>
  <si>
    <t>(Reiteración) AAC-Notificación Resolución N°013033 con la cual se corrige el acto administrativo que otorgó la Acreditación en la Maestría en Ciencias de la Información y las Comunicaciones</t>
  </si>
  <si>
    <t>Res N°13033 julio 2023-AAC MCIC (1)</t>
  </si>
  <si>
    <t>(Alcance) RC-Copia comunicación dirigida al Ministerio de Educación Nacional sobre el estado del proceso de renovación del Registro Calificado MCIC-Inv</t>
  </si>
  <si>
    <t>1833-RC-MEN-Cnst acto adms MCIC-Inv-25-07-23
1833-MEN-RC-Número de radicado-25-07-23</t>
  </si>
  <si>
    <t>RE (Alcance) RC-Copia comunicación dirigida al Ministerio de Educación Nacional sobre el estado del proceso de renovación del Registro Calificado MCIC-Inv</t>
  </si>
  <si>
    <t>1833-MEN-RC-Rta estado proceso Rn RC MCIC-08-08-23</t>
  </si>
  <si>
    <t>RE (Reiteración) AAC-Notificación Resolución N°013033 con la cual se corrige el acto administrativo que otorgó la Acreditación en la Maestría en Ciencias de la Información y las Comunicaciones</t>
  </si>
  <si>
    <t>2003-MEN-RC-Número radicado-18-08-23
2003-RC-MEN-Información registrada-18-08-23
2003-RC-MEN-Notf Resolución 013033 MCIC-RC-15-08-23</t>
  </si>
  <si>
    <t>Solicitud plan de mejoramiento.</t>
  </si>
  <si>
    <t>RE: Solicitud plan de mejoramiento.</t>
  </si>
  <si>
    <t>Anexo 34. Plan de mejoramiento 2020
Anexo 34. Plan de mejoramiento 2018
Documento de condiciones iniciales</t>
  </si>
  <si>
    <t>RC-Copia respuesta Ministerio de Educación Nacional a las observaciones de la Resolución N°013033 de 2023 y notificación de número SNIES</t>
  </si>
  <si>
    <t>2003-RC-MEN-Notf Resolución 013033 MCIC-RC-15-08-23 (1)
2003-MEN-RC-Rta const RC MCIC-31-08-23
SNIES-Información registro MCIC-Profundización</t>
  </si>
  <si>
    <t>(Importante) RC-Notificación Resolución N°016163 de 2023-Renovación Registro Calificado Maestría en Ciencias de la Información y las Comunicaciones</t>
  </si>
  <si>
    <t>Res N°16163 de septiembre de 2023-MCIC-Inv</t>
  </si>
  <si>
    <t>REUNIÓN: RC-Revisión aspectos implementación MCIC-Profundización e Investigación</t>
  </si>
  <si>
    <t>RE: (Importante) RC-Notificación Resolución N°016163 de 2023-Renovación Registro Calificado Maestría en Ciencias de la Información y las Comunicaciones</t>
  </si>
  <si>
    <t>REUNION PLAN DE MEJORAMIENTO</t>
  </si>
  <si>
    <t>RE: REUNION PLAN DE MEJORAMIENTO</t>
  </si>
  <si>
    <t>Reunión plan de mejoramiento
(Reunión vía Microsoft Teams)</t>
  </si>
  <si>
    <t>REUNION</t>
  </si>
  <si>
    <t>RC-Aspectos reunión con Maestría en Ciencias de la Información y las Comunicaciones- Profundización (Código SNIES: 116070) y Maestría en Ciencias de la Información y las Comunicaciones (Código SNIES: 17528) desarrollada el 20 de septiembre de 2023</t>
  </si>
  <si>
    <t>18002-RC-FI-Asp reunión MCIC-Inv-Prof-09-10-23</t>
  </si>
  <si>
    <t>REITERE: SOLICITUD RESPUESTA: ALCANCE : (Respuesta)-RC-Información Resolución plan de estudios</t>
  </si>
  <si>
    <t>Oficio vicerectoria</t>
  </si>
  <si>
    <t>Matriz base para plan de mejoramiento 2024-2026</t>
  </si>
  <si>
    <t>Plan-24-26</t>
  </si>
  <si>
    <t>Solicitud de reunion</t>
  </si>
  <si>
    <t>(Reenv) RC-Aspectos reunión con Maestría en Ciencias de la Información y las Comunicaciones- Profundización (Código SNIES: 116070) y Maestría en Ciencias de la Información y las Comunicaciones (Código SNIES: 17528) desarrollada el 20 de septiembre de 2023</t>
  </si>
  <si>
    <t>18002-RC-FI-Asp reunión MCIC-Inv-Prof-09-10-23 (1)</t>
  </si>
  <si>
    <t>RE: Solicitud de reunion</t>
  </si>
  <si>
    <t>RE: REITERE: SOLICITUD RESPUESTA: ALCANCE : (Respuesta)-RC-Información Resolución plan de estudios</t>
  </si>
  <si>
    <t>20798-RC-FI-Rta Slc plan de estudios MCIC-03-11-23</t>
  </si>
  <si>
    <t>AAC-Solicitud información para agendamiento de reunión con la Maestría en Ciencias de la Información y las Comunicaciones</t>
  </si>
  <si>
    <t>RE: AAC-Solicitud información para agendamiento de reunión con la Maestría en Ciencias de la Información y las Comunicaciones</t>
  </si>
  <si>
    <t>(Respuesta) AAC-Solicitud información para agendamiento de reunión con la Maestría en Ciencias de la Información y las Comunicaciones</t>
  </si>
  <si>
    <t>AAC-Invitación a reunión para revisar Plan de mejoramiento de la Maestría en Ciencias de la Información y las Comunicaciones</t>
  </si>
  <si>
    <t>RE: AAC-Invitación a reunión para revisar Plan de mejoramiento de la Maestría en Ciencias de la Información y las Comunicaciones</t>
  </si>
  <si>
    <t>AAC-Reunión PM MCIC</t>
  </si>
  <si>
    <t>Cancelado: Cancelado: AAC-Agendamiento espacio de trabajo MCIC-Plan mejoramiento</t>
  </si>
  <si>
    <t>(Respuesta) AAC-Invitación a reunión para revisar Plan de mejoramiento de la Maestría en Ciencias de la Información y las Comunicaciones</t>
  </si>
  <si>
    <t>acta_2021-014 CA
Anexo Fwd Radicacion Documentos de registro calificado (17-03-21)
anexo 2. 013- AVL PARA CAFI
anexo 3. Aval Facultad
comi2_2021-008 CSU</t>
  </si>
  <si>
    <t>Año 2024</t>
  </si>
  <si>
    <t>CREACION DE PROGRAMA EN SGA</t>
  </si>
  <si>
    <t>articles-387348_archivo_pdf
Resolución No. 07, MCIC, investigación.docx (2)
2015-RESOLUCION 2015
Res N°16163 de septiembre de 2023-MCIC-Inv
20798-RC-FI-Rta Slc plan de estudios MCIC-03-11-23
res_2014-155</t>
  </si>
  <si>
    <t>2015-RESOLUCION 2015
20798-RC-FI-Rta Slc plan de estudios MCIC-03-11-23
acta_2021-014 CA
anexo 2. 013- AVL PARA CAFI
anexo 3. Aval Facultad
Anexo Fwd Radicacion Documentos de registro calificado (17-03-21)
articles-387348_archivo_pdf
comi2_2021-008 CSU
Res N°16163 de septiembre de 2023-MCIC-Inv
res_2014-155
Resolución No. 07, MCIC, investigación.docx (2)</t>
  </si>
  <si>
    <t>falta</t>
  </si>
  <si>
    <t>o</t>
  </si>
  <si>
    <t>FUNDAMENTAL I
HERRAMIENTAS MATEMATICAS PARA EL MANEJO DE LA INFORMACION</t>
  </si>
  <si>
    <t>FUNDAMENTAL II 
INFORMATICA</t>
  </si>
  <si>
    <t>NINGUNA</t>
  </si>
  <si>
    <t>TESIS I</t>
  </si>
  <si>
    <t>Cambio de denominación</t>
  </si>
  <si>
    <t>TESIS II</t>
  </si>
  <si>
    <t>Énfasis</t>
  </si>
  <si>
    <t>Se reorganiza dentro del énfasis  de IA</t>
  </si>
  <si>
    <t>Se crea el espacio académico</t>
  </si>
  <si>
    <t>Se reorganiza dentro del énfasis  de TELEINFORMATICA</t>
  </si>
  <si>
    <t>Se reorganiza dentro del énfasis  de GEOMATICA</t>
  </si>
  <si>
    <t>Creditos</t>
  </si>
  <si>
    <t>N/A</t>
  </si>
  <si>
    <t>Se denomina el documento según las observaciones dadas.</t>
  </si>
  <si>
    <t>Se presenta en cada capitulo las modificaciones, diferencias y observaciones en ambos componentes</t>
  </si>
  <si>
    <t>Se integra la información de los espacios academicos que se incluyen para el enfasis de Inteligencia Artificial.</t>
  </si>
  <si>
    <t>Se presenta como anexo los registros calificados del programa.</t>
  </si>
  <si>
    <t>Se integran las tablas solicitadas en el apartado n° 4 comparacion planes de estudio</t>
  </si>
  <si>
    <t>En la justificación se informa en las diferentes discusiones donde se definieron las modificaciones.</t>
  </si>
  <si>
    <t>En el ultimo parrafo de la justificación se presenta esta diferenciación, asi mismo en el apartado n° 4 se presenta la diferenciaicón en cuanto a creditos academicos y distribución de planes de estudio de ambos componentes</t>
  </si>
  <si>
    <t>En el ultimo parrafo del apartado n° 3 se presenta esta argumentación</t>
  </si>
  <si>
    <t>Se presenta el plan de trancisión en el ultimo apartado</t>
  </si>
  <si>
    <t>Se presenta la justificación de electiva de enfasis y electivos complementarios en el apartado 4.1</t>
  </si>
  <si>
    <t>Se encuentra inmerso dentro del documento</t>
  </si>
  <si>
    <t>Se realiza en plantilla institucional</t>
  </si>
  <si>
    <t>En el apartado N° 4 se presentan las caracteristicas indicadas en este punto</t>
  </si>
  <si>
    <t>TABLAS</t>
  </si>
  <si>
    <t>ANEXO</t>
  </si>
  <si>
    <t>Ilustración 1. Organización espacios académicos Maestría CIC – Resolución 155 de 2014.</t>
  </si>
  <si>
    <t>Ilustración</t>
  </si>
  <si>
    <t>Ilustración 2. Estructura Malla curricular Investigación.</t>
  </si>
  <si>
    <t>Ilustración 3. Malla curricular Profundización</t>
  </si>
  <si>
    <t>Tabla 3: Espacios académicos Maestría CIC - Modalidad Investigación</t>
  </si>
  <si>
    <t>Tabla 4: Espacios académicos Maestría CIC - Modalidad Investigación</t>
  </si>
  <si>
    <t>Tabla 5: Cambio denominación asignatura de componente Profundización</t>
  </si>
  <si>
    <t>Tabla 6: Cambio denominación asignatura de componente Investigación</t>
  </si>
  <si>
    <t>Tabla 1 Información General de la Maestría en CIC. - Investigación</t>
  </si>
  <si>
    <t>Tabla 2 Información General de la Maestría en CIC. - Profundización</t>
  </si>
  <si>
    <t>ilustración 4. Reorganización de espacios académicos</t>
  </si>
  <si>
    <t>ilustración 5. Reorganización de espacios académicos</t>
  </si>
  <si>
    <t>Ilustración 6. Organización de los espacios académicos con 4 énfasis - Investigación</t>
  </si>
  <si>
    <t>Ilustración 7. Organización de los espacios académicos con 4 énfasis - Profundización</t>
  </si>
  <si>
    <t>Tabla 7. Distribución sugerida por periodos académicos relacionando créditos y horas de trabajo y observaciones de la modificación -Componente Investigación</t>
  </si>
  <si>
    <t>Tabla 8. Distribución sugerida por periodos académicos relacionando créditos y horas de trabajo y observaciones de la modificación -Componente Profundización</t>
  </si>
  <si>
    <t xml:space="preserve">
Ilustración 8. Plan de transición - Investigación</t>
  </si>
  <si>
    <t>Ilustración 9. Plan de transición – Profundización</t>
  </si>
  <si>
    <t>Resolución No. 032 del 21 de Octubre de 2002 (Anexo 1)</t>
  </si>
  <si>
    <t xml:space="preserve">registro calificado del año 2015 (Anexo 2) </t>
  </si>
  <si>
    <t xml:space="preserve">Acuerdo 01 de 2019 (Anexo 3) </t>
  </si>
  <si>
    <t xml:space="preserve">Acuerdo 04 de 2022 (Anexo 4)  </t>
  </si>
  <si>
    <t>Febrero 19 de 2003. Resolución 310 del Ministerio de Educación (Anexo 12).</t>
  </si>
  <si>
    <t>Noviembre 22 de 2011. Resolución 10615 del Ministerio de Educación Nacional (Anexo 13)</t>
  </si>
  <si>
    <t>Resolución 155 de 2014 (anexo 14)</t>
  </si>
  <si>
    <t xml:space="preserve">OBSERVACIONES DE VICERECTORIA </t>
  </si>
  <si>
    <t>Información contenida en el documento</t>
  </si>
  <si>
    <t xml:space="preserve">Anexos </t>
  </si>
  <si>
    <t>En el apartado N° 4.1 se presenta la sustentación de lo solicitado</t>
  </si>
  <si>
    <t>Se presenta en el N° 4</t>
  </si>
  <si>
    <t>Se describe bajo el documento que los espacios electivos de enfasis se deben cursar de carácter obligatorio</t>
  </si>
  <si>
    <t>Decreto 1330 MEN (anexo 5)</t>
  </si>
  <si>
    <t xml:space="preserve">Registro Calificado para la Maestría en CIC en Profundización mediante Resolución No. 09925 del 21 de junio 2023 con una duración de 7 años (anexo 6) </t>
  </si>
  <si>
    <t xml:space="preserve">Registro Calificado para la Maestría en CIC en Investigación mediante Resolución No. 016163 del 05 de septiembre 2023 con una duración de 7 años (anexo 7) </t>
  </si>
  <si>
    <t xml:space="preserve">Consejo Curricular con aval otorgando 16/03/2021 (anexo 8) </t>
  </si>
  <si>
    <t xml:space="preserve">Aval Consejo de Facultad (anexo 9) </t>
  </si>
  <si>
    <t>Aval Consejo Académico (anexo 10)</t>
  </si>
  <si>
    <t>Aval Comision segunda CSU (anexo 11)</t>
  </si>
  <si>
    <t>Acreditación de Alta Calidad (Anexo 12)</t>
  </si>
  <si>
    <t>Carácter del espacio</t>
  </si>
  <si>
    <t>Asignatura de Énfasis (TI, IS, G)</t>
  </si>
  <si>
    <t>No homologable</t>
  </si>
  <si>
    <t xml:space="preserve">Trabajo de grado </t>
  </si>
  <si>
    <t>TRABAJO DE GRADO</t>
  </si>
  <si>
    <t>TERCER SEMESTRE</t>
  </si>
  <si>
    <t>Teórico-Práctico</t>
  </si>
  <si>
    <t>PLAN DE ESTUDIOS ANTERIOR</t>
  </si>
  <si>
    <t>PLAN DE ESTUDIOS NUEVO</t>
  </si>
  <si>
    <t>ELECTIVAS</t>
  </si>
  <si>
    <t>TESIS 1</t>
  </si>
  <si>
    <t xml:space="preserve">
Emprendimiento y Gestión Tecnológica
Gestión del Conocimiento</t>
  </si>
  <si>
    <t>REDES ÓPTICAS</t>
  </si>
  <si>
    <t xml:space="preserve">ENCAMINAMIENTO AVANZADO </t>
  </si>
  <si>
    <t>GEOSERVICIOS</t>
  </si>
  <si>
    <t>ELECTIVA REDES DE SIGUIENTE GENERACIÓN</t>
  </si>
  <si>
    <t xml:space="preserve">
</t>
  </si>
  <si>
    <t>CALIDAD DE SERVICIO AVANZADA</t>
  </si>
  <si>
    <t>POLÍTICA SECTORIAL Y REGULACIÓN EN TELECOMUNICACIONES</t>
  </si>
  <si>
    <t>DISEÑO Y MODELAMIENTO DE ANTENA</t>
  </si>
  <si>
    <t xml:space="preserve">REDES DE NUEVA GENERACIÓN </t>
  </si>
  <si>
    <t>CRIPTOLOGÍA</t>
  </si>
  <si>
    <t>MATEMÁTICAS AVANZADAS Y GEOPROCESAMIENTO</t>
  </si>
  <si>
    <t>EMPRENDIMIENTO Y GESTIÓN TECNOLÓGICA</t>
  </si>
  <si>
    <t>GESTIÓN DEL CONOCIMIENTO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</si>
</sst>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Times New Roman"/>
      <family val="1"/>
    </font>
    <font>
      <b/>
      <sz val="9"/>
      <name val="Times New Roman"/>
      <family val="1"/>
    </font>
    <font>
      <sz val="9"/>
      <name val="Calibri"/>
      <family val="2"/>
    </font>
    <font>
      <sz val="8"/>
      <name val="Times New Roman"/>
      <family val="1"/>
    </font>
    <font>
      <sz val="8"/>
      <name val="Calibri"/>
      <family val="2"/>
    </font>
    <font>
      <sz val="11"/>
      <color rgb="FFFFFFFF"/>
      <name val="Calibri"/>
      <family val="2"/>
    </font>
    <font>
      <sz val="11"/>
      <color theme="0"/>
      <name val="Times New Roman"/>
      <family val="1"/>
    </font>
    <font>
      <sz val="10"/>
      <name val="Times New Roman"/>
      <family val="1"/>
    </font>
    <font>
      <b/>
      <sz val="11"/>
      <name val="Times New Roman"/>
      <family val="1"/>
    </font>
    <font>
      <b/>
      <sz val="12"/>
      <name val="Times New Roman"/>
      <family val="1"/>
    </font>
    <font>
      <b/>
      <sz val="12"/>
      <color theme="1"/>
      <name val="Arial"/>
      <family val="2"/>
    </font>
    <font>
      <b/>
      <sz val="10"/>
      <color theme="1"/>
      <name val="Arial"/>
      <family val="2"/>
    </font>
    <font>
      <sz val="10"/>
      <color theme="1"/>
      <name val="Arial"/>
      <family val="2"/>
    </font>
    <font>
      <u/>
      <sz val="11"/>
      <color theme="10"/>
      <name val="Calibri"/>
      <family val="2"/>
      <scheme val="minor"/>
    </font>
    <font>
      <u/>
      <sz val="11"/>
      <color rgb="FF0563C1"/>
      <name val="Calibri"/>
      <family val="2"/>
      <scheme val="minor"/>
    </font>
    <font>
      <b/>
      <u/>
      <sz val="11"/>
      <color rgb="FF0563C1"/>
      <name val="Calibri"/>
      <family val="2"/>
      <scheme val="minor"/>
    </font>
    <font>
      <b/>
      <u/>
      <sz val="11"/>
      <color theme="10"/>
      <name val="Arial"/>
      <family val="2"/>
    </font>
    <font>
      <u/>
      <sz val="11"/>
      <color theme="10"/>
      <name val="Arial"/>
      <family val="2"/>
    </font>
    <font>
      <u/>
      <sz val="10"/>
      <color theme="10"/>
      <name val="Arial"/>
      <family val="2"/>
    </font>
    <font>
      <b/>
      <sz val="14"/>
      <color rgb="FF000000"/>
      <name val="Aptos Narrow"/>
      <family val="2"/>
    </font>
    <font>
      <b/>
      <sz val="10"/>
      <name val="Arial"/>
      <family val="2"/>
      <charset val="1"/>
    </font>
    <font>
      <sz val="11"/>
      <color rgb="FF000000"/>
      <name val="Aptos Narrow"/>
      <family val="2"/>
    </font>
    <font>
      <b/>
      <sz val="11"/>
      <color rgb="FF000000"/>
      <name val="Aptos Narrow"/>
      <family val="2"/>
    </font>
    <font>
      <sz val="11"/>
      <color theme="0"/>
      <name val="Calibri"/>
      <family val="2"/>
      <scheme val="minor"/>
    </font>
    <font>
      <b/>
      <sz val="11"/>
      <name val="Calibri"/>
      <family val="2"/>
      <scheme val="minor"/>
    </font>
    <font>
      <sz val="10"/>
      <name val="Calibri"/>
      <family val="2"/>
      <scheme val="minor"/>
    </font>
    <font>
      <b/>
      <sz val="12"/>
      <name val="Calibri"/>
      <family val="2"/>
      <scheme val="minor"/>
    </font>
    <font>
      <b/>
      <sz val="9"/>
      <name val="Calibri"/>
      <family val="2"/>
      <scheme val="minor"/>
    </font>
    <font>
      <sz val="9"/>
      <name val="Calibri"/>
      <family val="2"/>
      <scheme val="minor"/>
    </font>
    <font>
      <sz val="8"/>
      <name val="Calibri"/>
      <family val="2"/>
      <scheme val="minor"/>
    </font>
    <font>
      <b/>
      <sz val="8"/>
      <name val="Calibri"/>
      <family val="2"/>
      <scheme val="minor"/>
    </font>
    <font>
      <sz val="12"/>
      <name val="Calibri"/>
      <family val="2"/>
    </font>
    <font>
      <i/>
      <sz val="12"/>
      <name val="Calibri"/>
      <family val="2"/>
    </font>
    <font>
      <b/>
      <sz val="12"/>
      <name val="Arial"/>
      <family val="2"/>
    </font>
  </fonts>
  <fills count="14">
    <fill>
      <patternFill patternType="none"/>
    </fill>
    <fill>
      <patternFill patternType="gray125"/>
    </fill>
    <fill>
      <patternFill patternType="solid">
        <fgColor rgb="FFBDD6EE"/>
        <bgColor indexed="64"/>
      </patternFill>
    </fill>
    <fill>
      <patternFill patternType="solid">
        <fgColor rgb="FFE2EFD9"/>
        <bgColor indexed="64"/>
      </patternFill>
    </fill>
    <fill>
      <patternFill patternType="solid">
        <fgColor rgb="FFFFF2CC"/>
        <bgColor indexed="64"/>
      </patternFill>
    </fill>
    <fill>
      <patternFill patternType="solid">
        <fgColor rgb="FFF2F2F2"/>
        <bgColor indexed="64"/>
      </patternFill>
    </fill>
    <fill>
      <patternFill patternType="solid">
        <fgColor theme="6" tint="0.59999389629810485"/>
        <bgColor indexed="64"/>
      </patternFill>
    </fill>
    <fill>
      <patternFill patternType="solid">
        <fgColor rgb="FFDEEAF6"/>
        <bgColor indexed="64"/>
      </patternFill>
    </fill>
    <fill>
      <patternFill patternType="solid">
        <fgColor rgb="FFD9D9D9"/>
        <bgColor indexed="64"/>
      </patternFill>
    </fill>
    <fill>
      <patternFill patternType="solid">
        <fgColor rgb="FF1F3864"/>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F2CEEF"/>
        <bgColor rgb="FF000000"/>
      </patternFill>
    </fill>
    <fill>
      <patternFill patternType="solid">
        <fgColor rgb="FFF2F2F2"/>
        <bgColor rgb="FF000000"/>
      </patternFill>
    </fill>
  </fills>
  <borders count="61">
    <border>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thin">
        <color auto="1"/>
      </top>
      <bottom style="medium">
        <color rgb="FF000000"/>
      </bottom>
      <diagonal/>
    </border>
    <border>
      <left/>
      <right/>
      <top style="thin">
        <color auto="1"/>
      </top>
      <bottom style="medium">
        <color rgb="FF000000"/>
      </bottom>
      <diagonal/>
    </border>
    <border>
      <left style="medium">
        <color rgb="FF000000"/>
      </left>
      <right/>
      <top style="thin">
        <color auto="1"/>
      </top>
      <bottom style="medium">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style="thin">
        <color rgb="FF000000"/>
      </bottom>
      <diagonal/>
    </border>
    <border>
      <left style="thin">
        <color indexed="64"/>
      </left>
      <right/>
      <top style="thin">
        <color rgb="FF000000"/>
      </top>
      <bottom/>
      <diagonal/>
    </border>
    <border>
      <left style="thin">
        <color rgb="FF000000"/>
      </left>
      <right/>
      <top/>
      <bottom/>
      <diagonal/>
    </border>
    <border>
      <left style="medium">
        <color indexed="64"/>
      </left>
      <right/>
      <top style="medium">
        <color indexed="64"/>
      </top>
      <bottom style="double">
        <color rgb="FF3F3F3F"/>
      </bottom>
      <diagonal/>
    </border>
    <border>
      <left/>
      <right/>
      <top style="medium">
        <color indexed="64"/>
      </top>
      <bottom style="double">
        <color rgb="FF3F3F3F"/>
      </bottom>
      <diagonal/>
    </border>
    <border>
      <left/>
      <right style="medium">
        <color rgb="FF000000"/>
      </right>
      <top style="medium">
        <color indexed="64"/>
      </top>
      <bottom style="double">
        <color rgb="FF3F3F3F"/>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auto="1"/>
      </bottom>
      <diagonal/>
    </border>
  </borders>
  <cellStyleXfs count="4">
    <xf numFmtId="0" fontId="0" fillId="0" borderId="0"/>
    <xf numFmtId="0" fontId="4" fillId="0" borderId="0"/>
    <xf numFmtId="0" fontId="18" fillId="0" borderId="0" applyNumberFormat="0" applyFill="0" applyBorder="0" applyAlignment="0" applyProtection="0"/>
    <xf numFmtId="0" fontId="18" fillId="0" borderId="0" applyNumberFormat="0" applyFill="0" applyBorder="0" applyAlignment="0" applyProtection="0"/>
  </cellStyleXfs>
  <cellXfs count="271">
    <xf numFmtId="0" fontId="0" fillId="0" borderId="0" xfId="0"/>
    <xf numFmtId="0" fontId="7" fillId="0" borderId="9" xfId="0" applyFont="1" applyBorder="1" applyAlignment="1">
      <alignment horizontal="center" vertical="center" wrapText="1"/>
    </xf>
    <xf numFmtId="0" fontId="5" fillId="0" borderId="9" xfId="0" applyFont="1" applyBorder="1" applyAlignment="1">
      <alignment horizontal="center" vertical="center" wrapText="1"/>
    </xf>
    <xf numFmtId="0" fontId="5" fillId="4"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0" fillId="0" borderId="9" xfId="0" applyBorder="1"/>
    <xf numFmtId="0" fontId="0" fillId="0" borderId="10" xfId="0" applyBorder="1"/>
    <xf numFmtId="0" fontId="6" fillId="0" borderId="9" xfId="0" applyFont="1" applyBorder="1" applyAlignment="1">
      <alignment horizontal="center" vertical="center" wrapText="1"/>
    </xf>
    <xf numFmtId="0" fontId="8" fillId="8" borderId="9"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0" fillId="0" borderId="0" xfId="0" applyAlignment="1">
      <alignment horizontal="center"/>
    </xf>
    <xf numFmtId="0" fontId="0" fillId="0" borderId="9" xfId="0" applyBorder="1" applyAlignment="1">
      <alignment horizontal="center"/>
    </xf>
    <xf numFmtId="0" fontId="9" fillId="0" borderId="9" xfId="0" applyFont="1" applyBorder="1" applyAlignment="1">
      <alignment horizontal="center" vertical="center" wrapText="1"/>
    </xf>
    <xf numFmtId="0" fontId="10" fillId="9" borderId="9"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29" xfId="0" applyFont="1" applyBorder="1" applyAlignment="1">
      <alignment horizontal="center" vertical="center" wrapText="1"/>
    </xf>
    <xf numFmtId="0" fontId="6" fillId="8"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4" fillId="0" borderId="0" xfId="1" applyAlignment="1">
      <alignment vertical="center" wrapText="1"/>
    </xf>
    <xf numFmtId="0" fontId="4" fillId="0" borderId="0" xfId="1"/>
    <xf numFmtId="0" fontId="4" fillId="0" borderId="0" xfId="1" applyAlignment="1">
      <alignment wrapText="1"/>
    </xf>
    <xf numFmtId="0" fontId="16" fillId="0" borderId="9" xfId="1" applyFont="1" applyBorder="1" applyAlignment="1">
      <alignment horizontal="center" vertical="center" wrapText="1"/>
    </xf>
    <xf numFmtId="0" fontId="16" fillId="0" borderId="29" xfId="1" applyFont="1" applyBorder="1" applyAlignment="1">
      <alignment horizontal="center" vertical="center" wrapText="1"/>
    </xf>
    <xf numFmtId="14" fontId="17" fillId="0" borderId="29" xfId="1" applyNumberFormat="1" applyFont="1" applyBorder="1" applyAlignment="1">
      <alignment horizontal="center" vertical="center" wrapText="1"/>
    </xf>
    <xf numFmtId="0" fontId="17" fillId="0" borderId="29" xfId="1" applyFont="1" applyBorder="1" applyAlignment="1">
      <alignment horizontal="center" vertical="center" wrapText="1"/>
    </xf>
    <xf numFmtId="0" fontId="19" fillId="0" borderId="29" xfId="2" applyFont="1" applyBorder="1" applyAlignment="1">
      <alignment horizontal="center" vertical="center" wrapText="1"/>
    </xf>
    <xf numFmtId="0" fontId="16" fillId="0" borderId="30" xfId="1" applyFont="1" applyBorder="1" applyAlignment="1">
      <alignment horizontal="center" vertical="center" wrapText="1"/>
    </xf>
    <xf numFmtId="14" fontId="17" fillId="0" borderId="30" xfId="1" applyNumberFormat="1" applyFont="1" applyBorder="1" applyAlignment="1">
      <alignment horizontal="center" vertical="center" wrapText="1"/>
    </xf>
    <xf numFmtId="0" fontId="17" fillId="0" borderId="30" xfId="1" applyFont="1" applyBorder="1" applyAlignment="1">
      <alignment horizontal="center" vertical="center" wrapText="1"/>
    </xf>
    <xf numFmtId="0" fontId="19" fillId="0" borderId="30" xfId="2" applyFont="1" applyBorder="1" applyAlignment="1">
      <alignment horizontal="center" vertical="center" wrapText="1"/>
    </xf>
    <xf numFmtId="0" fontId="16" fillId="0" borderId="28" xfId="1" applyFont="1" applyBorder="1" applyAlignment="1">
      <alignment horizontal="center" vertical="center" wrapText="1"/>
    </xf>
    <xf numFmtId="14" fontId="17" fillId="0" borderId="28" xfId="1" applyNumberFormat="1" applyFont="1" applyBorder="1" applyAlignment="1">
      <alignment horizontal="center" vertical="center" wrapText="1"/>
    </xf>
    <xf numFmtId="0" fontId="17" fillId="0" borderId="28" xfId="1" applyFont="1" applyBorder="1" applyAlignment="1">
      <alignment horizontal="center" vertical="center" wrapText="1"/>
    </xf>
    <xf numFmtId="0" fontId="18" fillId="0" borderId="28" xfId="2" applyBorder="1" applyAlignment="1">
      <alignment horizontal="center" vertical="center" wrapText="1"/>
    </xf>
    <xf numFmtId="0" fontId="16" fillId="0" borderId="31" xfId="1" applyFont="1" applyBorder="1" applyAlignment="1">
      <alignment horizontal="center" vertical="center" wrapText="1"/>
    </xf>
    <xf numFmtId="14" fontId="17" fillId="0" borderId="31" xfId="1" applyNumberFormat="1" applyFont="1" applyBorder="1" applyAlignment="1">
      <alignment horizontal="center" vertical="center" wrapText="1"/>
    </xf>
    <xf numFmtId="0" fontId="17" fillId="0" borderId="31" xfId="1" applyFont="1" applyBorder="1" applyAlignment="1">
      <alignment horizontal="center" vertical="center" wrapText="1"/>
    </xf>
    <xf numFmtId="0" fontId="18" fillId="0" borderId="31" xfId="2" applyBorder="1" applyAlignment="1">
      <alignment horizontal="center" vertical="center" wrapText="1"/>
    </xf>
    <xf numFmtId="0" fontId="16" fillId="0" borderId="15" xfId="1" applyFont="1" applyBorder="1" applyAlignment="1">
      <alignment horizontal="center" vertical="center" wrapText="1"/>
    </xf>
    <xf numFmtId="14" fontId="17" fillId="0" borderId="32" xfId="1" applyNumberFormat="1" applyFont="1" applyBorder="1" applyAlignment="1">
      <alignment horizontal="center" vertical="center" wrapText="1"/>
    </xf>
    <xf numFmtId="0" fontId="17" fillId="0" borderId="32" xfId="1" applyFont="1" applyBorder="1" applyAlignment="1">
      <alignment horizontal="center" vertical="center" wrapText="1"/>
    </xf>
    <xf numFmtId="0" fontId="16" fillId="0" borderId="12" xfId="1" applyFont="1" applyBorder="1" applyAlignment="1">
      <alignment horizontal="center" vertical="center" wrapText="1"/>
    </xf>
    <xf numFmtId="0" fontId="18" fillId="0" borderId="9" xfId="2" applyBorder="1" applyAlignment="1">
      <alignment horizontal="center" vertical="center" wrapText="1"/>
    </xf>
    <xf numFmtId="14" fontId="17" fillId="0" borderId="34" xfId="1" applyNumberFormat="1" applyFont="1" applyBorder="1" applyAlignment="1">
      <alignment horizontal="center" vertical="center" wrapText="1"/>
    </xf>
    <xf numFmtId="0" fontId="17" fillId="0" borderId="34" xfId="1" applyFont="1" applyBorder="1" applyAlignment="1">
      <alignment horizontal="center" vertical="center" wrapText="1"/>
    </xf>
    <xf numFmtId="0" fontId="18" fillId="0" borderId="29" xfId="2" applyBorder="1" applyAlignment="1">
      <alignment horizontal="center" vertical="center" wrapText="1"/>
    </xf>
    <xf numFmtId="0" fontId="18" fillId="0" borderId="30" xfId="2" applyBorder="1" applyAlignment="1">
      <alignment horizontal="center" vertical="center" wrapText="1"/>
    </xf>
    <xf numFmtId="0" fontId="17" fillId="0" borderId="38" xfId="1" applyFont="1" applyBorder="1" applyAlignment="1">
      <alignment horizontal="center" vertical="center" wrapText="1"/>
    </xf>
    <xf numFmtId="0" fontId="17" fillId="0" borderId="9" xfId="1" applyFont="1" applyBorder="1" applyAlignment="1">
      <alignment horizontal="center" vertical="center" wrapText="1"/>
    </xf>
    <xf numFmtId="14" fontId="17" fillId="0" borderId="9" xfId="1" applyNumberFormat="1" applyFont="1" applyBorder="1" applyAlignment="1">
      <alignment horizontal="center" vertical="center" wrapText="1"/>
    </xf>
    <xf numFmtId="0" fontId="21" fillId="0" borderId="9" xfId="2" applyFont="1" applyBorder="1" applyAlignment="1">
      <alignment horizontal="center" vertical="center" wrapText="1"/>
    </xf>
    <xf numFmtId="0" fontId="22" fillId="0" borderId="9" xfId="2" applyFont="1" applyBorder="1" applyAlignment="1">
      <alignment horizontal="center" vertical="center" wrapText="1"/>
    </xf>
    <xf numFmtId="0" fontId="22" fillId="0" borderId="9" xfId="2" applyFont="1" applyFill="1" applyBorder="1" applyAlignment="1">
      <alignment horizontal="center" vertical="center" wrapText="1"/>
    </xf>
    <xf numFmtId="14" fontId="23" fillId="0" borderId="9" xfId="3" applyNumberFormat="1" applyFont="1" applyBorder="1" applyAlignment="1">
      <alignment horizontal="center" vertical="center" wrapText="1"/>
    </xf>
    <xf numFmtId="0" fontId="23" fillId="0" borderId="9" xfId="3" applyFont="1" applyBorder="1" applyAlignment="1">
      <alignment horizontal="center" vertical="center" wrapText="1"/>
    </xf>
    <xf numFmtId="0" fontId="18" fillId="0" borderId="9" xfId="3" applyBorder="1" applyAlignment="1">
      <alignment horizontal="center" vertical="center" wrapText="1"/>
    </xf>
    <xf numFmtId="0" fontId="16" fillId="0" borderId="18" xfId="1" applyFont="1" applyBorder="1" applyAlignment="1">
      <alignment horizontal="center" vertical="center" wrapText="1"/>
    </xf>
    <xf numFmtId="0" fontId="16" fillId="0" borderId="34" xfId="1" applyFont="1" applyBorder="1" applyAlignment="1">
      <alignment horizontal="center" vertical="center" wrapText="1"/>
    </xf>
    <xf numFmtId="0" fontId="16" fillId="0" borderId="39" xfId="1" applyFont="1" applyBorder="1" applyAlignment="1">
      <alignment horizontal="center" vertical="center" wrapText="1"/>
    </xf>
    <xf numFmtId="0" fontId="16" fillId="0" borderId="40" xfId="1" applyFont="1" applyBorder="1" applyAlignment="1">
      <alignment horizontal="center" vertical="center" wrapText="1"/>
    </xf>
    <xf numFmtId="0" fontId="18" fillId="0" borderId="32" xfId="2" applyBorder="1" applyAlignment="1">
      <alignment horizontal="center" vertical="center" wrapText="1"/>
    </xf>
    <xf numFmtId="0" fontId="18" fillId="0" borderId="32" xfId="3" applyBorder="1" applyAlignment="1">
      <alignment horizontal="center" vertical="center" wrapText="1"/>
    </xf>
    <xf numFmtId="0" fontId="0" fillId="0" borderId="0" xfId="0" applyAlignment="1">
      <alignment horizontal="center" vertical="center"/>
    </xf>
    <xf numFmtId="0" fontId="25" fillId="0" borderId="44" xfId="0" applyFont="1" applyBorder="1" applyAlignment="1">
      <alignment horizontal="center" vertical="center" wrapText="1"/>
    </xf>
    <xf numFmtId="0" fontId="25" fillId="0" borderId="45" xfId="0" applyFont="1" applyBorder="1" applyAlignment="1">
      <alignment horizontal="center" vertical="center" wrapText="1"/>
    </xf>
    <xf numFmtId="0" fontId="25" fillId="0" borderId="46"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13" xfId="0" applyFont="1" applyBorder="1" applyAlignment="1">
      <alignment horizontal="center" vertical="center" wrapText="1"/>
    </xf>
    <xf numFmtId="0" fontId="26" fillId="13" borderId="48" xfId="0"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22" xfId="0" applyFont="1" applyBorder="1" applyAlignment="1">
      <alignment horizontal="center" vertical="center" wrapText="1"/>
    </xf>
    <xf numFmtId="0" fontId="26" fillId="13" borderId="50" xfId="0" applyFont="1" applyFill="1" applyBorder="1" applyAlignment="1">
      <alignment horizontal="center" vertical="center" wrapText="1"/>
    </xf>
    <xf numFmtId="0" fontId="27" fillId="0" borderId="51" xfId="0" applyFont="1" applyBorder="1" applyAlignment="1">
      <alignment horizontal="center" vertical="center" wrapText="1"/>
    </xf>
    <xf numFmtId="0" fontId="26" fillId="0" borderId="52" xfId="0" applyFont="1" applyBorder="1" applyAlignment="1">
      <alignment horizontal="center" vertical="center" wrapText="1"/>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56" xfId="0" applyFont="1" applyBorder="1" applyAlignment="1">
      <alignment horizontal="center" vertical="center" wrapText="1"/>
    </xf>
    <xf numFmtId="0" fontId="27" fillId="0" borderId="4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53" xfId="0" applyFont="1" applyBorder="1" applyAlignment="1">
      <alignment horizontal="center" vertical="center" wrapText="1"/>
    </xf>
    <xf numFmtId="0" fontId="26" fillId="13" borderId="48" xfId="0" applyFont="1" applyFill="1" applyBorder="1" applyAlignment="1">
      <alignment horizontal="center" vertical="center"/>
    </xf>
    <xf numFmtId="0" fontId="26" fillId="13" borderId="57" xfId="0" applyFont="1" applyFill="1" applyBorder="1" applyAlignment="1">
      <alignment horizontal="center" vertical="center"/>
    </xf>
    <xf numFmtId="0" fontId="26" fillId="13" borderId="56" xfId="0" applyFont="1" applyFill="1" applyBorder="1" applyAlignment="1">
      <alignment horizontal="center" vertical="center"/>
    </xf>
    <xf numFmtId="0" fontId="26" fillId="13" borderId="58" xfId="0" applyFont="1" applyFill="1" applyBorder="1" applyAlignment="1">
      <alignment horizontal="center" vertical="center" wrapText="1"/>
    </xf>
    <xf numFmtId="0" fontId="26" fillId="0" borderId="53" xfId="0" applyFont="1" applyBorder="1" applyAlignment="1">
      <alignment horizontal="center" vertical="center"/>
    </xf>
    <xf numFmtId="0" fontId="26" fillId="0" borderId="56" xfId="0" applyFont="1" applyBorder="1" applyAlignment="1">
      <alignment horizontal="center" vertical="center"/>
    </xf>
    <xf numFmtId="0" fontId="26" fillId="0" borderId="55" xfId="0" applyFont="1" applyBorder="1" applyAlignment="1">
      <alignment horizontal="center" vertical="center"/>
    </xf>
    <xf numFmtId="0" fontId="12" fillId="0" borderId="9" xfId="0" applyFont="1" applyBorder="1" applyAlignment="1">
      <alignment horizontal="center" vertical="center" wrapText="1"/>
    </xf>
    <xf numFmtId="0" fontId="3" fillId="0" borderId="0" xfId="1" applyFont="1"/>
    <xf numFmtId="0" fontId="29" fillId="0" borderId="9" xfId="0" applyFont="1" applyBorder="1" applyAlignment="1">
      <alignment horizontal="center" vertical="center" wrapText="1"/>
    </xf>
    <xf numFmtId="0" fontId="28" fillId="10" borderId="9" xfId="0" applyFont="1" applyFill="1" applyBorder="1" applyAlignment="1">
      <alignment horizontal="center" vertical="center" wrapText="1"/>
    </xf>
    <xf numFmtId="0" fontId="30" fillId="0" borderId="9" xfId="0" applyFont="1" applyBorder="1" applyAlignment="1">
      <alignment horizontal="center" vertical="center" wrapText="1"/>
    </xf>
    <xf numFmtId="0" fontId="2" fillId="0" borderId="0" xfId="1" applyFont="1" applyAlignment="1">
      <alignment wrapText="1"/>
    </xf>
    <xf numFmtId="0" fontId="32" fillId="8" borderId="19" xfId="0" applyFont="1" applyFill="1" applyBorder="1" applyAlignment="1">
      <alignment horizontal="center" vertical="center" wrapText="1"/>
    </xf>
    <xf numFmtId="0" fontId="32" fillId="8" borderId="3" xfId="0" applyFont="1" applyFill="1" applyBorder="1" applyAlignment="1">
      <alignment horizontal="center" vertical="center" wrapText="1"/>
    </xf>
    <xf numFmtId="0" fontId="33" fillId="7" borderId="25" xfId="0" applyFont="1" applyFill="1" applyBorder="1" applyAlignment="1">
      <alignment horizontal="center" vertical="center" wrapText="1"/>
    </xf>
    <xf numFmtId="0" fontId="34" fillId="0" borderId="9" xfId="0" applyFont="1" applyBorder="1" applyAlignment="1">
      <alignment vertical="center" wrapText="1"/>
    </xf>
    <xf numFmtId="0" fontId="34" fillId="0" borderId="9" xfId="0" applyFont="1" applyBorder="1" applyAlignment="1">
      <alignment horizontal="center" vertical="center" wrapText="1"/>
    </xf>
    <xf numFmtId="0" fontId="33" fillId="0" borderId="9" xfId="0" applyFont="1" applyBorder="1" applyAlignment="1">
      <alignment horizontal="center" vertical="center" wrapText="1"/>
    </xf>
    <xf numFmtId="0" fontId="33" fillId="5" borderId="9" xfId="0" applyFont="1" applyFill="1" applyBorder="1" applyAlignment="1">
      <alignment horizontal="center" vertical="center" wrapText="1"/>
    </xf>
    <xf numFmtId="0" fontId="33" fillId="4" borderId="9" xfId="0" applyFont="1" applyFill="1" applyBorder="1" applyAlignment="1">
      <alignment horizontal="center" vertical="center" wrapText="1"/>
    </xf>
    <xf numFmtId="0" fontId="35" fillId="0" borderId="9" xfId="0" applyFont="1" applyBorder="1" applyAlignment="1">
      <alignment horizontal="center" vertical="center" wrapText="1"/>
    </xf>
    <xf numFmtId="0" fontId="33" fillId="0" borderId="3"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0" xfId="0" applyFont="1" applyBorder="1" applyAlignment="1">
      <alignment horizontal="center" vertical="center" wrapText="1"/>
    </xf>
    <xf numFmtId="0" fontId="33" fillId="0" borderId="11" xfId="0" applyFont="1" applyBorder="1" applyAlignment="1">
      <alignment horizontal="center" vertical="center" wrapText="1"/>
    </xf>
    <xf numFmtId="0" fontId="32" fillId="2" borderId="3"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1" fillId="0" borderId="0" xfId="1" applyFont="1" applyAlignment="1">
      <alignment vertical="center" wrapText="1"/>
    </xf>
    <xf numFmtId="0" fontId="1" fillId="0" borderId="0" xfId="1" applyFont="1" applyAlignment="1">
      <alignment horizontal="center" vertical="center" wrapText="1"/>
    </xf>
    <xf numFmtId="0" fontId="0" fillId="0" borderId="0" xfId="0" applyAlignment="1">
      <alignment horizontal="left" vertical="center" wrapText="1"/>
    </xf>
    <xf numFmtId="0" fontId="36" fillId="0" borderId="0" xfId="0" applyFont="1" applyAlignment="1">
      <alignment horizontal="left" vertical="center" wrapText="1"/>
    </xf>
    <xf numFmtId="0" fontId="37" fillId="0" borderId="0" xfId="0" applyFont="1" applyAlignment="1">
      <alignment horizontal="left" vertical="center" wrapText="1"/>
    </xf>
    <xf numFmtId="0" fontId="1" fillId="0" borderId="9" xfId="1" applyFont="1" applyBorder="1" applyAlignment="1">
      <alignment horizontal="center" vertical="center" wrapText="1"/>
    </xf>
    <xf numFmtId="0" fontId="4" fillId="0" borderId="9" xfId="1" applyBorder="1" applyAlignment="1">
      <alignment horizontal="center" vertical="center" wrapText="1"/>
    </xf>
    <xf numFmtId="0" fontId="2" fillId="0" borderId="9" xfId="1" applyFont="1" applyBorder="1" applyAlignment="1">
      <alignment horizontal="center" vertical="center" wrapText="1"/>
    </xf>
    <xf numFmtId="0" fontId="4" fillId="0" borderId="0" xfId="1" applyAlignment="1">
      <alignment horizontal="center" vertical="center" wrapText="1"/>
    </xf>
    <xf numFmtId="0" fontId="8"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32" fillId="8" borderId="9" xfId="0" applyFont="1" applyFill="1" applyBorder="1" applyAlignment="1">
      <alignment horizontal="center" vertical="center" wrapText="1"/>
    </xf>
    <xf numFmtId="0" fontId="32" fillId="2" borderId="9" xfId="0" applyFont="1" applyFill="1" applyBorder="1" applyAlignment="1">
      <alignment horizontal="center" vertical="center" wrapText="1"/>
    </xf>
    <xf numFmtId="0" fontId="33" fillId="2" borderId="9" xfId="0" applyFont="1" applyFill="1" applyBorder="1" applyAlignment="1">
      <alignment horizontal="center" vertical="center" wrapText="1"/>
    </xf>
    <xf numFmtId="0" fontId="33" fillId="0" borderId="9" xfId="0" applyFont="1" applyFill="1" applyBorder="1" applyAlignment="1">
      <alignment horizontal="center" vertical="center" wrapText="1"/>
    </xf>
    <xf numFmtId="0" fontId="32" fillId="0" borderId="9" xfId="0" applyFont="1" applyFill="1" applyBorder="1" applyAlignment="1">
      <alignment vertical="center" wrapText="1"/>
    </xf>
    <xf numFmtId="0" fontId="0" fillId="0" borderId="0" xfId="0" applyAlignment="1">
      <alignment wrapText="1"/>
    </xf>
    <xf numFmtId="0" fontId="0" fillId="0" borderId="9" xfId="0" applyBorder="1" applyAlignment="1">
      <alignment wrapText="1"/>
    </xf>
    <xf numFmtId="0" fontId="0" fillId="0" borderId="10" xfId="0" applyBorder="1" applyAlignment="1">
      <alignment wrapText="1"/>
    </xf>
    <xf numFmtId="0" fontId="33" fillId="0" borderId="18"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0" xfId="0" applyFont="1" applyAlignment="1">
      <alignment horizontal="center" vertical="center" wrapText="1"/>
    </xf>
    <xf numFmtId="0" fontId="33" fillId="0" borderId="22" xfId="0" applyFont="1" applyBorder="1" applyAlignment="1">
      <alignment horizontal="center" vertical="center" wrapText="1"/>
    </xf>
    <xf numFmtId="0" fontId="33" fillId="0" borderId="15"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13" xfId="0" applyFont="1" applyBorder="1" applyAlignment="1">
      <alignment horizontal="center" vertical="center" wrapText="1"/>
    </xf>
    <xf numFmtId="0" fontId="32" fillId="8" borderId="59" xfId="0" applyFont="1" applyFill="1" applyBorder="1" applyAlignment="1">
      <alignment horizontal="center" vertical="center" wrapText="1"/>
    </xf>
    <xf numFmtId="0" fontId="32" fillId="8" borderId="60" xfId="0" applyFont="1" applyFill="1" applyBorder="1" applyAlignment="1">
      <alignment horizontal="center" vertical="center" wrapText="1"/>
    </xf>
    <xf numFmtId="0" fontId="32" fillId="6" borderId="12" xfId="0" applyFont="1" applyFill="1" applyBorder="1" applyAlignment="1">
      <alignment horizontal="left" vertical="center" wrapText="1"/>
    </xf>
    <xf numFmtId="0" fontId="32" fillId="6" borderId="11" xfId="0" applyFont="1" applyFill="1" applyBorder="1" applyAlignment="1">
      <alignment horizontal="left" vertical="center" wrapText="1"/>
    </xf>
    <xf numFmtId="0" fontId="32" fillId="6" borderId="10" xfId="0" applyFont="1" applyFill="1" applyBorder="1" applyAlignment="1">
      <alignment horizontal="left" vertical="center" wrapText="1"/>
    </xf>
    <xf numFmtId="0" fontId="33" fillId="0" borderId="29" xfId="0" applyFont="1" applyBorder="1" applyAlignment="1">
      <alignment horizontal="center" vertical="center" wrapText="1"/>
    </xf>
    <xf numFmtId="0" fontId="33" fillId="0" borderId="28" xfId="0" applyFont="1" applyBorder="1" applyAlignment="1">
      <alignment horizontal="center" vertical="center" wrapText="1"/>
    </xf>
    <xf numFmtId="0" fontId="33" fillId="0" borderId="24" xfId="0" applyFont="1" applyBorder="1" applyAlignment="1">
      <alignment horizontal="center" vertical="center" wrapText="1"/>
    </xf>
    <xf numFmtId="0" fontId="32" fillId="2" borderId="2" xfId="0" applyFont="1" applyFill="1" applyBorder="1" applyAlignment="1">
      <alignment horizontal="center" vertical="center" wrapText="1"/>
    </xf>
    <xf numFmtId="0" fontId="32" fillId="2" borderId="4"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3" fillId="2" borderId="2"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2" fillId="3" borderId="8" xfId="0" applyFont="1" applyFill="1" applyBorder="1" applyAlignment="1">
      <alignment horizontal="center" vertical="center" wrapText="1"/>
    </xf>
    <xf numFmtId="0" fontId="32" fillId="3" borderId="7" xfId="0" applyFont="1" applyFill="1" applyBorder="1" applyAlignment="1">
      <alignment horizontal="center" vertical="center" wrapText="1"/>
    </xf>
    <xf numFmtId="0" fontId="32" fillId="3" borderId="6" xfId="0" applyFont="1" applyFill="1" applyBorder="1" applyAlignment="1">
      <alignment horizontal="center" vertical="center" wrapText="1"/>
    </xf>
    <xf numFmtId="0" fontId="32" fillId="7" borderId="21" xfId="0" applyFont="1" applyFill="1" applyBorder="1" applyAlignment="1">
      <alignment horizontal="center" vertical="center" wrapText="1"/>
    </xf>
    <xf numFmtId="0" fontId="32" fillId="7" borderId="20" xfId="0" applyFont="1" applyFill="1" applyBorder="1" applyAlignment="1">
      <alignment horizontal="center" vertical="center" wrapText="1"/>
    </xf>
    <xf numFmtId="0" fontId="32" fillId="7" borderId="19" xfId="0" applyFont="1" applyFill="1" applyBorder="1" applyAlignment="1">
      <alignment horizontal="center" vertical="center" wrapText="1"/>
    </xf>
    <xf numFmtId="0" fontId="30" fillId="0" borderId="12" xfId="0" applyFont="1" applyBorder="1" applyAlignment="1">
      <alignment horizontal="center"/>
    </xf>
    <xf numFmtId="0" fontId="30" fillId="0" borderId="11" xfId="0" applyFont="1" applyBorder="1" applyAlignment="1">
      <alignment horizontal="center"/>
    </xf>
    <xf numFmtId="0" fontId="30" fillId="0" borderId="10" xfId="0" applyFont="1" applyBorder="1" applyAlignment="1">
      <alignment horizontal="center"/>
    </xf>
    <xf numFmtId="0" fontId="33" fillId="3" borderId="5"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2" fillId="8" borderId="2" xfId="0" applyFont="1" applyFill="1" applyBorder="1" applyAlignment="1">
      <alignment horizontal="center" vertical="center" wrapText="1"/>
    </xf>
    <xf numFmtId="0" fontId="32" fillId="8" borderId="4"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32" fillId="8" borderId="27" xfId="0" applyFont="1" applyFill="1" applyBorder="1" applyAlignment="1">
      <alignment horizontal="center" vertical="center" wrapText="1"/>
    </xf>
    <xf numFmtId="0" fontId="32" fillId="8" borderId="26" xfId="0" applyFont="1" applyFill="1" applyBorder="1" applyAlignment="1">
      <alignment horizontal="center" vertical="center" wrapText="1"/>
    </xf>
    <xf numFmtId="0" fontId="34" fillId="0" borderId="29" xfId="0" applyFont="1" applyBorder="1" applyAlignment="1">
      <alignment horizontal="center" vertical="center" wrapText="1"/>
    </xf>
    <xf numFmtId="0" fontId="34" fillId="0" borderId="28" xfId="0" applyFont="1" applyBorder="1" applyAlignment="1">
      <alignment horizontal="center" vertical="center" wrapText="1"/>
    </xf>
    <xf numFmtId="0" fontId="6" fillId="6" borderId="15"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8" fillId="0" borderId="10"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10" xfId="0" applyFont="1" applyBorder="1" applyAlignment="1">
      <alignment horizontal="center" vertical="center" wrapText="1"/>
    </xf>
    <xf numFmtId="0" fontId="6" fillId="8"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6" borderId="12"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7" fillId="0" borderId="9" xfId="0" applyFont="1" applyBorder="1" applyAlignment="1">
      <alignment horizontal="center" vertical="center" wrapText="1"/>
    </xf>
    <xf numFmtId="0" fontId="6" fillId="6" borderId="9" xfId="0" applyFont="1" applyFill="1" applyBorder="1" applyAlignment="1">
      <alignment horizontal="left" vertical="center" wrapText="1"/>
    </xf>
    <xf numFmtId="0" fontId="6" fillId="3" borderId="9"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0" fillId="0" borderId="9" xfId="0" applyBorder="1" applyAlignment="1">
      <alignment horizontal="center"/>
    </xf>
    <xf numFmtId="0" fontId="6" fillId="2" borderId="9"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8" fillId="0" borderId="9" xfId="0" applyFont="1" applyBorder="1" applyAlignment="1">
      <alignment horizontal="center" vertical="center" wrapText="1"/>
    </xf>
    <xf numFmtId="0" fontId="24" fillId="12" borderId="41" xfId="0" applyFont="1" applyFill="1" applyBorder="1" applyAlignment="1">
      <alignment horizontal="center" vertical="center" wrapText="1"/>
    </xf>
    <xf numFmtId="0" fontId="24" fillId="12" borderId="42" xfId="0" applyFont="1" applyFill="1" applyBorder="1" applyAlignment="1">
      <alignment horizontal="center" vertical="center" wrapText="1"/>
    </xf>
    <xf numFmtId="0" fontId="24" fillId="12" borderId="43"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30" fillId="0" borderId="29"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24" xfId="0" applyFont="1" applyBorder="1" applyAlignment="1">
      <alignment horizontal="center" vertical="center" wrapText="1"/>
    </xf>
    <xf numFmtId="0" fontId="30" fillId="0" borderId="9" xfId="0" applyFont="1" applyBorder="1" applyAlignment="1">
      <alignment horizontal="center" vertical="center" wrapText="1"/>
    </xf>
    <xf numFmtId="0" fontId="29" fillId="0" borderId="9" xfId="0" applyFont="1" applyBorder="1" applyAlignment="1">
      <alignment horizontal="center" vertical="center" wrapText="1"/>
    </xf>
    <xf numFmtId="0" fontId="31" fillId="6" borderId="12" xfId="0" applyFont="1" applyFill="1" applyBorder="1" applyAlignment="1">
      <alignment horizontal="center" vertical="center" wrapText="1"/>
    </xf>
    <xf numFmtId="0" fontId="31" fillId="6" borderId="11" xfId="0" applyFont="1" applyFill="1" applyBorder="1" applyAlignment="1">
      <alignment horizontal="center" vertical="center" wrapText="1"/>
    </xf>
    <xf numFmtId="0" fontId="31" fillId="6" borderId="10"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6" borderId="11" xfId="0" applyFont="1" applyFill="1" applyBorder="1" applyAlignment="1">
      <alignment horizontal="center" vertical="center" wrapText="1"/>
    </xf>
    <xf numFmtId="0" fontId="12" fillId="0" borderId="29"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4"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0" xfId="0" applyFont="1" applyBorder="1" applyAlignment="1">
      <alignment horizontal="center" vertical="center" wrapText="1"/>
    </xf>
    <xf numFmtId="0" fontId="12"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 fillId="0" borderId="9" xfId="1" applyFont="1" applyBorder="1" applyAlignment="1">
      <alignment horizontal="center" vertical="center" wrapText="1"/>
    </xf>
    <xf numFmtId="0" fontId="16" fillId="11" borderId="12" xfId="1" applyFont="1" applyFill="1" applyBorder="1" applyAlignment="1">
      <alignment horizontal="center" vertical="center" wrapText="1"/>
    </xf>
    <xf numFmtId="0" fontId="16" fillId="11" borderId="11" xfId="1" applyFont="1" applyFill="1" applyBorder="1" applyAlignment="1">
      <alignment horizontal="center" vertical="center" wrapText="1"/>
    </xf>
    <xf numFmtId="0" fontId="16" fillId="11" borderId="10" xfId="1" applyFont="1" applyFill="1" applyBorder="1" applyAlignment="1">
      <alignment horizontal="center" vertical="center" wrapText="1"/>
    </xf>
    <xf numFmtId="0" fontId="16" fillId="11" borderId="9" xfId="1" applyFont="1" applyFill="1" applyBorder="1" applyAlignment="1">
      <alignment horizontal="center" vertical="center" wrapText="1"/>
    </xf>
    <xf numFmtId="0" fontId="16" fillId="0" borderId="33" xfId="1" applyFont="1" applyBorder="1" applyAlignment="1">
      <alignment horizontal="center" vertical="center" wrapText="1"/>
    </xf>
    <xf numFmtId="0" fontId="16" fillId="0" borderId="36" xfId="1" applyFont="1" applyBorder="1" applyAlignment="1">
      <alignment horizontal="center" vertical="center" wrapText="1"/>
    </xf>
    <xf numFmtId="14" fontId="17" fillId="0" borderId="34" xfId="1" applyNumberFormat="1" applyFont="1" applyBorder="1" applyAlignment="1">
      <alignment horizontal="center" vertical="center" wrapText="1"/>
    </xf>
    <xf numFmtId="14" fontId="17" fillId="0" borderId="32" xfId="1" applyNumberFormat="1" applyFont="1" applyBorder="1" applyAlignment="1">
      <alignment horizontal="center" vertical="center" wrapText="1"/>
    </xf>
    <xf numFmtId="0" fontId="17" fillId="0" borderId="34" xfId="1" applyFont="1" applyBorder="1" applyAlignment="1">
      <alignment horizontal="center" vertical="center" wrapText="1"/>
    </xf>
    <xf numFmtId="0" fontId="17" fillId="0" borderId="32" xfId="1" applyFont="1" applyBorder="1" applyAlignment="1">
      <alignment horizontal="center" vertical="center" wrapText="1"/>
    </xf>
    <xf numFmtId="0" fontId="17" fillId="0" borderId="35" xfId="1" applyFont="1" applyBorder="1" applyAlignment="1">
      <alignment horizontal="center" vertical="center" wrapText="1"/>
    </xf>
    <xf numFmtId="0" fontId="17" fillId="0" borderId="38" xfId="1" applyFont="1" applyBorder="1" applyAlignment="1">
      <alignment horizontal="center" vertical="center" wrapText="1"/>
    </xf>
    <xf numFmtId="0" fontId="15" fillId="0" borderId="9" xfId="1" applyFont="1" applyBorder="1" applyAlignment="1">
      <alignment horizontal="center" vertical="center" wrapText="1"/>
    </xf>
    <xf numFmtId="0" fontId="17" fillId="0" borderId="37" xfId="1" applyFont="1" applyBorder="1" applyAlignment="1">
      <alignment horizontal="center" vertical="center" wrapText="1"/>
    </xf>
    <xf numFmtId="0" fontId="32" fillId="2" borderId="9" xfId="0" applyFont="1" applyFill="1" applyBorder="1" applyAlignment="1">
      <alignment horizontal="center" vertical="center" wrapText="1"/>
    </xf>
    <xf numFmtId="0" fontId="33" fillId="0" borderId="29" xfId="0" applyFont="1" applyFill="1" applyBorder="1" applyAlignment="1">
      <alignment horizontal="center" vertical="center" wrapText="1"/>
    </xf>
    <xf numFmtId="0" fontId="33" fillId="0" borderId="28" xfId="0" applyFont="1" applyFill="1" applyBorder="1" applyAlignment="1">
      <alignment horizontal="center" vertical="center" wrapText="1"/>
    </xf>
    <xf numFmtId="0" fontId="33" fillId="0" borderId="24" xfId="0" applyFont="1" applyFill="1" applyBorder="1" applyAlignment="1">
      <alignment horizontal="center" vertical="center" wrapText="1"/>
    </xf>
    <xf numFmtId="0" fontId="38" fillId="0" borderId="12" xfId="0" applyFont="1" applyBorder="1" applyAlignment="1">
      <alignment horizontal="center" vertical="center" wrapText="1"/>
    </xf>
    <xf numFmtId="0" fontId="38" fillId="0" borderId="11" xfId="0" applyFont="1" applyBorder="1" applyAlignment="1">
      <alignment horizontal="center" vertical="center" wrapText="1"/>
    </xf>
    <xf numFmtId="0" fontId="38" fillId="0" borderId="10" xfId="0" applyFont="1" applyBorder="1" applyAlignment="1">
      <alignment horizontal="center" vertical="center" wrapText="1"/>
    </xf>
    <xf numFmtId="0" fontId="33" fillId="0" borderId="9" xfId="0" applyFont="1" applyFill="1" applyBorder="1" applyAlignment="1">
      <alignment horizontal="center" vertical="center" wrapText="1"/>
    </xf>
    <xf numFmtId="0" fontId="32" fillId="8" borderId="9" xfId="0" applyFont="1" applyFill="1" applyBorder="1" applyAlignment="1">
      <alignment horizontal="center" vertical="center" wrapText="1"/>
    </xf>
    <xf numFmtId="0" fontId="30" fillId="0" borderId="9" xfId="0" applyFont="1" applyBorder="1" applyAlignment="1">
      <alignment horizontal="center" wrapText="1"/>
    </xf>
    <xf numFmtId="0" fontId="32" fillId="3" borderId="9"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2" fillId="7" borderId="9" xfId="0" applyFont="1" applyFill="1" applyBorder="1" applyAlignment="1">
      <alignment horizontal="center" vertical="center" wrapText="1"/>
    </xf>
    <xf numFmtId="0" fontId="32" fillId="6" borderId="9" xfId="0" applyFont="1" applyFill="1" applyBorder="1" applyAlignment="1">
      <alignment horizontal="center" vertical="center" wrapText="1"/>
    </xf>
    <xf numFmtId="0" fontId="33" fillId="0" borderId="9" xfId="0" applyFont="1" applyBorder="1" applyAlignment="1">
      <alignment horizontal="center" vertical="center" wrapText="1"/>
    </xf>
    <xf numFmtId="0" fontId="34" fillId="0" borderId="9" xfId="0" applyFont="1" applyBorder="1" applyAlignment="1">
      <alignment horizontal="center" vertical="center" wrapText="1"/>
    </xf>
    <xf numFmtId="0" fontId="6" fillId="6" borderId="9" xfId="0" applyFont="1" applyFill="1" applyBorder="1" applyAlignment="1">
      <alignment horizontal="center" vertical="center" wrapText="1"/>
    </xf>
    <xf numFmtId="0" fontId="38" fillId="0" borderId="9" xfId="0" applyFont="1" applyBorder="1" applyAlignment="1">
      <alignment horizontal="center" vertical="center" wrapText="1"/>
    </xf>
    <xf numFmtId="0" fontId="32" fillId="8" borderId="12" xfId="0" applyFont="1" applyFill="1" applyBorder="1" applyAlignment="1">
      <alignment horizontal="center" vertical="center" wrapText="1"/>
    </xf>
    <xf numFmtId="0" fontId="32" fillId="8" borderId="10"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6" borderId="17" xfId="0" applyFont="1" applyFill="1" applyBorder="1" applyAlignment="1">
      <alignment horizontal="center" vertical="center" wrapText="1"/>
    </xf>
    <xf numFmtId="0" fontId="32" fillId="6" borderId="16" xfId="0" applyFont="1" applyFill="1" applyBorder="1" applyAlignment="1">
      <alignment horizontal="center" vertical="center" wrapText="1"/>
    </xf>
    <xf numFmtId="0" fontId="32" fillId="6" borderId="15" xfId="0" applyFont="1" applyFill="1" applyBorder="1" applyAlignment="1">
      <alignment horizontal="center" vertical="center" wrapText="1"/>
    </xf>
    <xf numFmtId="0" fontId="32" fillId="6" borderId="14"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8" fillId="0" borderId="14" xfId="0" applyFont="1" applyBorder="1" applyAlignment="1">
      <alignment horizontal="center" vertical="center"/>
    </xf>
    <xf numFmtId="0" fontId="30" fillId="0" borderId="9" xfId="0" applyFont="1" applyBorder="1" applyAlignment="1">
      <alignment horizontal="center"/>
    </xf>
    <xf numFmtId="0" fontId="6" fillId="6" borderId="12"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32" fillId="3" borderId="12"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10" xfId="0" applyFont="1" applyFill="1" applyBorder="1" applyAlignment="1">
      <alignment horizontal="center" vertical="center" wrapText="1"/>
    </xf>
  </cellXfs>
  <cellStyles count="4">
    <cellStyle name="Hipervínculo 2" xfId="3" xr:uid="{3833710C-400A-465F-8D6A-E55FF5706242}"/>
    <cellStyle name="Hyperlink" xfId="2" xr:uid="{A3941A21-EE2C-4DF6-AC8A-9203A158030B}"/>
    <cellStyle name="Normal" xfId="0" builtinId="0"/>
    <cellStyle name="Normal 2" xfId="1" xr:uid="{34DC298F-AC4A-4064-93AE-325BE8641B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235856</xdr:colOff>
      <xdr:row>0</xdr:row>
      <xdr:rowOff>96157</xdr:rowOff>
    </xdr:from>
    <xdr:to>
      <xdr:col>9</xdr:col>
      <xdr:colOff>1245070</xdr:colOff>
      <xdr:row>0</xdr:row>
      <xdr:rowOff>1106714</xdr:rowOff>
    </xdr:to>
    <xdr:pic>
      <xdr:nvPicPr>
        <xdr:cNvPr id="2" name="Imagen 1">
          <a:extLst>
            <a:ext uri="{FF2B5EF4-FFF2-40B4-BE49-F238E27FC236}">
              <a16:creationId xmlns:a16="http://schemas.microsoft.com/office/drawing/2014/main" id="{BC09E89E-9959-4D2C-9C7E-977398E497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88" t="26846" r="23260" b="29856"/>
        <a:stretch/>
      </xdr:blipFill>
      <xdr:spPr>
        <a:xfrm>
          <a:off x="5370285" y="96157"/>
          <a:ext cx="2261071" cy="1010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127000</xdr:colOff>
      <xdr:row>0</xdr:row>
      <xdr:rowOff>0</xdr:rowOff>
    </xdr:from>
    <xdr:to>
      <xdr:col>9</xdr:col>
      <xdr:colOff>988785</xdr:colOff>
      <xdr:row>0</xdr:row>
      <xdr:rowOff>1122219</xdr:rowOff>
    </xdr:to>
    <xdr:pic>
      <xdr:nvPicPr>
        <xdr:cNvPr id="3" name="Imagen 2">
          <a:extLst>
            <a:ext uri="{FF2B5EF4-FFF2-40B4-BE49-F238E27FC236}">
              <a16:creationId xmlns:a16="http://schemas.microsoft.com/office/drawing/2014/main" id="{5A0FCE1E-463F-47BE-9134-491699BBCF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59" t="20410" r="22139" b="25548"/>
        <a:stretch/>
      </xdr:blipFill>
      <xdr:spPr>
        <a:xfrm>
          <a:off x="4980214" y="0"/>
          <a:ext cx="2204357" cy="11222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distritaleduco-my.sharepoint.com/:f:/g/personal/curriculocoording_udistrital_edu_co/En8PPfcRUUhEsppOPspq4iwBKx1gC18Min-DD11NIe3b_w?e=IexsuT" TargetMode="External"/><Relationship Id="rId18" Type="http://schemas.openxmlformats.org/officeDocument/2006/relationships/hyperlink" Target="https://udistritaleduco-my.sharepoint.com/:b:/g/personal/curriculocoording_udistrital_edu_co/ETbOHM6FRqBJgxQzykNK3v8BkAdK-I_dsX6BcbXrqbs4Wg?e=7KAFE2" TargetMode="External"/><Relationship Id="rId26" Type="http://schemas.openxmlformats.org/officeDocument/2006/relationships/hyperlink" Target="https://udistritaleduco-my.sharepoint.com/:f:/g/personal/curriculocoording_udistrital_edu_co/Eg9f42KXAXNNm6zopLptmGYBnfNX5MJq9lNU_pHWtstCFg?e=l8llIT" TargetMode="External"/><Relationship Id="rId39" Type="http://schemas.openxmlformats.org/officeDocument/2006/relationships/hyperlink" Target="https://udistritaleduco-my.sharepoint.com/:b:/g/personal/curriculocoording_udistrital_edu_co/Efev8eym-15FqfyvRi4895gBE9h7VA2DSeVcTOU5ZAJstw?e=mG6N5s" TargetMode="External"/><Relationship Id="rId21" Type="http://schemas.openxmlformats.org/officeDocument/2006/relationships/hyperlink" Target="https://udistritaleduco-my.sharepoint.com/:b:/g/personal/curriculocoording_udistrital_edu_co/Ee9w2S__x-xPtxI-5kiUjmYBzmEIHw1yd006OKn6vw_fvg?e=gUgd7D" TargetMode="External"/><Relationship Id="rId34" Type="http://schemas.openxmlformats.org/officeDocument/2006/relationships/hyperlink" Target="https://udistritaleduco-my.sharepoint.com/:b:/g/personal/curriculocoording_udistrital_edu_co/EWn_wdUV9QBLu5CYRW0BOegBiFsV1MfthBlwiuMpA4_XnA?e=Z07cso" TargetMode="External"/><Relationship Id="rId42" Type="http://schemas.openxmlformats.org/officeDocument/2006/relationships/hyperlink" Target="https://udistritaleduco-my.sharepoint.com/:b:/g/personal/curriculocoording_udistrital_edu_co/EUu3sVBVFwlPh3EKm3nt6PAB9bJd2cMBtU9Fl9yefkbRYQ?e=9SgIHs" TargetMode="External"/><Relationship Id="rId47" Type="http://schemas.openxmlformats.org/officeDocument/2006/relationships/hyperlink" Target="https://udistritaleduco-my.sharepoint.com/:b:/g/personal/curriculocoording_udistrital_edu_co/ETJkYaxnnxhOv3fhlxP5UrkBDgzdFrtpHmAEhewX8EwNdg?e=6YZLlh" TargetMode="External"/><Relationship Id="rId50" Type="http://schemas.openxmlformats.org/officeDocument/2006/relationships/hyperlink" Target="https://udistritaleduco-my.sharepoint.com/:f:/g/personal/curriculocoording_udistrital_edu_co/EmV3L74_ttxCkaQngRFXLAwBvD6OC1ZZW0FjfJc2DtnlhQ?e=y4w50k" TargetMode="External"/><Relationship Id="rId55" Type="http://schemas.openxmlformats.org/officeDocument/2006/relationships/hyperlink" Target="https://udistritaleduco-my.sharepoint.com/:f:/g/personal/curriculocoording_udistrital_edu_co/EuXdWnWrEbNOvOeIfqFx7zgBroJfFgiN74xtZ3RO07AMhw?e=vEVTCc" TargetMode="External"/><Relationship Id="rId7" Type="http://schemas.openxmlformats.org/officeDocument/2006/relationships/hyperlink" Target="https://udistritaleduco-my.sharepoint.com/:b:/g/personal/curriculocoording_udistrital_edu_co/EaWVzxrab9tMv2Uwf4YVORcB7FTPvl0ey5l-Df9YPiv03g?e=vaexkj" TargetMode="External"/><Relationship Id="rId2" Type="http://schemas.openxmlformats.org/officeDocument/2006/relationships/hyperlink" Target="https://udistritaleduco-my.sharepoint.com/:f:/g/personal/curriculocoording_udistrital_edu_co/EpSTZq52_y1Inp-zLLztxIkBwEonr-wAkSndkPzcHKm2mg?e=eKWtlG" TargetMode="External"/><Relationship Id="rId16" Type="http://schemas.openxmlformats.org/officeDocument/2006/relationships/hyperlink" Target="https://udistritaleduco-my.sharepoint.com/:b:/g/personal/curriculocoording_udistrital_edu_co/ET0_F8HdVVBPuXs449Y72cEBRMKgp4WFK_iN3tvivm506g?e=d0M230" TargetMode="External"/><Relationship Id="rId29" Type="http://schemas.openxmlformats.org/officeDocument/2006/relationships/hyperlink" Target="https://udistritaleduco-my.sharepoint.com/:b:/g/personal/curriculocoording_udistrital_edu_co/EYzjc2E6Vr9MtmcC9W9WPWEBCOhER8yebtMsskKRa_V-zQ?e=UMTNl3" TargetMode="External"/><Relationship Id="rId11" Type="http://schemas.openxmlformats.org/officeDocument/2006/relationships/hyperlink" Target="https://udistritaleduco-my.sharepoint.com/:x:/g/personal/curriculocoording_udistrital_edu_co/EakxjORr12tLsTFdSH50WqoB5lMIUbSjZxVAtzC7Q2i-ug?e=yM8Ki1" TargetMode="External"/><Relationship Id="rId24" Type="http://schemas.openxmlformats.org/officeDocument/2006/relationships/hyperlink" Target="https://udistritaleduco-my.sharepoint.com/:f:/g/personal/curriculocoording_udistrital_edu_co/Em2OsKsjBWtLv8hei1Ugh8sBjO4kCRW14LnZM-eS0l0xqg?e=nqPdok" TargetMode="External"/><Relationship Id="rId32" Type="http://schemas.openxmlformats.org/officeDocument/2006/relationships/hyperlink" Target="https://udistritaleduco-my.sharepoint.com/:u:/g/personal/mcic_udistrital_edu_co/ERU3j8PCHoZFhM0cJhRFQVABMNL7LaVd_DFO25Gdw3ShEw?e=6SC2zo" TargetMode="External"/><Relationship Id="rId37" Type="http://schemas.openxmlformats.org/officeDocument/2006/relationships/hyperlink" Target="https://udistritaleduco-my.sharepoint.com/:b:/g/personal/curriculocoording_udistrital_edu_co/Eb0z9XagEERMkbHYUjH5docBEJE_DfdXSmUm1dlR6bTDNw?e=432d1l" TargetMode="External"/><Relationship Id="rId40" Type="http://schemas.openxmlformats.org/officeDocument/2006/relationships/hyperlink" Target="https://udistritaleduco-my.sharepoint.com/:b:/g/personal/curriculocoording_udistrital_edu_co/ESlW8aKwfUxOv4wGa0ldqbkBt13V8vN81EZLeW4SQPyDkw?e=2LujLx" TargetMode="External"/><Relationship Id="rId45" Type="http://schemas.openxmlformats.org/officeDocument/2006/relationships/hyperlink" Target="https://udistritaleduco-my.sharepoint.com/:f:/g/personal/curriculocoording_udistrital_edu_co/EuE-MX8xmjBIoMZqLSuRSdkBfTdwf02CiRsecGLVjkG6tw?e=59psuP" TargetMode="External"/><Relationship Id="rId53" Type="http://schemas.openxmlformats.org/officeDocument/2006/relationships/hyperlink" Target="https://udistritaleduco-my.sharepoint.com/:b:/g/personal/curriculocoording_udistrital_edu_co/EfQN0OlI2NZIn_drn-QfZb4B0G4a6JoOnMRNLGc_zImC1g?e=JfOFrR" TargetMode="External"/><Relationship Id="rId5" Type="http://schemas.openxmlformats.org/officeDocument/2006/relationships/hyperlink" Target="https://drive.google.com/drive/folders/1LyosGkRsKQzyU11jNmjtFu2yvZBYRhLS?usp=sharing" TargetMode="External"/><Relationship Id="rId10" Type="http://schemas.openxmlformats.org/officeDocument/2006/relationships/hyperlink" Target="https://udistritaleduco-my.sharepoint.com/:f:/g/personal/curriculocoording_udistrital_edu_co/EkWv8wp6fRBJo1VPCQavsO0BckrUTeMblFF1G6eE7CLttg?e=lut4jF" TargetMode="External"/><Relationship Id="rId19" Type="http://schemas.openxmlformats.org/officeDocument/2006/relationships/hyperlink" Target="https://udistritaleduco-my.sharepoint.com/:b:/g/personal/curriculocoording_udistrital_edu_co/ETqvREURxXlBqO5uVQNrmVABQ3I5v7ujeqSJNZv1lyH3Fw?e=2OotHu" TargetMode="External"/><Relationship Id="rId31" Type="http://schemas.openxmlformats.org/officeDocument/2006/relationships/hyperlink" Target="https://udistritaleduco-my.sharepoint.com/:b:/g/personal/curriculocoording_udistrital_edu_co/Efzf2X9kZrZPrS2OWvKi2UgBTrHSIfR8fJxxuG4ZzA9P5w?e=VD58gf" TargetMode="External"/><Relationship Id="rId44" Type="http://schemas.openxmlformats.org/officeDocument/2006/relationships/hyperlink" Target="https://udistritaleduco-my.sharepoint.com/:b:/g/personal/curriculocoording_udistrital_edu_co/Efigu0hjWTlInPHrYcY38eoBJnsq9yslPO54VUyRi9Hcyw?e=dQv4G3" TargetMode="External"/><Relationship Id="rId52" Type="http://schemas.openxmlformats.org/officeDocument/2006/relationships/hyperlink" Target="https://udistritaleduco-my.sharepoint.com/:b:/g/personal/curriculocoording_udistrital_edu_co/Edf9S-8ssrBKk4gvytIThkoBWBkXXPbv-okW28yBM9BYdg?e=b8bG1p" TargetMode="External"/><Relationship Id="rId4" Type="http://schemas.openxmlformats.org/officeDocument/2006/relationships/hyperlink" Target="https://drive.google.com/drive/folders/1LyosGkRsKQzyU11jNmjtFu2yvZBYRhLS?usp=gmail" TargetMode="External"/><Relationship Id="rId9" Type="http://schemas.openxmlformats.org/officeDocument/2006/relationships/hyperlink" Target="https://udistritaleduco-my.sharepoint.com/:f:/g/personal/curriculocoording_udistrital_edu_co/EkWv8wp6fRBJo1VPCQavsO0BckrUTeMblFF1G6eE7CLttg?e=lut4jF" TargetMode="External"/><Relationship Id="rId14" Type="http://schemas.openxmlformats.org/officeDocument/2006/relationships/hyperlink" Target="https://udistritaleduco-my.sharepoint.com/:f:/g/personal/curriculocoording_udistrital_edu_co/EnlD6_OvJfNEpiGoh--iJ2QB5-tdAdsO5sHcM_cXai_ppQ?e=8akSYX" TargetMode="External"/><Relationship Id="rId22" Type="http://schemas.openxmlformats.org/officeDocument/2006/relationships/hyperlink" Target="https://udistritaleduco-my.sharepoint.com/:f:/g/personal/curriculocoording_udistrital_edu_co/Eu0TM15JZ7xAvFTqpJeIX78BrpdHrR57sfMy2q8Zwuypug?e=w7yGuF" TargetMode="External"/><Relationship Id="rId27" Type="http://schemas.openxmlformats.org/officeDocument/2006/relationships/hyperlink" Target="https://udistritaleduco-my.sharepoint.com/:b:/g/personal/curriculocoording_udistrital_edu_co/EYwo3PsteQ1OvWlhH5F08JoBTHvg2g-g4Jb32CEtsy9FTA?e=tHixsp" TargetMode="External"/><Relationship Id="rId30" Type="http://schemas.openxmlformats.org/officeDocument/2006/relationships/hyperlink" Target="https://udistritaleduco-my.sharepoint.com/:f:/g/personal/curriculocoording_udistrital_edu_co/Epu-oliQ_dBEu9NBHtcAShQBtZNYwE6V4rCm4BiEybwh1A?e=NfXgG2" TargetMode="External"/><Relationship Id="rId35" Type="http://schemas.openxmlformats.org/officeDocument/2006/relationships/hyperlink" Target="https://udistritaleduco-my.sharepoint.com/:b:/g/personal/curriculocoording_udistrital_edu_co/Ebp2qVzQVoJLoMn8Z4j_THcBIuRJYCWceQKpnUVJfTiJBQ?e=kJuCgf" TargetMode="External"/><Relationship Id="rId43" Type="http://schemas.openxmlformats.org/officeDocument/2006/relationships/hyperlink" Target="https://udistritaleduco-my.sharepoint.com/:b:/g/personal/curriculocoording_udistrital_edu_co/ETixK6QnigpFpvO4YWPfgk0BSkWgIb1iBsT-nXMJlc7KVQ?e=q3xwFO" TargetMode="External"/><Relationship Id="rId48" Type="http://schemas.openxmlformats.org/officeDocument/2006/relationships/hyperlink" Target="https://udistritaleduco-my.sharepoint.com/:f:/g/personal/curriculocoording_udistrital_edu_co/Ep9TaPaR-TNKnyoVxceMCwYBXQSMU5ST5KTM6R_WtZ0A8Q?e=XWw2VN" TargetMode="External"/><Relationship Id="rId56" Type="http://schemas.openxmlformats.org/officeDocument/2006/relationships/hyperlink" Target="https://udistritaleduco-my.sharepoint.com/:f:/g/personal/curriculocoording_udistrital_edu_co/Ek5ebKp9sFVGlkuEj6uRI5oBxW3H31LRmJAI-gO8nyldoQ?e=xky7kU" TargetMode="External"/><Relationship Id="rId8" Type="http://schemas.openxmlformats.org/officeDocument/2006/relationships/hyperlink" Target="https://drive.google.com/drive/folders/1HDRAWb-tgg7xDOFmw9oEJvF290csoHaW?usp=sharing" TargetMode="External"/><Relationship Id="rId51" Type="http://schemas.openxmlformats.org/officeDocument/2006/relationships/hyperlink" Target="https://udistritaleduco-my.sharepoint.com/:f:/g/personal/curriculocoording_udistrital_edu_co/Er8ZXov1jZ5Bos1ZNkhp9l0B2gHxxDqhSp6l6a6vLpdkZg?e=hSa6SE" TargetMode="External"/><Relationship Id="rId3" Type="http://schemas.openxmlformats.org/officeDocument/2006/relationships/hyperlink" Target="https://udistritaleduco-my.sharepoint.com/:f:/g/personal/curriculocoording_udistrital_edu_co/Eo6HI8qejFxBsKF_5krVwcABW0CWwFE3OETrO7w0qkHMzA?e=CibZ8W" TargetMode="External"/><Relationship Id="rId12" Type="http://schemas.openxmlformats.org/officeDocument/2006/relationships/hyperlink" Target="https://udistritaleduco-my.sharepoint.com/:x:/g/personal/curriculocoording_udistrital_edu_co/ERHdmL6MdD1DgK0aPXiSZ_gBtCpNNe1ilT9KMQUDuR2Qvw?e=4cacKR" TargetMode="External"/><Relationship Id="rId17" Type="http://schemas.openxmlformats.org/officeDocument/2006/relationships/hyperlink" Target="https://udistritaleduco-my.sharepoint.com/:f:/g/personal/curriculocoording_udistrital_edu_co/EoN8glTW65dAgUCfNr9bPTkBZe2mAEPJcjbxYr72zQV9lw?e=XcRynO" TargetMode="External"/><Relationship Id="rId25" Type="http://schemas.openxmlformats.org/officeDocument/2006/relationships/hyperlink" Target="https://udistritaleduco-my.sharepoint.com/:b:/g/personal/curriculocoording_udistrital_edu_co/EYq_X6-gwBJIpxnIIVRrZXoB4Cqw78Y4-sW_g2QPGgf6nQ?e=gE8r5N" TargetMode="External"/><Relationship Id="rId33" Type="http://schemas.openxmlformats.org/officeDocument/2006/relationships/hyperlink" Target="https://udistritaleduco-my.sharepoint.com/:x:/g/personal/curriculocoording_udistrital_edu_co/EUf7c04WC55Kk3H5Ggk3LwwBRkKN5NkjltEO0Y7RvY-3XQ?e=xtCHkM" TargetMode="External"/><Relationship Id="rId38" Type="http://schemas.openxmlformats.org/officeDocument/2006/relationships/hyperlink" Target="https://udistritaleduco-my.sharepoint.com/:b:/g/personal/curriculocoording_udistrital_edu_co/EbIJ_RVQSyZItsZxWdwERHgBhwHFBi8jRxG7myLwAiX0HA?e=iiG7IH" TargetMode="External"/><Relationship Id="rId46" Type="http://schemas.openxmlformats.org/officeDocument/2006/relationships/hyperlink" Target="https://udistritaleduco-my.sharepoint.com/:b:/g/personal/curriculocoording_udistrital_edu_co/Ef-7fOPdsTBBqB-DjQtea5cBG5-EUIP1avCxfG0ZDEYzdQ?e=GojuAx" TargetMode="External"/><Relationship Id="rId20" Type="http://schemas.openxmlformats.org/officeDocument/2006/relationships/hyperlink" Target="https://udistritaleduco-my.sharepoint.com/:b:/g/personal/curriculocoording_udistrital_edu_co/Efpgtj9HGRVJnJ0U6t2Z-e4BAzJhnMbseQw8qPLDY4xMxw?e=BpgVzE" TargetMode="External"/><Relationship Id="rId41" Type="http://schemas.openxmlformats.org/officeDocument/2006/relationships/hyperlink" Target="https://udistritaleduco-my.sharepoint.com/:b:/g/personal/curriculocoording_udistrital_edu_co/EWwtMPeKd49AoILr3A5z3FAB1F_yDAEbS2xrGfVOVBABTQ?e=JYOPFf" TargetMode="External"/><Relationship Id="rId54" Type="http://schemas.openxmlformats.org/officeDocument/2006/relationships/hyperlink" Target="https://udistritaleduco-my.sharepoint.com/:f:/g/personal/curriculocoording_udistrital_edu_co/EvIfqJTbRipMrFZEVoQDDrsBQrEhgaixsqhCKEC8Nm6vyg?e=Zjv19F" TargetMode="External"/><Relationship Id="rId1" Type="http://schemas.openxmlformats.org/officeDocument/2006/relationships/hyperlink" Target="https://udistritaleduco-my.sharepoint.com/:f:/g/personal/curriculocoording_udistrital_edu_co/EmduIssFjqRGmNb__IBN8fEBkKKE84MaRP9BFCDmyPeb5A?e=AaQDGA" TargetMode="External"/><Relationship Id="rId6" Type="http://schemas.openxmlformats.org/officeDocument/2006/relationships/hyperlink" Target="https://drive.google.com/drive/folders/1LyosGkRsKQzyU11jNmjtFu2yvZBYRhLS?usp=gmail" TargetMode="External"/><Relationship Id="rId15" Type="http://schemas.openxmlformats.org/officeDocument/2006/relationships/hyperlink" Target="https://udistritaleduco-my.sharepoint.com/:b:/g/personal/curriculocoording_udistrital_edu_co/EVHx40yqpuRBmI6Qpx7Zg6oBkz06wVCZeDqKhmlhlaC1zA?e=bk1PFg" TargetMode="External"/><Relationship Id="rId23" Type="http://schemas.openxmlformats.org/officeDocument/2006/relationships/hyperlink" Target="https://udistritaleduco-my.sharepoint.com/:f:/g/personal/curriculocoording_udistrital_edu_co/Egw5vjTEahZCmpfAE1KvnlMB0SpWO3EDjyOXZzwRf-Ph0Q?e=v7geb6" TargetMode="External"/><Relationship Id="rId28" Type="http://schemas.openxmlformats.org/officeDocument/2006/relationships/hyperlink" Target="https://udistritaleduco-my.sharepoint.com/:x:/g/personal/curriculocoording_udistrital_edu_co/EThIz5GPfttKnYJ1Iyk5EJQBeBkH8CCyn5HT8sRUenoocg?e=pKVqmD" TargetMode="External"/><Relationship Id="rId36" Type="http://schemas.openxmlformats.org/officeDocument/2006/relationships/hyperlink" Target="https://udistritaleduco-my.sharepoint.com/:f:/g/personal/curriculocoording_udistrital_edu_co/Ei7hkWpn6U9HlolKAySR8eUBwcYHM6b1XlcPoqyvcVCbww?e=kRaUh8" TargetMode="External"/><Relationship Id="rId49" Type="http://schemas.openxmlformats.org/officeDocument/2006/relationships/hyperlink" Target="https://udistritaleduco-my.sharepoint.com/:b:/g/personal/curriculocoording_udistrital_edu_co/EdJEZu8vatNImOVuFQTwAEwBMSHcNCh8iImjYDnmZCFszQ?e=ppoX8J"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45E3-8B29-4E98-B4F2-CD1901B813E4}">
  <dimension ref="A1:AJ52"/>
  <sheetViews>
    <sheetView topLeftCell="B1" workbookViewId="0">
      <selection activeCell="C18" sqref="C18"/>
    </sheetView>
  </sheetViews>
  <sheetFormatPr baseColWidth="10" defaultColWidth="36.90625" defaultRowHeight="12.5"/>
  <cols>
    <col min="1" max="1" width="3" hidden="1" customWidth="1"/>
    <col min="2" max="2" width="38" customWidth="1"/>
    <col min="3" max="3" width="25.1796875" bestFit="1" customWidth="1"/>
    <col min="4" max="4" width="4.54296875" bestFit="1" customWidth="1"/>
    <col min="5" max="6" width="3.54296875" bestFit="1" customWidth="1"/>
    <col min="7" max="7" width="4.453125" bestFit="1" customWidth="1"/>
    <col min="8" max="8" width="10" customWidth="1"/>
    <col min="9" max="9" width="4.81640625" bestFit="1" customWidth="1"/>
    <col min="10" max="10" width="33.26953125" style="66" customWidth="1"/>
    <col min="11" max="11" width="20.453125" style="66" customWidth="1"/>
  </cols>
  <sheetData>
    <row r="1" spans="1:36" ht="13" thickBot="1">
      <c r="A1" s="170" t="s">
        <v>0</v>
      </c>
      <c r="B1" s="170" t="s">
        <v>1</v>
      </c>
      <c r="C1" s="98" t="s">
        <v>2</v>
      </c>
      <c r="D1" s="170" t="s">
        <v>3</v>
      </c>
      <c r="E1" s="167" t="s">
        <v>4</v>
      </c>
      <c r="F1" s="168"/>
      <c r="G1" s="168"/>
      <c r="H1" s="169"/>
      <c r="I1" s="170" t="s">
        <v>5</v>
      </c>
      <c r="J1" s="170" t="s">
        <v>6</v>
      </c>
      <c r="K1" s="170" t="s">
        <v>7</v>
      </c>
    </row>
    <row r="2" spans="1:36" ht="24.5" thickBot="1">
      <c r="A2" s="171"/>
      <c r="B2" s="171"/>
      <c r="C2" s="99" t="s">
        <v>8</v>
      </c>
      <c r="D2" s="171"/>
      <c r="E2" s="99" t="s">
        <v>9</v>
      </c>
      <c r="F2" s="99" t="s">
        <v>10</v>
      </c>
      <c r="G2" s="99" t="s">
        <v>11</v>
      </c>
      <c r="H2" s="99" t="s">
        <v>12</v>
      </c>
      <c r="I2" s="171"/>
      <c r="J2" s="171"/>
      <c r="K2" s="171"/>
    </row>
    <row r="3" spans="1:36">
      <c r="A3" s="159" t="s">
        <v>13</v>
      </c>
      <c r="B3" s="160"/>
      <c r="C3" s="160"/>
      <c r="D3" s="160"/>
      <c r="E3" s="160"/>
      <c r="F3" s="160"/>
      <c r="G3" s="160"/>
      <c r="H3" s="160"/>
      <c r="I3" s="160"/>
      <c r="J3" s="161"/>
      <c r="K3" s="100"/>
    </row>
    <row r="4" spans="1:36">
      <c r="A4" s="101"/>
      <c r="B4" s="102" t="s">
        <v>17</v>
      </c>
      <c r="C4" s="102" t="s">
        <v>15</v>
      </c>
      <c r="D4" s="102">
        <v>1</v>
      </c>
      <c r="E4" s="102">
        <v>48</v>
      </c>
      <c r="F4" s="102">
        <v>16</v>
      </c>
      <c r="G4" s="102">
        <v>128</v>
      </c>
      <c r="H4" s="102">
        <v>192</v>
      </c>
      <c r="I4" s="102">
        <v>4</v>
      </c>
      <c r="J4" s="102" t="s">
        <v>17</v>
      </c>
      <c r="K4" s="102" t="s">
        <v>373</v>
      </c>
    </row>
    <row r="5" spans="1:36" ht="12.75" customHeight="1">
      <c r="A5" s="174" t="s">
        <v>113</v>
      </c>
      <c r="B5" s="175"/>
      <c r="C5" s="175"/>
      <c r="D5" s="175"/>
      <c r="E5" s="175"/>
      <c r="F5" s="175"/>
      <c r="G5" s="175"/>
      <c r="H5" s="175"/>
      <c r="I5" s="175"/>
      <c r="J5" s="175"/>
      <c r="K5" s="175"/>
    </row>
    <row r="6" spans="1:36" s="8" customFormat="1" ht="21">
      <c r="A6" s="101">
        <v>2</v>
      </c>
      <c r="B6" s="102" t="s">
        <v>14</v>
      </c>
      <c r="C6" s="102" t="s">
        <v>15</v>
      </c>
      <c r="D6" s="102">
        <v>1</v>
      </c>
      <c r="E6" s="102">
        <v>48</v>
      </c>
      <c r="F6" s="102">
        <v>16</v>
      </c>
      <c r="G6" s="102">
        <v>128</v>
      </c>
      <c r="H6" s="102">
        <v>192</v>
      </c>
      <c r="I6" s="102">
        <v>4</v>
      </c>
      <c r="J6" s="102" t="s">
        <v>14</v>
      </c>
      <c r="K6" s="172" t="s">
        <v>373</v>
      </c>
      <c r="L6" s="176"/>
      <c r="M6" s="9"/>
      <c r="N6" s="9"/>
      <c r="O6" s="9"/>
      <c r="P6" s="9"/>
      <c r="Q6" s="9"/>
      <c r="R6" s="9"/>
      <c r="S6" s="9"/>
      <c r="T6" s="9"/>
      <c r="U6" s="9"/>
      <c r="V6" s="9"/>
      <c r="W6" s="9"/>
      <c r="X6" s="9"/>
      <c r="Y6" s="9"/>
      <c r="Z6" s="9"/>
      <c r="AA6" s="9"/>
      <c r="AB6" s="9"/>
      <c r="AC6" s="9"/>
      <c r="AD6" s="9"/>
      <c r="AE6" s="9"/>
      <c r="AF6" s="9"/>
      <c r="AG6" s="9"/>
      <c r="AH6" s="9"/>
      <c r="AI6" s="9"/>
      <c r="AJ6" s="9"/>
    </row>
    <row r="7" spans="1:36" s="8" customFormat="1" ht="11" thickBot="1">
      <c r="A7" s="101">
        <v>3</v>
      </c>
      <c r="B7" s="102" t="s">
        <v>16</v>
      </c>
      <c r="C7" s="102" t="s">
        <v>15</v>
      </c>
      <c r="D7" s="102">
        <v>1</v>
      </c>
      <c r="E7" s="102">
        <v>48</v>
      </c>
      <c r="F7" s="102">
        <v>16</v>
      </c>
      <c r="G7" s="102">
        <v>128</v>
      </c>
      <c r="H7" s="102">
        <v>192</v>
      </c>
      <c r="I7" s="102">
        <v>4</v>
      </c>
      <c r="J7" s="102" t="s">
        <v>16</v>
      </c>
      <c r="K7" s="173"/>
      <c r="L7" s="176"/>
      <c r="M7" s="9"/>
      <c r="N7" s="9"/>
      <c r="O7" s="9"/>
      <c r="P7" s="9"/>
      <c r="Q7" s="9"/>
      <c r="R7" s="9"/>
      <c r="S7" s="9"/>
      <c r="T7" s="9"/>
      <c r="U7" s="9"/>
      <c r="V7" s="9"/>
      <c r="W7" s="9"/>
      <c r="X7" s="9"/>
      <c r="Y7" s="9"/>
      <c r="Z7" s="9"/>
      <c r="AA7" s="9"/>
      <c r="AB7" s="9"/>
      <c r="AC7" s="9"/>
      <c r="AD7" s="9"/>
      <c r="AE7" s="9"/>
      <c r="AF7" s="9"/>
      <c r="AG7" s="9"/>
      <c r="AH7" s="9"/>
      <c r="AI7" s="9"/>
      <c r="AJ7" s="9"/>
    </row>
    <row r="8" spans="1:36">
      <c r="A8" s="143" t="s">
        <v>18</v>
      </c>
      <c r="B8" s="144"/>
      <c r="C8" s="145"/>
      <c r="D8" s="103">
        <v>1</v>
      </c>
      <c r="E8" s="103">
        <v>48</v>
      </c>
      <c r="F8" s="103">
        <v>16</v>
      </c>
      <c r="G8" s="103">
        <v>128</v>
      </c>
      <c r="H8" s="104">
        <v>192</v>
      </c>
      <c r="I8" s="105">
        <v>4</v>
      </c>
      <c r="J8" s="141"/>
      <c r="K8" s="142"/>
      <c r="L8" s="176"/>
    </row>
    <row r="9" spans="1:36" s="8" customFormat="1" thickBot="1">
      <c r="A9" s="101"/>
      <c r="B9" s="102" t="s">
        <v>19</v>
      </c>
      <c r="C9" s="103" t="s">
        <v>377</v>
      </c>
      <c r="D9" s="177"/>
      <c r="E9" s="178"/>
      <c r="F9" s="178"/>
      <c r="G9" s="178"/>
      <c r="H9" s="178"/>
      <c r="I9" s="179"/>
      <c r="J9" s="102" t="s">
        <v>19</v>
      </c>
      <c r="K9" s="102" t="s">
        <v>373</v>
      </c>
      <c r="L9" s="176"/>
      <c r="M9" s="9"/>
      <c r="N9" s="9"/>
      <c r="O9" s="9"/>
      <c r="P9" s="9"/>
      <c r="Q9" s="9"/>
      <c r="R9" s="9"/>
      <c r="S9" s="9"/>
      <c r="T9" s="9"/>
      <c r="U9" s="9"/>
      <c r="V9" s="9"/>
      <c r="W9" s="9"/>
      <c r="X9" s="9"/>
      <c r="Y9" s="9"/>
      <c r="Z9" s="9"/>
      <c r="AA9" s="9"/>
      <c r="AB9" s="9"/>
      <c r="AC9" s="9"/>
      <c r="AD9" s="9"/>
      <c r="AE9" s="9"/>
      <c r="AF9" s="9"/>
      <c r="AG9" s="9"/>
      <c r="AH9" s="9"/>
      <c r="AI9" s="9"/>
      <c r="AJ9" s="9"/>
    </row>
    <row r="10" spans="1:36">
      <c r="A10" s="143" t="s">
        <v>20</v>
      </c>
      <c r="B10" s="144"/>
      <c r="C10" s="145"/>
      <c r="D10" s="103">
        <v>1</v>
      </c>
      <c r="E10" s="103">
        <v>48</v>
      </c>
      <c r="F10" s="103">
        <v>16</v>
      </c>
      <c r="G10" s="103">
        <v>128</v>
      </c>
      <c r="H10" s="104">
        <v>192</v>
      </c>
      <c r="I10" s="105">
        <v>4</v>
      </c>
      <c r="J10" s="141"/>
      <c r="K10" s="142"/>
    </row>
    <row r="11" spans="1:36" s="8" customFormat="1" thickBot="1">
      <c r="A11" s="101"/>
      <c r="B11" s="102" t="s">
        <v>21</v>
      </c>
      <c r="C11" s="103" t="s">
        <v>377</v>
      </c>
      <c r="D11" s="177"/>
      <c r="E11" s="178"/>
      <c r="F11" s="178"/>
      <c r="G11" s="178"/>
      <c r="H11" s="178"/>
      <c r="I11" s="179"/>
      <c r="J11" s="102" t="s">
        <v>21</v>
      </c>
      <c r="K11" s="102" t="s">
        <v>373</v>
      </c>
      <c r="L11" s="176"/>
      <c r="M11" s="9"/>
      <c r="N11" s="9"/>
      <c r="O11" s="9"/>
      <c r="P11" s="9"/>
      <c r="Q11" s="9"/>
      <c r="R11" s="9"/>
      <c r="S11" s="9"/>
      <c r="T11" s="9"/>
      <c r="U11" s="9"/>
      <c r="V11" s="9"/>
      <c r="W11" s="9"/>
      <c r="X11" s="9"/>
      <c r="Y11" s="9"/>
      <c r="Z11" s="9"/>
      <c r="AA11" s="9"/>
      <c r="AB11" s="9"/>
      <c r="AC11" s="9"/>
      <c r="AD11" s="9"/>
      <c r="AE11" s="9"/>
      <c r="AF11" s="9"/>
      <c r="AG11" s="9"/>
      <c r="AH11" s="9"/>
      <c r="AI11" s="9"/>
      <c r="AJ11" s="9"/>
    </row>
    <row r="12" spans="1:36">
      <c r="A12" s="143" t="s">
        <v>22</v>
      </c>
      <c r="B12" s="144"/>
      <c r="C12" s="145"/>
      <c r="D12" s="103">
        <v>1</v>
      </c>
      <c r="E12" s="103">
        <v>48</v>
      </c>
      <c r="F12" s="103">
        <v>16</v>
      </c>
      <c r="G12" s="103">
        <v>128</v>
      </c>
      <c r="H12" s="104">
        <v>192</v>
      </c>
      <c r="I12" s="105">
        <v>4</v>
      </c>
      <c r="J12" s="141"/>
      <c r="K12" s="142"/>
      <c r="L12" s="176"/>
    </row>
    <row r="13" spans="1:36" s="8" customFormat="1" thickBot="1">
      <c r="A13" s="101"/>
      <c r="B13" s="102" t="s">
        <v>23</v>
      </c>
      <c r="C13" s="103" t="s">
        <v>377</v>
      </c>
      <c r="D13" s="177"/>
      <c r="E13" s="178"/>
      <c r="F13" s="178"/>
      <c r="G13" s="178"/>
      <c r="H13" s="178"/>
      <c r="I13" s="179"/>
      <c r="J13" s="102" t="s">
        <v>23</v>
      </c>
      <c r="K13" s="102" t="s">
        <v>373</v>
      </c>
      <c r="L13" s="176"/>
      <c r="M13" s="9"/>
      <c r="N13" s="9"/>
      <c r="O13" s="9"/>
      <c r="P13" s="9"/>
      <c r="Q13" s="9"/>
      <c r="R13" s="9"/>
      <c r="S13" s="9"/>
      <c r="T13" s="9"/>
      <c r="U13" s="9"/>
      <c r="V13" s="9"/>
      <c r="W13" s="9"/>
      <c r="X13" s="9"/>
      <c r="Y13" s="9"/>
      <c r="Z13" s="9"/>
      <c r="AA13" s="9"/>
      <c r="AB13" s="9"/>
      <c r="AC13" s="9"/>
      <c r="AD13" s="9"/>
      <c r="AE13" s="9"/>
      <c r="AF13" s="9"/>
      <c r="AG13" s="9"/>
      <c r="AH13" s="9"/>
      <c r="AI13" s="9"/>
      <c r="AJ13" s="9"/>
    </row>
    <row r="14" spans="1:36">
      <c r="A14" s="143" t="s">
        <v>24</v>
      </c>
      <c r="B14" s="144"/>
      <c r="C14" s="145"/>
      <c r="D14" s="103">
        <v>1</v>
      </c>
      <c r="E14" s="103">
        <v>48</v>
      </c>
      <c r="F14" s="103">
        <v>16</v>
      </c>
      <c r="G14" s="103">
        <v>128</v>
      </c>
      <c r="H14" s="104">
        <v>192</v>
      </c>
      <c r="I14" s="105">
        <v>4</v>
      </c>
      <c r="J14" s="141"/>
      <c r="K14" s="142"/>
    </row>
    <row r="15" spans="1:36" s="8" customFormat="1" ht="21">
      <c r="A15" s="102"/>
      <c r="B15" s="102" t="s">
        <v>25</v>
      </c>
      <c r="C15" s="103" t="s">
        <v>377</v>
      </c>
      <c r="D15" s="177"/>
      <c r="E15" s="178"/>
      <c r="F15" s="178"/>
      <c r="G15" s="178"/>
      <c r="H15" s="178"/>
      <c r="I15" s="179"/>
      <c r="J15" s="102" t="s">
        <v>25</v>
      </c>
      <c r="K15" s="106" t="s">
        <v>378</v>
      </c>
      <c r="L15" s="10"/>
      <c r="M15" s="9"/>
      <c r="N15" s="9"/>
      <c r="O15" s="9"/>
      <c r="P15" s="9"/>
      <c r="Q15" s="9"/>
      <c r="R15" s="9"/>
      <c r="S15" s="9"/>
      <c r="T15" s="9"/>
      <c r="U15" s="9"/>
      <c r="V15" s="9"/>
      <c r="W15" s="9"/>
      <c r="X15" s="9"/>
      <c r="Y15" s="9"/>
      <c r="Z15" s="9"/>
      <c r="AA15" s="9"/>
      <c r="AB15" s="9"/>
      <c r="AC15" s="9"/>
      <c r="AD15" s="9"/>
      <c r="AE15" s="9"/>
      <c r="AF15" s="9"/>
      <c r="AG15" s="9"/>
      <c r="AH15" s="9"/>
      <c r="AI15" s="9"/>
      <c r="AJ15" s="9"/>
    </row>
    <row r="16" spans="1:36" ht="13" thickBot="1">
      <c r="A16" s="156" t="s">
        <v>26</v>
      </c>
      <c r="B16" s="157"/>
      <c r="C16" s="157"/>
      <c r="D16" s="158"/>
      <c r="E16" s="107">
        <f>SUM(E6:E7,E9)</f>
        <v>96</v>
      </c>
      <c r="F16" s="107">
        <f>SUM(F6:F7,F9)</f>
        <v>32</v>
      </c>
      <c r="G16" s="107">
        <f>SUM(G6:G7,G9)</f>
        <v>256</v>
      </c>
      <c r="H16" s="107">
        <f>SUM(H6:H7,H9)</f>
        <v>384</v>
      </c>
      <c r="I16" s="107">
        <f>SUM(I6:I7,I10+I4)</f>
        <v>16</v>
      </c>
      <c r="J16" s="165"/>
      <c r="K16" s="166"/>
    </row>
    <row r="17" spans="1:11">
      <c r="A17" s="159" t="s">
        <v>27</v>
      </c>
      <c r="B17" s="160"/>
      <c r="C17" s="160"/>
      <c r="D17" s="160"/>
      <c r="E17" s="160"/>
      <c r="F17" s="160"/>
      <c r="G17" s="160"/>
      <c r="H17" s="160"/>
      <c r="I17" s="160"/>
      <c r="J17" s="160"/>
      <c r="K17" s="161"/>
    </row>
    <row r="18" spans="1:11" s="5" customFormat="1" ht="13" thickBot="1">
      <c r="A18" s="108"/>
      <c r="B18" s="103" t="s">
        <v>28</v>
      </c>
      <c r="C18" s="103" t="s">
        <v>15</v>
      </c>
      <c r="D18" s="103">
        <v>2</v>
      </c>
      <c r="E18" s="103">
        <v>0</v>
      </c>
      <c r="F18" s="103">
        <v>48</v>
      </c>
      <c r="G18" s="103">
        <v>336</v>
      </c>
      <c r="H18" s="104">
        <v>384</v>
      </c>
      <c r="I18" s="105">
        <v>4</v>
      </c>
      <c r="J18" s="102" t="s">
        <v>374</v>
      </c>
      <c r="K18" s="109" t="s">
        <v>375</v>
      </c>
    </row>
    <row r="19" spans="1:11">
      <c r="A19" s="143" t="s">
        <v>18</v>
      </c>
      <c r="B19" s="144"/>
      <c r="C19" s="145"/>
      <c r="D19" s="103">
        <v>2</v>
      </c>
      <c r="E19" s="103">
        <v>48</v>
      </c>
      <c r="F19" s="103">
        <v>16</v>
      </c>
      <c r="G19" s="103">
        <v>128</v>
      </c>
      <c r="H19" s="104">
        <v>192</v>
      </c>
      <c r="I19" s="105">
        <v>4</v>
      </c>
      <c r="J19" s="141"/>
      <c r="K19" s="142"/>
    </row>
    <row r="20" spans="1:11">
      <c r="A20" s="146"/>
      <c r="B20" s="103" t="s">
        <v>29</v>
      </c>
      <c r="C20" s="103" t="s">
        <v>377</v>
      </c>
      <c r="D20" s="132"/>
      <c r="E20" s="133"/>
      <c r="F20" s="133"/>
      <c r="G20" s="133"/>
      <c r="H20" s="133"/>
      <c r="I20" s="134"/>
      <c r="J20" s="103" t="str">
        <f>B20</f>
        <v>REDES</v>
      </c>
      <c r="K20" s="102" t="s">
        <v>373</v>
      </c>
    </row>
    <row r="21" spans="1:11">
      <c r="A21" s="147"/>
      <c r="B21" s="103" t="s">
        <v>30</v>
      </c>
      <c r="C21" s="103" t="s">
        <v>377</v>
      </c>
      <c r="D21" s="135"/>
      <c r="E21" s="136"/>
      <c r="F21" s="136"/>
      <c r="G21" s="136"/>
      <c r="H21" s="136"/>
      <c r="I21" s="137"/>
      <c r="J21" s="103" t="str">
        <f t="shared" ref="J21:J38" si="0">B21</f>
        <v>MODELADO Y SIMULACION DE REDES</v>
      </c>
      <c r="K21" s="102" t="s">
        <v>373</v>
      </c>
    </row>
    <row r="22" spans="1:11">
      <c r="A22" s="147"/>
      <c r="B22" s="103" t="s">
        <v>31</v>
      </c>
      <c r="C22" s="103" t="s">
        <v>377</v>
      </c>
      <c r="D22" s="135"/>
      <c r="E22" s="136"/>
      <c r="F22" s="136"/>
      <c r="G22" s="136"/>
      <c r="H22" s="136"/>
      <c r="I22" s="137"/>
      <c r="J22" s="103" t="str">
        <f t="shared" si="0"/>
        <v>APLICACIONES SOBRE INTERNET EN LA NUBE</v>
      </c>
      <c r="K22" s="102" t="s">
        <v>373</v>
      </c>
    </row>
    <row r="23" spans="1:11" ht="24.5" thickBot="1">
      <c r="A23" s="148"/>
      <c r="B23" s="103" t="s">
        <v>32</v>
      </c>
      <c r="C23" s="103" t="s">
        <v>377</v>
      </c>
      <c r="D23" s="138"/>
      <c r="E23" s="139"/>
      <c r="F23" s="139"/>
      <c r="G23" s="139"/>
      <c r="H23" s="139"/>
      <c r="I23" s="140"/>
      <c r="J23" s="103" t="str">
        <f t="shared" si="0"/>
        <v>AVANCES EN REDES INALAMBRICAS</v>
      </c>
      <c r="K23" s="108" t="s">
        <v>379</v>
      </c>
    </row>
    <row r="24" spans="1:11">
      <c r="A24" s="143" t="s">
        <v>20</v>
      </c>
      <c r="B24" s="144"/>
      <c r="C24" s="145"/>
      <c r="D24" s="103">
        <v>2</v>
      </c>
      <c r="E24" s="103">
        <v>48</v>
      </c>
      <c r="F24" s="103">
        <v>16</v>
      </c>
      <c r="G24" s="103">
        <v>128</v>
      </c>
      <c r="H24" s="104">
        <v>192</v>
      </c>
      <c r="I24" s="105">
        <v>4</v>
      </c>
      <c r="J24" s="141"/>
      <c r="K24" s="142"/>
    </row>
    <row r="25" spans="1:11">
      <c r="A25" s="146"/>
      <c r="B25" s="103" t="s">
        <v>33</v>
      </c>
      <c r="C25" s="103" t="s">
        <v>377</v>
      </c>
      <c r="D25" s="132"/>
      <c r="E25" s="133"/>
      <c r="F25" s="133"/>
      <c r="G25" s="133"/>
      <c r="H25" s="133"/>
      <c r="I25" s="134"/>
      <c r="J25" s="103" t="str">
        <f t="shared" si="0"/>
        <v>ANALISIS ESPACIAL</v>
      </c>
      <c r="K25" s="102" t="s">
        <v>373</v>
      </c>
    </row>
    <row r="26" spans="1:11">
      <c r="A26" s="147"/>
      <c r="B26" s="103" t="s">
        <v>34</v>
      </c>
      <c r="C26" s="103" t="s">
        <v>377</v>
      </c>
      <c r="D26" s="135"/>
      <c r="E26" s="136"/>
      <c r="F26" s="136"/>
      <c r="G26" s="136"/>
      <c r="H26" s="136"/>
      <c r="I26" s="137"/>
      <c r="J26" s="103" t="str">
        <f t="shared" si="0"/>
        <v>SERVICIOS GEOGRAFICOS WEB</v>
      </c>
      <c r="K26" s="102" t="s">
        <v>373</v>
      </c>
    </row>
    <row r="27" spans="1:11">
      <c r="A27" s="147"/>
      <c r="B27" s="103" t="s">
        <v>35</v>
      </c>
      <c r="C27" s="103" t="s">
        <v>377</v>
      </c>
      <c r="D27" s="135"/>
      <c r="E27" s="136"/>
      <c r="F27" s="136"/>
      <c r="G27" s="136"/>
      <c r="H27" s="136"/>
      <c r="I27" s="137"/>
      <c r="J27" s="103" t="str">
        <f t="shared" si="0"/>
        <v>SISTEMAS DE POSICIONAMIENTO GEODESICO</v>
      </c>
      <c r="K27" s="102" t="s">
        <v>373</v>
      </c>
    </row>
    <row r="28" spans="1:11" ht="24.5" thickBot="1">
      <c r="A28" s="148"/>
      <c r="B28" s="103" t="s">
        <v>36</v>
      </c>
      <c r="C28" s="103" t="s">
        <v>377</v>
      </c>
      <c r="D28" s="138"/>
      <c r="E28" s="139"/>
      <c r="F28" s="139"/>
      <c r="G28" s="139"/>
      <c r="H28" s="139"/>
      <c r="I28" s="140"/>
      <c r="J28" s="103" t="str">
        <f t="shared" si="0"/>
        <v>METODOS AVANZADOS EN ANALISIS DE IMÁGENES</v>
      </c>
      <c r="K28" s="102" t="s">
        <v>373</v>
      </c>
    </row>
    <row r="29" spans="1:11">
      <c r="A29" s="143" t="s">
        <v>22</v>
      </c>
      <c r="B29" s="144"/>
      <c r="C29" s="145"/>
      <c r="D29" s="103">
        <v>2</v>
      </c>
      <c r="E29" s="103">
        <v>48</v>
      </c>
      <c r="F29" s="103">
        <v>16</v>
      </c>
      <c r="G29" s="103">
        <v>128</v>
      </c>
      <c r="H29" s="104">
        <v>192</v>
      </c>
      <c r="I29" s="105">
        <v>4</v>
      </c>
      <c r="J29" s="141"/>
      <c r="K29" s="142"/>
    </row>
    <row r="30" spans="1:11">
      <c r="A30" s="146"/>
      <c r="B30" s="103" t="s">
        <v>37</v>
      </c>
      <c r="C30" s="103" t="s">
        <v>377</v>
      </c>
      <c r="D30" s="132"/>
      <c r="E30" s="133"/>
      <c r="F30" s="133"/>
      <c r="G30" s="133"/>
      <c r="H30" s="133"/>
      <c r="I30" s="134"/>
      <c r="J30" s="103" t="str">
        <f t="shared" si="0"/>
        <v>BASES DE DATOS</v>
      </c>
      <c r="K30" s="102" t="s">
        <v>373</v>
      </c>
    </row>
    <row r="31" spans="1:11">
      <c r="A31" s="147"/>
      <c r="B31" s="103" t="s">
        <v>38</v>
      </c>
      <c r="C31" s="103" t="s">
        <v>377</v>
      </c>
      <c r="D31" s="135"/>
      <c r="E31" s="136"/>
      <c r="F31" s="136"/>
      <c r="G31" s="136"/>
      <c r="H31" s="136"/>
      <c r="I31" s="137"/>
      <c r="J31" s="103" t="str">
        <f t="shared" si="0"/>
        <v>INGENIERIA DE SOTFWARE II</v>
      </c>
      <c r="K31" s="102" t="s">
        <v>373</v>
      </c>
    </row>
    <row r="32" spans="1:11">
      <c r="A32" s="147"/>
      <c r="B32" s="103" t="s">
        <v>39</v>
      </c>
      <c r="C32" s="103" t="s">
        <v>377</v>
      </c>
      <c r="D32" s="135"/>
      <c r="E32" s="136"/>
      <c r="F32" s="136"/>
      <c r="G32" s="136"/>
      <c r="H32" s="136"/>
      <c r="I32" s="137"/>
      <c r="J32" s="103" t="str">
        <f t="shared" si="0"/>
        <v>PATRONES DE ARQUITECTURA DE SOFTWARE</v>
      </c>
      <c r="K32" s="102" t="s">
        <v>373</v>
      </c>
    </row>
    <row r="33" spans="1:12" ht="24.5" thickBot="1">
      <c r="A33" s="148"/>
      <c r="B33" s="110" t="s">
        <v>40</v>
      </c>
      <c r="C33" s="103" t="s">
        <v>377</v>
      </c>
      <c r="D33" s="138"/>
      <c r="E33" s="139"/>
      <c r="F33" s="139"/>
      <c r="G33" s="139"/>
      <c r="H33" s="139"/>
      <c r="I33" s="140"/>
      <c r="J33" s="103" t="str">
        <f t="shared" si="0"/>
        <v>CONSTRUCCION Y PRUEBAS DE SOFTWARE</v>
      </c>
      <c r="K33" s="108" t="s">
        <v>379</v>
      </c>
    </row>
    <row r="34" spans="1:12">
      <c r="A34" s="143" t="s">
        <v>24</v>
      </c>
      <c r="B34" s="144"/>
      <c r="C34" s="145"/>
      <c r="D34" s="103">
        <v>2</v>
      </c>
      <c r="E34" s="103">
        <v>48</v>
      </c>
      <c r="F34" s="103">
        <v>16</v>
      </c>
      <c r="G34" s="103">
        <v>128</v>
      </c>
      <c r="H34" s="104">
        <v>192</v>
      </c>
      <c r="I34" s="105">
        <v>4</v>
      </c>
      <c r="J34" s="141"/>
      <c r="K34" s="142"/>
    </row>
    <row r="35" spans="1:12" ht="21">
      <c r="A35" s="103"/>
      <c r="B35" s="103" t="s">
        <v>41</v>
      </c>
      <c r="C35" s="103" t="s">
        <v>377</v>
      </c>
      <c r="D35" s="132"/>
      <c r="E35" s="133"/>
      <c r="F35" s="133"/>
      <c r="G35" s="133"/>
      <c r="H35" s="133"/>
      <c r="I35" s="134"/>
      <c r="J35" s="103" t="str">
        <f t="shared" si="0"/>
        <v>BIG DATA</v>
      </c>
      <c r="K35" s="106" t="s">
        <v>378</v>
      </c>
    </row>
    <row r="36" spans="1:12" ht="24">
      <c r="A36" s="103"/>
      <c r="B36" s="103" t="s">
        <v>42</v>
      </c>
      <c r="C36" s="103" t="s">
        <v>377</v>
      </c>
      <c r="D36" s="135"/>
      <c r="E36" s="136"/>
      <c r="F36" s="136"/>
      <c r="G36" s="136"/>
      <c r="H36" s="136"/>
      <c r="I36" s="137"/>
      <c r="J36" s="103" t="str">
        <f t="shared" si="0"/>
        <v>ANALITICA DE DATOS</v>
      </c>
      <c r="K36" s="108" t="s">
        <v>379</v>
      </c>
    </row>
    <row r="37" spans="1:12" ht="21">
      <c r="A37" s="103"/>
      <c r="B37" s="103" t="s">
        <v>43</v>
      </c>
      <c r="C37" s="103" t="s">
        <v>377</v>
      </c>
      <c r="D37" s="135"/>
      <c r="E37" s="136"/>
      <c r="F37" s="136"/>
      <c r="G37" s="136"/>
      <c r="H37" s="136"/>
      <c r="I37" s="137"/>
      <c r="J37" s="103" t="str">
        <f t="shared" si="0"/>
        <v>INTELIGENCIA DE NEGOCIOS</v>
      </c>
      <c r="K37" s="106" t="s">
        <v>378</v>
      </c>
    </row>
    <row r="38" spans="1:12" ht="24.5" thickBot="1">
      <c r="A38" s="103"/>
      <c r="B38" s="103" t="s">
        <v>44</v>
      </c>
      <c r="C38" s="103" t="s">
        <v>377</v>
      </c>
      <c r="D38" s="138"/>
      <c r="E38" s="139"/>
      <c r="F38" s="139"/>
      <c r="G38" s="139"/>
      <c r="H38" s="139"/>
      <c r="I38" s="140"/>
      <c r="J38" s="103" t="str">
        <f t="shared" si="0"/>
        <v>COMPUTACION PARALELA</v>
      </c>
      <c r="K38" s="108" t="s">
        <v>379</v>
      </c>
    </row>
    <row r="39" spans="1:12" ht="13" thickBot="1">
      <c r="A39" s="156" t="s">
        <v>26</v>
      </c>
      <c r="B39" s="157"/>
      <c r="C39" s="157"/>
      <c r="D39" s="158"/>
      <c r="E39" s="107">
        <f>SUM(E18:E19,E24,E29)</f>
        <v>144</v>
      </c>
      <c r="F39" s="107">
        <f>SUM(F18:F19,F24,F29)</f>
        <v>96</v>
      </c>
      <c r="G39" s="107">
        <f>SUM(G18:G19,G24,G29)</f>
        <v>720</v>
      </c>
      <c r="H39" s="107">
        <f>SUM(H18:H19,H24,H29)</f>
        <v>960</v>
      </c>
      <c r="I39" s="107">
        <f>SUM(I18:I19,I24,I29)</f>
        <v>16</v>
      </c>
      <c r="J39" s="154"/>
      <c r="K39" s="155"/>
    </row>
    <row r="40" spans="1:12">
      <c r="A40" s="159" t="s">
        <v>27</v>
      </c>
      <c r="B40" s="160"/>
      <c r="C40" s="160"/>
      <c r="D40" s="160"/>
      <c r="E40" s="160"/>
      <c r="F40" s="160"/>
      <c r="G40" s="160"/>
      <c r="H40" s="160"/>
      <c r="I40" s="160"/>
      <c r="J40" s="160"/>
      <c r="K40" s="161"/>
    </row>
    <row r="41" spans="1:12" s="5" customFormat="1" ht="13" thickBot="1">
      <c r="A41" s="103">
        <v>10</v>
      </c>
      <c r="B41" s="103" t="s">
        <v>45</v>
      </c>
      <c r="C41" s="103" t="s">
        <v>15</v>
      </c>
      <c r="D41" s="103">
        <v>3</v>
      </c>
      <c r="E41" s="103">
        <v>0</v>
      </c>
      <c r="F41" s="103">
        <v>0</v>
      </c>
      <c r="G41" s="103">
        <v>348</v>
      </c>
      <c r="H41" s="104">
        <v>348</v>
      </c>
      <c r="I41" s="105">
        <v>8</v>
      </c>
      <c r="J41" s="103" t="s">
        <v>376</v>
      </c>
      <c r="K41" s="109" t="s">
        <v>375</v>
      </c>
      <c r="L41" s="6"/>
    </row>
    <row r="42" spans="1:12">
      <c r="A42" s="143" t="s">
        <v>18</v>
      </c>
      <c r="B42" s="144"/>
      <c r="C42" s="145"/>
      <c r="D42" s="103">
        <v>3</v>
      </c>
      <c r="E42" s="103">
        <v>48</v>
      </c>
      <c r="F42" s="103">
        <v>16</v>
      </c>
      <c r="G42" s="103">
        <v>128</v>
      </c>
      <c r="H42" s="104">
        <v>192</v>
      </c>
      <c r="I42" s="105">
        <v>4</v>
      </c>
      <c r="J42" s="141"/>
      <c r="K42" s="142"/>
    </row>
    <row r="43" spans="1:12" ht="24.5" thickBot="1">
      <c r="A43" s="103">
        <v>11</v>
      </c>
      <c r="B43" s="103" t="s">
        <v>46</v>
      </c>
      <c r="C43" s="103" t="s">
        <v>377</v>
      </c>
      <c r="D43" s="162"/>
      <c r="E43" s="163"/>
      <c r="F43" s="163"/>
      <c r="G43" s="163"/>
      <c r="H43" s="163"/>
      <c r="I43" s="164"/>
      <c r="J43" s="103" t="str">
        <f t="shared" ref="J43:J45" si="1">B43</f>
        <v>POLITICA SECTORIAL Y REGULACION EN TELECOMUNICACIONES</v>
      </c>
      <c r="K43" s="106" t="s">
        <v>380</v>
      </c>
    </row>
    <row r="44" spans="1:12">
      <c r="A44" s="143" t="s">
        <v>20</v>
      </c>
      <c r="B44" s="144"/>
      <c r="C44" s="145"/>
      <c r="D44" s="103">
        <v>3</v>
      </c>
      <c r="E44" s="103">
        <v>48</v>
      </c>
      <c r="F44" s="103">
        <v>16</v>
      </c>
      <c r="G44" s="103">
        <v>128</v>
      </c>
      <c r="H44" s="104">
        <v>192</v>
      </c>
      <c r="I44" s="105">
        <v>4</v>
      </c>
      <c r="J44" s="141"/>
      <c r="K44" s="142"/>
    </row>
    <row r="45" spans="1:12" ht="21">
      <c r="A45" s="103">
        <v>11</v>
      </c>
      <c r="B45" s="103" t="s">
        <v>47</v>
      </c>
      <c r="C45" s="103" t="s">
        <v>377</v>
      </c>
      <c r="D45" s="132"/>
      <c r="E45" s="133"/>
      <c r="F45" s="133"/>
      <c r="G45" s="133"/>
      <c r="H45" s="133"/>
      <c r="I45" s="134"/>
      <c r="J45" s="103" t="str">
        <f t="shared" si="1"/>
        <v>ESTADISTICA ESPACIAL</v>
      </c>
      <c r="K45" s="106" t="s">
        <v>381</v>
      </c>
    </row>
    <row r="46" spans="1:12" ht="36.5" thickBot="1">
      <c r="A46" s="103">
        <v>11</v>
      </c>
      <c r="B46" s="103" t="s">
        <v>48</v>
      </c>
      <c r="C46" s="103" t="s">
        <v>377</v>
      </c>
      <c r="D46" s="138"/>
      <c r="E46" s="139"/>
      <c r="F46" s="139"/>
      <c r="G46" s="139"/>
      <c r="H46" s="139"/>
      <c r="I46" s="140"/>
      <c r="J46" s="103" t="str">
        <f>B46</f>
        <v>PROCESAMIENTO DIGITAL DE IMÁGENES Y ELABORACION DE PRODUCTOS CARTOGRAFICOS</v>
      </c>
      <c r="K46" s="106" t="s">
        <v>381</v>
      </c>
    </row>
    <row r="47" spans="1:12">
      <c r="A47" s="143" t="s">
        <v>22</v>
      </c>
      <c r="B47" s="144"/>
      <c r="C47" s="145"/>
      <c r="D47" s="103">
        <v>3</v>
      </c>
      <c r="E47" s="103">
        <v>48</v>
      </c>
      <c r="F47" s="103">
        <v>16</v>
      </c>
      <c r="G47" s="103">
        <v>128</v>
      </c>
      <c r="H47" s="104">
        <v>192</v>
      </c>
      <c r="I47" s="105">
        <v>4</v>
      </c>
      <c r="J47" s="141"/>
      <c r="K47" s="142"/>
    </row>
    <row r="48" spans="1:12" ht="13.5" thickBot="1">
      <c r="A48" s="103">
        <v>11</v>
      </c>
      <c r="B48" s="103" t="s">
        <v>49</v>
      </c>
      <c r="C48" s="103" t="s">
        <v>377</v>
      </c>
      <c r="D48" s="162"/>
      <c r="E48" s="163"/>
      <c r="F48" s="163"/>
      <c r="G48" s="163"/>
      <c r="H48" s="163"/>
      <c r="I48" s="164"/>
      <c r="J48" s="103" t="str">
        <f t="shared" ref="J48" si="2">B48</f>
        <v>TENDENCIAS EN INGENIERIA DE SOFTWARE</v>
      </c>
      <c r="K48" s="102" t="s">
        <v>373</v>
      </c>
    </row>
    <row r="49" spans="1:11">
      <c r="A49" s="143" t="s">
        <v>24</v>
      </c>
      <c r="B49" s="144"/>
      <c r="C49" s="145"/>
      <c r="D49" s="103">
        <v>3</v>
      </c>
      <c r="E49" s="103">
        <v>48</v>
      </c>
      <c r="F49" s="103">
        <v>16</v>
      </c>
      <c r="G49" s="103">
        <v>128</v>
      </c>
      <c r="H49" s="104">
        <v>192</v>
      </c>
      <c r="I49" s="105">
        <v>4</v>
      </c>
      <c r="J49" s="141"/>
      <c r="K49" s="142"/>
    </row>
    <row r="50" spans="1:11" ht="24">
      <c r="A50" s="103">
        <v>11</v>
      </c>
      <c r="B50" s="103" t="s">
        <v>50</v>
      </c>
      <c r="C50" s="103" t="s">
        <v>377</v>
      </c>
      <c r="D50" s="162"/>
      <c r="E50" s="163"/>
      <c r="F50" s="163"/>
      <c r="G50" s="163"/>
      <c r="H50" s="163"/>
      <c r="I50" s="164"/>
      <c r="J50" s="103" t="str">
        <f t="shared" ref="J50" si="3">B50</f>
        <v>ROBOTICA</v>
      </c>
      <c r="K50" s="108" t="s">
        <v>379</v>
      </c>
    </row>
    <row r="51" spans="1:11" ht="13" thickBot="1">
      <c r="A51" s="156" t="s">
        <v>26</v>
      </c>
      <c r="B51" s="157"/>
      <c r="C51" s="157"/>
      <c r="D51" s="158"/>
      <c r="E51" s="107">
        <f>SUM(E41:E42)</f>
        <v>48</v>
      </c>
      <c r="F51" s="107">
        <f>SUM(F41:F42)</f>
        <v>16</v>
      </c>
      <c r="G51" s="107">
        <f>SUM(G41:G42)</f>
        <v>476</v>
      </c>
      <c r="H51" s="107">
        <f>SUM(H41:H42)</f>
        <v>540</v>
      </c>
      <c r="I51" s="107">
        <f>SUM(I41:I42)</f>
        <v>12</v>
      </c>
      <c r="J51" s="165"/>
      <c r="K51" s="166"/>
    </row>
    <row r="52" spans="1:11" ht="13" thickBot="1">
      <c r="A52" s="149" t="s">
        <v>51</v>
      </c>
      <c r="B52" s="150"/>
      <c r="C52" s="151"/>
      <c r="D52" s="111"/>
      <c r="E52" s="112">
        <f>SUM(E51+E39+E16)</f>
        <v>288</v>
      </c>
      <c r="F52" s="112">
        <f>SUM(F51+F39+F16)</f>
        <v>144</v>
      </c>
      <c r="G52" s="112">
        <f>SUM(G51+G39+G16)</f>
        <v>1452</v>
      </c>
      <c r="H52" s="112">
        <f>SUM(H51+H39+H16)</f>
        <v>1884</v>
      </c>
      <c r="I52" s="112">
        <f>SUM(I51+I39+I16)</f>
        <v>44</v>
      </c>
      <c r="J52" s="152"/>
      <c r="K52" s="153"/>
    </row>
  </sheetData>
  <mergeCells count="62">
    <mergeCell ref="L8:L9"/>
    <mergeCell ref="L6:L7"/>
    <mergeCell ref="D43:I43"/>
    <mergeCell ref="D45:I46"/>
    <mergeCell ref="D48:I48"/>
    <mergeCell ref="J16:K16"/>
    <mergeCell ref="A17:K17"/>
    <mergeCell ref="A8:C8"/>
    <mergeCell ref="A10:C10"/>
    <mergeCell ref="A12:C12"/>
    <mergeCell ref="A14:C14"/>
    <mergeCell ref="D9:I9"/>
    <mergeCell ref="D11:I11"/>
    <mergeCell ref="D13:I13"/>
    <mergeCell ref="D15:I15"/>
    <mergeCell ref="L11:L13"/>
    <mergeCell ref="E1:H1"/>
    <mergeCell ref="I1:I2"/>
    <mergeCell ref="J1:J2"/>
    <mergeCell ref="K1:K2"/>
    <mergeCell ref="A16:D16"/>
    <mergeCell ref="D1:D2"/>
    <mergeCell ref="A3:J3"/>
    <mergeCell ref="A1:A2"/>
    <mergeCell ref="B1:B2"/>
    <mergeCell ref="J8:K8"/>
    <mergeCell ref="J10:K10"/>
    <mergeCell ref="J12:K12"/>
    <mergeCell ref="J14:K14"/>
    <mergeCell ref="K6:K7"/>
    <mergeCell ref="A5:K5"/>
    <mergeCell ref="A52:C52"/>
    <mergeCell ref="J52:K52"/>
    <mergeCell ref="J39:K39"/>
    <mergeCell ref="A39:D39"/>
    <mergeCell ref="A51:D51"/>
    <mergeCell ref="A40:K40"/>
    <mergeCell ref="A47:C47"/>
    <mergeCell ref="D50:I50"/>
    <mergeCell ref="A49:C49"/>
    <mergeCell ref="J42:K42"/>
    <mergeCell ref="J44:K44"/>
    <mergeCell ref="J51:K51"/>
    <mergeCell ref="A42:C42"/>
    <mergeCell ref="A44:C44"/>
    <mergeCell ref="J47:K47"/>
    <mergeCell ref="J49:K49"/>
    <mergeCell ref="D35:I38"/>
    <mergeCell ref="J19:K19"/>
    <mergeCell ref="J24:K24"/>
    <mergeCell ref="J29:K29"/>
    <mergeCell ref="A19:C19"/>
    <mergeCell ref="D20:I23"/>
    <mergeCell ref="A24:C24"/>
    <mergeCell ref="A29:C29"/>
    <mergeCell ref="D25:I28"/>
    <mergeCell ref="A20:A23"/>
    <mergeCell ref="A25:A28"/>
    <mergeCell ref="A30:A33"/>
    <mergeCell ref="D30:I33"/>
    <mergeCell ref="J34:K34"/>
    <mergeCell ref="A34:C34"/>
  </mergeCells>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D528-C861-4FDC-BDA0-376AEBAFB937}">
  <dimension ref="A1:AJ51"/>
  <sheetViews>
    <sheetView topLeftCell="A3" zoomScale="66" workbookViewId="0">
      <selection activeCell="A3" sqref="A3:J3"/>
    </sheetView>
  </sheetViews>
  <sheetFormatPr baseColWidth="10" defaultColWidth="36.90625" defaultRowHeight="12.5"/>
  <cols>
    <col min="1" max="1" width="2.81640625" style="11" customWidth="1"/>
    <col min="2" max="2" width="54.453125" customWidth="1"/>
    <col min="3" max="3" width="19" customWidth="1"/>
    <col min="4" max="4" width="4.453125" bestFit="1" customWidth="1"/>
    <col min="5" max="6" width="3.26953125" bestFit="1" customWidth="1"/>
    <col min="7" max="7" width="4.1796875" bestFit="1" customWidth="1"/>
    <col min="8" max="8" width="10" customWidth="1"/>
    <col min="9" max="9" width="8.1796875" bestFit="1" customWidth="1"/>
    <col min="10" max="10" width="32.7265625" customWidth="1"/>
    <col min="11" max="11" width="26" bestFit="1" customWidth="1"/>
  </cols>
  <sheetData>
    <row r="1" spans="1:36">
      <c r="A1" s="180" t="s">
        <v>0</v>
      </c>
      <c r="B1" s="180" t="s">
        <v>1</v>
      </c>
      <c r="C1" s="18" t="s">
        <v>2</v>
      </c>
      <c r="D1" s="180" t="s">
        <v>3</v>
      </c>
      <c r="E1" s="180" t="s">
        <v>4</v>
      </c>
      <c r="F1" s="180"/>
      <c r="G1" s="180"/>
      <c r="H1" s="180"/>
      <c r="I1" s="180" t="s">
        <v>5</v>
      </c>
      <c r="J1" s="180" t="s">
        <v>6</v>
      </c>
      <c r="K1" s="180" t="s">
        <v>7</v>
      </c>
    </row>
    <row r="2" spans="1:36" ht="23">
      <c r="A2" s="180"/>
      <c r="B2" s="180"/>
      <c r="C2" s="18" t="s">
        <v>8</v>
      </c>
      <c r="D2" s="180"/>
      <c r="E2" s="18" t="s">
        <v>9</v>
      </c>
      <c r="F2" s="18" t="s">
        <v>10</v>
      </c>
      <c r="G2" s="18" t="s">
        <v>11</v>
      </c>
      <c r="H2" s="18" t="s">
        <v>12</v>
      </c>
      <c r="I2" s="180"/>
      <c r="J2" s="180"/>
      <c r="K2" s="180"/>
    </row>
    <row r="3" spans="1:36">
      <c r="A3" s="181" t="s">
        <v>13</v>
      </c>
      <c r="B3" s="181"/>
      <c r="C3" s="181"/>
      <c r="D3" s="181"/>
      <c r="E3" s="181"/>
      <c r="F3" s="181"/>
      <c r="G3" s="181"/>
      <c r="H3" s="181"/>
      <c r="I3" s="181"/>
      <c r="J3" s="181"/>
      <c r="K3" s="19"/>
    </row>
    <row r="4" spans="1:36">
      <c r="A4" s="9">
        <v>1</v>
      </c>
      <c r="B4" s="9" t="s">
        <v>17</v>
      </c>
      <c r="C4" s="9" t="s">
        <v>15</v>
      </c>
      <c r="D4" s="9">
        <v>1</v>
      </c>
      <c r="E4" s="9">
        <v>48</v>
      </c>
      <c r="F4" s="9">
        <v>16</v>
      </c>
      <c r="G4" s="9">
        <v>128</v>
      </c>
      <c r="H4" s="9">
        <v>192</v>
      </c>
      <c r="I4" s="9">
        <v>4</v>
      </c>
      <c r="J4" s="102" t="s">
        <v>17</v>
      </c>
      <c r="K4" s="102" t="s">
        <v>373</v>
      </c>
    </row>
    <row r="5" spans="1:36" ht="12.65" customHeight="1">
      <c r="A5" s="182" t="s">
        <v>113</v>
      </c>
      <c r="B5" s="183"/>
      <c r="C5" s="183"/>
      <c r="D5" s="183"/>
      <c r="E5" s="183"/>
      <c r="F5" s="183"/>
      <c r="G5" s="183"/>
      <c r="H5" s="183"/>
      <c r="I5" s="183"/>
      <c r="J5" s="183"/>
      <c r="K5" s="184"/>
    </row>
    <row r="6" spans="1:36" s="8" customFormat="1" ht="25.5" customHeight="1">
      <c r="A6" s="9">
        <v>2</v>
      </c>
      <c r="B6" s="9" t="s">
        <v>14</v>
      </c>
      <c r="C6" s="9" t="s">
        <v>15</v>
      </c>
      <c r="D6" s="9">
        <v>1</v>
      </c>
      <c r="E6" s="9">
        <v>48</v>
      </c>
      <c r="F6" s="9">
        <v>16</v>
      </c>
      <c r="G6" s="9">
        <v>128</v>
      </c>
      <c r="H6" s="9">
        <v>192</v>
      </c>
      <c r="I6" s="9">
        <v>4</v>
      </c>
      <c r="J6" s="102" t="s">
        <v>14</v>
      </c>
      <c r="K6" s="172" t="s">
        <v>373</v>
      </c>
      <c r="L6" s="176"/>
      <c r="M6" s="9"/>
      <c r="N6" s="9"/>
      <c r="O6" s="9"/>
      <c r="P6" s="9"/>
      <c r="Q6" s="9"/>
      <c r="R6" s="9"/>
      <c r="S6" s="9"/>
      <c r="T6" s="9"/>
      <c r="U6" s="9"/>
      <c r="V6" s="9"/>
      <c r="W6" s="9"/>
      <c r="X6" s="9"/>
      <c r="Y6" s="9"/>
      <c r="Z6" s="9"/>
      <c r="AA6" s="9"/>
      <c r="AB6" s="9"/>
      <c r="AC6" s="9"/>
      <c r="AD6" s="9"/>
      <c r="AE6" s="9"/>
      <c r="AF6" s="9"/>
      <c r="AG6" s="9"/>
      <c r="AH6" s="9"/>
      <c r="AI6" s="9"/>
      <c r="AJ6" s="9"/>
    </row>
    <row r="7" spans="1:36" s="8" customFormat="1" ht="14.5" customHeight="1" thickBot="1">
      <c r="A7" s="9">
        <v>3</v>
      </c>
      <c r="B7" s="9" t="s">
        <v>16</v>
      </c>
      <c r="C7" s="9" t="s">
        <v>15</v>
      </c>
      <c r="D7" s="9">
        <v>1</v>
      </c>
      <c r="E7" s="9">
        <v>48</v>
      </c>
      <c r="F7" s="9">
        <v>16</v>
      </c>
      <c r="G7" s="9">
        <v>128</v>
      </c>
      <c r="H7" s="9">
        <v>192</v>
      </c>
      <c r="I7" s="9">
        <v>4</v>
      </c>
      <c r="J7" s="102" t="s">
        <v>16</v>
      </c>
      <c r="K7" s="173"/>
      <c r="L7" s="176"/>
      <c r="M7" s="9"/>
      <c r="N7" s="9"/>
      <c r="O7" s="9"/>
      <c r="P7" s="9"/>
      <c r="Q7" s="9"/>
      <c r="R7" s="9"/>
      <c r="S7" s="9"/>
      <c r="T7" s="9"/>
      <c r="U7" s="9"/>
      <c r="V7" s="9"/>
      <c r="W7" s="9"/>
      <c r="X7" s="9"/>
      <c r="Y7" s="9"/>
      <c r="Z7" s="9"/>
      <c r="AA7" s="9"/>
      <c r="AB7" s="9"/>
      <c r="AC7" s="9"/>
      <c r="AD7" s="9"/>
      <c r="AE7" s="9"/>
      <c r="AF7" s="9"/>
      <c r="AG7" s="9"/>
      <c r="AH7" s="9"/>
      <c r="AI7" s="9"/>
      <c r="AJ7" s="9"/>
    </row>
    <row r="8" spans="1:36" ht="12.65" customHeight="1">
      <c r="A8" s="186" t="s">
        <v>18</v>
      </c>
      <c r="B8" s="186"/>
      <c r="C8" s="186"/>
      <c r="D8" s="1">
        <v>1</v>
      </c>
      <c r="E8" s="2">
        <v>48</v>
      </c>
      <c r="F8" s="2">
        <v>16</v>
      </c>
      <c r="G8" s="2">
        <v>128</v>
      </c>
      <c r="H8" s="4">
        <v>192</v>
      </c>
      <c r="I8" s="3">
        <v>4</v>
      </c>
      <c r="J8" s="141"/>
      <c r="K8" s="142"/>
      <c r="L8" s="176"/>
    </row>
    <row r="9" spans="1:36" s="8" customFormat="1" ht="13" customHeight="1" thickBot="1">
      <c r="A9" s="9">
        <v>4</v>
      </c>
      <c r="B9" s="9" t="s">
        <v>19</v>
      </c>
      <c r="C9" s="1" t="s">
        <v>377</v>
      </c>
      <c r="D9" s="192"/>
      <c r="E9" s="192"/>
      <c r="F9" s="192"/>
      <c r="G9" s="192"/>
      <c r="H9" s="192"/>
      <c r="I9" s="192"/>
      <c r="J9" s="102" t="s">
        <v>19</v>
      </c>
      <c r="K9" s="102" t="s">
        <v>373</v>
      </c>
      <c r="L9" s="176"/>
      <c r="M9" s="9"/>
      <c r="N9" s="9"/>
      <c r="O9" s="9"/>
      <c r="P9" s="9"/>
      <c r="Q9" s="9"/>
      <c r="R9" s="9"/>
      <c r="S9" s="9"/>
      <c r="T9" s="9"/>
      <c r="U9" s="9"/>
      <c r="V9" s="9"/>
      <c r="W9" s="9"/>
      <c r="X9" s="9"/>
      <c r="Y9" s="9"/>
      <c r="Z9" s="9"/>
      <c r="AA9" s="9"/>
      <c r="AB9" s="9"/>
      <c r="AC9" s="9"/>
      <c r="AD9" s="9"/>
      <c r="AE9" s="9"/>
      <c r="AF9" s="9"/>
      <c r="AG9" s="9"/>
      <c r="AH9" s="9"/>
      <c r="AI9" s="9"/>
      <c r="AJ9" s="9"/>
    </row>
    <row r="10" spans="1:36" ht="12.65" customHeight="1">
      <c r="A10" s="186" t="s">
        <v>20</v>
      </c>
      <c r="B10" s="186"/>
      <c r="C10" s="186"/>
      <c r="D10" s="1">
        <v>1</v>
      </c>
      <c r="E10" s="2">
        <v>48</v>
      </c>
      <c r="F10" s="2">
        <v>16</v>
      </c>
      <c r="G10" s="2">
        <v>128</v>
      </c>
      <c r="H10" s="4">
        <v>192</v>
      </c>
      <c r="I10" s="3">
        <v>4</v>
      </c>
      <c r="J10" s="141"/>
      <c r="K10" s="142"/>
    </row>
    <row r="11" spans="1:36" s="8" customFormat="1" ht="12.65" customHeight="1" thickBot="1">
      <c r="A11" s="9">
        <v>4</v>
      </c>
      <c r="B11" s="9" t="s">
        <v>21</v>
      </c>
      <c r="C11" s="1" t="s">
        <v>377</v>
      </c>
      <c r="D11" s="192"/>
      <c r="E11" s="192"/>
      <c r="F11" s="192"/>
      <c r="G11" s="192"/>
      <c r="H11" s="192"/>
      <c r="I11" s="192"/>
      <c r="J11" s="102" t="s">
        <v>21</v>
      </c>
      <c r="K11" s="102" t="s">
        <v>373</v>
      </c>
      <c r="L11" s="176"/>
      <c r="M11" s="9"/>
      <c r="N11" s="9"/>
      <c r="O11" s="9"/>
      <c r="P11" s="9"/>
      <c r="Q11" s="9"/>
      <c r="R11" s="9"/>
      <c r="S11" s="9"/>
      <c r="T11" s="9"/>
      <c r="U11" s="9"/>
      <c r="V11" s="9"/>
      <c r="W11" s="9"/>
      <c r="X11" s="9"/>
      <c r="Y11" s="9"/>
      <c r="Z11" s="9"/>
      <c r="AA11" s="9"/>
      <c r="AB11" s="9"/>
      <c r="AC11" s="9"/>
      <c r="AD11" s="9"/>
      <c r="AE11" s="9"/>
      <c r="AF11" s="9"/>
      <c r="AG11" s="9"/>
      <c r="AH11" s="9"/>
      <c r="AI11" s="9"/>
      <c r="AJ11" s="9"/>
    </row>
    <row r="12" spans="1:36" ht="12.65" customHeight="1">
      <c r="A12" s="186" t="s">
        <v>22</v>
      </c>
      <c r="B12" s="186"/>
      <c r="C12" s="186"/>
      <c r="D12" s="1">
        <v>1</v>
      </c>
      <c r="E12" s="2">
        <v>48</v>
      </c>
      <c r="F12" s="2">
        <v>16</v>
      </c>
      <c r="G12" s="2">
        <v>128</v>
      </c>
      <c r="H12" s="4">
        <v>192</v>
      </c>
      <c r="I12" s="3">
        <v>4</v>
      </c>
      <c r="J12" s="141"/>
      <c r="K12" s="142"/>
      <c r="L12" s="176"/>
    </row>
    <row r="13" spans="1:36" s="8" customFormat="1" ht="13" customHeight="1" thickBot="1">
      <c r="A13" s="9">
        <v>4</v>
      </c>
      <c r="B13" s="9" t="s">
        <v>23</v>
      </c>
      <c r="C13" s="1" t="s">
        <v>377</v>
      </c>
      <c r="D13" s="192"/>
      <c r="E13" s="192"/>
      <c r="F13" s="192"/>
      <c r="G13" s="192"/>
      <c r="H13" s="192"/>
      <c r="I13" s="192"/>
      <c r="J13" s="102" t="s">
        <v>23</v>
      </c>
      <c r="K13" s="102" t="s">
        <v>373</v>
      </c>
      <c r="L13" s="176"/>
      <c r="M13" s="9"/>
      <c r="N13" s="9"/>
      <c r="O13" s="9"/>
      <c r="P13" s="9"/>
      <c r="Q13" s="9"/>
      <c r="R13" s="9"/>
      <c r="S13" s="9"/>
      <c r="T13" s="9"/>
      <c r="U13" s="9"/>
      <c r="V13" s="9"/>
      <c r="W13" s="9"/>
      <c r="X13" s="9"/>
      <c r="Y13" s="9"/>
      <c r="Z13" s="9"/>
      <c r="AA13" s="9"/>
      <c r="AB13" s="9"/>
      <c r="AC13" s="9"/>
      <c r="AD13" s="9"/>
      <c r="AE13" s="9"/>
      <c r="AF13" s="9"/>
      <c r="AG13" s="9"/>
      <c r="AH13" s="9"/>
      <c r="AI13" s="9"/>
      <c r="AJ13" s="9"/>
    </row>
    <row r="14" spans="1:36" ht="12.65" customHeight="1">
      <c r="A14" s="186" t="s">
        <v>24</v>
      </c>
      <c r="B14" s="186"/>
      <c r="C14" s="186"/>
      <c r="D14" s="1">
        <v>1</v>
      </c>
      <c r="E14" s="2">
        <v>48</v>
      </c>
      <c r="F14" s="2">
        <v>16</v>
      </c>
      <c r="G14" s="2">
        <v>128</v>
      </c>
      <c r="H14" s="4">
        <v>192</v>
      </c>
      <c r="I14" s="3">
        <v>4</v>
      </c>
      <c r="J14" s="141"/>
      <c r="K14" s="142"/>
    </row>
    <row r="15" spans="1:36" s="8" customFormat="1" ht="12">
      <c r="A15" s="9">
        <v>4</v>
      </c>
      <c r="B15" s="9" t="s">
        <v>25</v>
      </c>
      <c r="C15" s="1" t="s">
        <v>377</v>
      </c>
      <c r="D15" s="192"/>
      <c r="E15" s="192"/>
      <c r="F15" s="192"/>
      <c r="G15" s="192"/>
      <c r="H15" s="192"/>
      <c r="I15" s="192"/>
      <c r="J15" s="102" t="s">
        <v>25</v>
      </c>
      <c r="K15" s="106" t="s">
        <v>378</v>
      </c>
      <c r="L15" s="10"/>
      <c r="M15" s="9"/>
      <c r="N15" s="9"/>
      <c r="O15" s="9"/>
      <c r="P15" s="9"/>
      <c r="Q15" s="9"/>
      <c r="R15" s="9"/>
      <c r="S15" s="9"/>
      <c r="T15" s="9"/>
      <c r="U15" s="9"/>
      <c r="V15" s="9"/>
      <c r="W15" s="9"/>
      <c r="X15" s="9"/>
      <c r="Y15" s="9"/>
      <c r="Z15" s="9"/>
      <c r="AA15" s="9"/>
      <c r="AB15" s="9"/>
      <c r="AC15" s="9"/>
      <c r="AD15" s="9"/>
      <c r="AE15" s="9"/>
      <c r="AF15" s="9"/>
      <c r="AG15" s="9"/>
      <c r="AH15" s="9"/>
      <c r="AI15" s="9"/>
      <c r="AJ15" s="9"/>
    </row>
    <row r="16" spans="1:36" ht="13" customHeight="1">
      <c r="A16" s="187" t="s">
        <v>26</v>
      </c>
      <c r="B16" s="187"/>
      <c r="C16" s="187"/>
      <c r="D16" s="187"/>
      <c r="E16" s="2">
        <f>SUM(E6:E7,E8+E4)</f>
        <v>192</v>
      </c>
      <c r="F16" s="2">
        <f t="shared" ref="F16:I16" si="0">SUM(F6:F7,F8+F4)</f>
        <v>64</v>
      </c>
      <c r="G16" s="2">
        <f t="shared" si="0"/>
        <v>512</v>
      </c>
      <c r="H16" s="2">
        <f t="shared" si="0"/>
        <v>768</v>
      </c>
      <c r="I16" s="2">
        <f t="shared" si="0"/>
        <v>16</v>
      </c>
      <c r="J16" s="188"/>
      <c r="K16" s="188"/>
    </row>
    <row r="17" spans="1:11" ht="13" thickBot="1">
      <c r="A17" s="181" t="s">
        <v>27</v>
      </c>
      <c r="B17" s="181"/>
      <c r="C17" s="181"/>
      <c r="D17" s="181"/>
      <c r="E17" s="181"/>
      <c r="F17" s="181"/>
      <c r="G17" s="181"/>
      <c r="H17" s="181"/>
      <c r="I17" s="181"/>
      <c r="J17" s="181"/>
      <c r="K17" s="181"/>
    </row>
    <row r="18" spans="1:11" ht="12.65" customHeight="1">
      <c r="A18" s="186" t="s">
        <v>18</v>
      </c>
      <c r="B18" s="186"/>
      <c r="C18" s="186"/>
      <c r="D18" s="1">
        <v>2</v>
      </c>
      <c r="E18" s="2">
        <v>48</v>
      </c>
      <c r="F18" s="2">
        <v>16</v>
      </c>
      <c r="G18" s="2">
        <v>128</v>
      </c>
      <c r="H18" s="4">
        <v>192</v>
      </c>
      <c r="I18" s="3">
        <v>4</v>
      </c>
      <c r="J18" s="141"/>
      <c r="K18" s="142"/>
    </row>
    <row r="19" spans="1:11">
      <c r="A19" s="2">
        <v>5</v>
      </c>
      <c r="B19" s="2" t="s">
        <v>29</v>
      </c>
      <c r="C19" s="1" t="s">
        <v>377</v>
      </c>
      <c r="D19" s="185"/>
      <c r="E19" s="185"/>
      <c r="F19" s="185"/>
      <c r="G19" s="185"/>
      <c r="H19" s="185"/>
      <c r="I19" s="185"/>
      <c r="J19" s="103" t="str">
        <f>B19</f>
        <v>REDES</v>
      </c>
      <c r="K19" s="102" t="s">
        <v>373</v>
      </c>
    </row>
    <row r="20" spans="1:11">
      <c r="A20" s="2">
        <v>6</v>
      </c>
      <c r="B20" s="2" t="s">
        <v>30</v>
      </c>
      <c r="C20" s="1" t="s">
        <v>377</v>
      </c>
      <c r="D20" s="185"/>
      <c r="E20" s="185"/>
      <c r="F20" s="185"/>
      <c r="G20" s="185"/>
      <c r="H20" s="185"/>
      <c r="I20" s="185"/>
      <c r="J20" s="103" t="str">
        <f t="shared" ref="J20:J32" si="1">B20</f>
        <v>MODELADO Y SIMULACION DE REDES</v>
      </c>
      <c r="K20" s="102" t="s">
        <v>373</v>
      </c>
    </row>
    <row r="21" spans="1:11">
      <c r="A21" s="2">
        <v>7</v>
      </c>
      <c r="B21" s="2" t="s">
        <v>31</v>
      </c>
      <c r="C21" s="1" t="s">
        <v>377</v>
      </c>
      <c r="D21" s="185"/>
      <c r="E21" s="185"/>
      <c r="F21" s="185"/>
      <c r="G21" s="185"/>
      <c r="H21" s="185"/>
      <c r="I21" s="185"/>
      <c r="J21" s="103" t="str">
        <f t="shared" si="1"/>
        <v>APLICACIONES SOBRE INTERNET EN LA NUBE</v>
      </c>
      <c r="K21" s="102" t="s">
        <v>373</v>
      </c>
    </row>
    <row r="22" spans="1:11" ht="13" thickBot="1">
      <c r="A22" s="2">
        <v>8</v>
      </c>
      <c r="B22" s="2" t="s">
        <v>32</v>
      </c>
      <c r="C22" s="1" t="s">
        <v>377</v>
      </c>
      <c r="D22" s="185"/>
      <c r="E22" s="185"/>
      <c r="F22" s="185"/>
      <c r="G22" s="185"/>
      <c r="H22" s="185"/>
      <c r="I22" s="185"/>
      <c r="J22" s="103" t="str">
        <f t="shared" si="1"/>
        <v>AVANCES EN REDES INALAMBRICAS</v>
      </c>
      <c r="K22" s="108" t="s">
        <v>379</v>
      </c>
    </row>
    <row r="23" spans="1:11" ht="12.65" customHeight="1">
      <c r="A23" s="186" t="s">
        <v>20</v>
      </c>
      <c r="B23" s="186"/>
      <c r="C23" s="186"/>
      <c r="D23" s="1">
        <v>2</v>
      </c>
      <c r="E23" s="2">
        <v>48</v>
      </c>
      <c r="F23" s="2">
        <v>16</v>
      </c>
      <c r="G23" s="2">
        <v>128</v>
      </c>
      <c r="H23" s="4">
        <v>192</v>
      </c>
      <c r="I23" s="3">
        <v>4</v>
      </c>
      <c r="J23" s="141"/>
      <c r="K23" s="142"/>
    </row>
    <row r="24" spans="1:11">
      <c r="A24" s="2">
        <v>5</v>
      </c>
      <c r="B24" s="2" t="s">
        <v>33</v>
      </c>
      <c r="C24" s="1" t="s">
        <v>377</v>
      </c>
      <c r="D24" s="185"/>
      <c r="E24" s="185"/>
      <c r="F24" s="185"/>
      <c r="G24" s="185"/>
      <c r="H24" s="185"/>
      <c r="I24" s="185"/>
      <c r="J24" s="103" t="str">
        <f t="shared" si="1"/>
        <v>ANALISIS ESPACIAL</v>
      </c>
      <c r="K24" s="102" t="s">
        <v>373</v>
      </c>
    </row>
    <row r="25" spans="1:11">
      <c r="A25" s="2">
        <v>6</v>
      </c>
      <c r="B25" s="2" t="s">
        <v>34</v>
      </c>
      <c r="C25" s="1" t="s">
        <v>377</v>
      </c>
      <c r="D25" s="185"/>
      <c r="E25" s="185"/>
      <c r="F25" s="185"/>
      <c r="G25" s="185"/>
      <c r="H25" s="185"/>
      <c r="I25" s="185"/>
      <c r="J25" s="103" t="str">
        <f t="shared" si="1"/>
        <v>SERVICIOS GEOGRAFICOS WEB</v>
      </c>
      <c r="K25" s="102" t="s">
        <v>373</v>
      </c>
    </row>
    <row r="26" spans="1:11">
      <c r="A26" s="2">
        <v>7</v>
      </c>
      <c r="B26" s="2" t="s">
        <v>35</v>
      </c>
      <c r="C26" s="1" t="s">
        <v>377</v>
      </c>
      <c r="D26" s="185"/>
      <c r="E26" s="185"/>
      <c r="F26" s="185"/>
      <c r="G26" s="185"/>
      <c r="H26" s="185"/>
      <c r="I26" s="185"/>
      <c r="J26" s="103" t="str">
        <f t="shared" si="1"/>
        <v>SISTEMAS DE POSICIONAMIENTO GEODESICO</v>
      </c>
      <c r="K26" s="102" t="s">
        <v>373</v>
      </c>
    </row>
    <row r="27" spans="1:11" ht="24.5" thickBot="1">
      <c r="A27" s="2">
        <v>8</v>
      </c>
      <c r="B27" s="2" t="s">
        <v>36</v>
      </c>
      <c r="C27" s="1" t="s">
        <v>377</v>
      </c>
      <c r="D27" s="185"/>
      <c r="E27" s="185"/>
      <c r="F27" s="185"/>
      <c r="G27" s="185"/>
      <c r="H27" s="185"/>
      <c r="I27" s="185"/>
      <c r="J27" s="103" t="str">
        <f t="shared" si="1"/>
        <v>METODOS AVANZADOS EN ANALISIS DE IMÁGENES</v>
      </c>
      <c r="K27" s="102" t="s">
        <v>373</v>
      </c>
    </row>
    <row r="28" spans="1:11" ht="12.65" customHeight="1">
      <c r="A28" s="186" t="s">
        <v>22</v>
      </c>
      <c r="B28" s="186"/>
      <c r="C28" s="186"/>
      <c r="D28" s="1">
        <v>2</v>
      </c>
      <c r="E28" s="2">
        <v>48</v>
      </c>
      <c r="F28" s="2">
        <v>16</v>
      </c>
      <c r="G28" s="2">
        <v>128</v>
      </c>
      <c r="H28" s="4">
        <v>192</v>
      </c>
      <c r="I28" s="3">
        <v>4</v>
      </c>
      <c r="J28" s="141"/>
      <c r="K28" s="142"/>
    </row>
    <row r="29" spans="1:11">
      <c r="A29" s="2">
        <v>5</v>
      </c>
      <c r="B29" s="2" t="s">
        <v>37</v>
      </c>
      <c r="C29" s="1" t="s">
        <v>377</v>
      </c>
      <c r="D29" s="185"/>
      <c r="E29" s="185"/>
      <c r="F29" s="185"/>
      <c r="G29" s="185"/>
      <c r="H29" s="185"/>
      <c r="I29" s="185"/>
      <c r="J29" s="103" t="str">
        <f t="shared" si="1"/>
        <v>BASES DE DATOS</v>
      </c>
      <c r="K29" s="102" t="s">
        <v>373</v>
      </c>
    </row>
    <row r="30" spans="1:11">
      <c r="A30" s="2">
        <v>6</v>
      </c>
      <c r="B30" s="2" t="s">
        <v>38</v>
      </c>
      <c r="C30" s="1" t="s">
        <v>377</v>
      </c>
      <c r="D30" s="185"/>
      <c r="E30" s="185"/>
      <c r="F30" s="185"/>
      <c r="G30" s="185"/>
      <c r="H30" s="185"/>
      <c r="I30" s="185"/>
      <c r="J30" s="103" t="str">
        <f t="shared" si="1"/>
        <v>INGENIERIA DE SOTFWARE II</v>
      </c>
      <c r="K30" s="102" t="s">
        <v>373</v>
      </c>
    </row>
    <row r="31" spans="1:11">
      <c r="A31" s="2">
        <v>7</v>
      </c>
      <c r="B31" s="2" t="s">
        <v>39</v>
      </c>
      <c r="C31" s="1" t="s">
        <v>377</v>
      </c>
      <c r="D31" s="185"/>
      <c r="E31" s="185"/>
      <c r="F31" s="185"/>
      <c r="G31" s="185"/>
      <c r="H31" s="185"/>
      <c r="I31" s="185"/>
      <c r="J31" s="103" t="str">
        <f t="shared" si="1"/>
        <v>PATRONES DE ARQUITECTURA DE SOFTWARE</v>
      </c>
      <c r="K31" s="102" t="s">
        <v>373</v>
      </c>
    </row>
    <row r="32" spans="1:11" ht="13" thickBot="1">
      <c r="A32" s="2">
        <v>8</v>
      </c>
      <c r="B32" s="2" t="s">
        <v>40</v>
      </c>
      <c r="C32" s="1" t="s">
        <v>377</v>
      </c>
      <c r="D32" s="185"/>
      <c r="E32" s="185"/>
      <c r="F32" s="185"/>
      <c r="G32" s="185"/>
      <c r="H32" s="185"/>
      <c r="I32" s="185"/>
      <c r="J32" s="103" t="str">
        <f t="shared" si="1"/>
        <v>CONSTRUCCION Y PRUEBAS DE SOFTWARE</v>
      </c>
      <c r="K32" s="108" t="s">
        <v>379</v>
      </c>
    </row>
    <row r="33" spans="1:12" ht="12.65" customHeight="1">
      <c r="A33" s="186" t="s">
        <v>24</v>
      </c>
      <c r="B33" s="186"/>
      <c r="C33" s="186"/>
      <c r="D33" s="1">
        <v>2</v>
      </c>
      <c r="E33" s="2">
        <v>48</v>
      </c>
      <c r="F33" s="2">
        <v>16</v>
      </c>
      <c r="G33" s="2">
        <v>128</v>
      </c>
      <c r="H33" s="4">
        <v>192</v>
      </c>
      <c r="I33" s="3">
        <v>4</v>
      </c>
      <c r="J33" s="141"/>
      <c r="K33" s="142"/>
    </row>
    <row r="34" spans="1:12">
      <c r="A34" s="2">
        <v>5</v>
      </c>
      <c r="B34" s="2" t="s">
        <v>41</v>
      </c>
      <c r="C34" s="1" t="s">
        <v>377</v>
      </c>
      <c r="D34" s="185"/>
      <c r="E34" s="185"/>
      <c r="F34" s="185"/>
      <c r="G34" s="185"/>
      <c r="H34" s="185"/>
      <c r="I34" s="185"/>
      <c r="J34" s="103" t="str">
        <f t="shared" ref="J34:J37" si="2">B34</f>
        <v>BIG DATA</v>
      </c>
      <c r="K34" s="106" t="s">
        <v>378</v>
      </c>
    </row>
    <row r="35" spans="1:12">
      <c r="A35" s="2">
        <v>6</v>
      </c>
      <c r="B35" s="2" t="s">
        <v>42</v>
      </c>
      <c r="C35" s="1" t="s">
        <v>377</v>
      </c>
      <c r="D35" s="185"/>
      <c r="E35" s="185"/>
      <c r="F35" s="185"/>
      <c r="G35" s="185"/>
      <c r="H35" s="185"/>
      <c r="I35" s="185"/>
      <c r="J35" s="103" t="str">
        <f t="shared" si="2"/>
        <v>ANALITICA DE DATOS</v>
      </c>
      <c r="K35" s="108" t="s">
        <v>379</v>
      </c>
    </row>
    <row r="36" spans="1:12">
      <c r="A36" s="2">
        <v>7</v>
      </c>
      <c r="B36" s="2" t="s">
        <v>43</v>
      </c>
      <c r="C36" s="1" t="s">
        <v>377</v>
      </c>
      <c r="D36" s="185"/>
      <c r="E36" s="185"/>
      <c r="F36" s="185"/>
      <c r="G36" s="185"/>
      <c r="H36" s="185"/>
      <c r="I36" s="185"/>
      <c r="J36" s="103" t="str">
        <f t="shared" si="2"/>
        <v>INTELIGENCIA DE NEGOCIOS</v>
      </c>
      <c r="K36" s="106" t="s">
        <v>378</v>
      </c>
    </row>
    <row r="37" spans="1:12">
      <c r="A37" s="2">
        <v>8</v>
      </c>
      <c r="B37" s="2" t="s">
        <v>44</v>
      </c>
      <c r="C37" s="2" t="s">
        <v>377</v>
      </c>
      <c r="D37" s="185"/>
      <c r="E37" s="185"/>
      <c r="F37" s="185"/>
      <c r="G37" s="185"/>
      <c r="H37" s="185"/>
      <c r="I37" s="185"/>
      <c r="J37" s="103" t="str">
        <f t="shared" si="2"/>
        <v>COMPUTACION PARALELA</v>
      </c>
      <c r="K37" s="108" t="s">
        <v>379</v>
      </c>
    </row>
    <row r="38" spans="1:12" ht="13" customHeight="1">
      <c r="A38" s="187" t="s">
        <v>26</v>
      </c>
      <c r="B38" s="187"/>
      <c r="C38" s="187"/>
      <c r="D38" s="187"/>
      <c r="E38" s="2">
        <f>SUM(E18:E18,E23,E28,E33)</f>
        <v>192</v>
      </c>
      <c r="F38" s="2">
        <f>SUM(F18:F18,F23,F28,F33)</f>
        <v>64</v>
      </c>
      <c r="G38" s="2">
        <f>SUM(G18:G18,G23,G28,G33)</f>
        <v>512</v>
      </c>
      <c r="H38" s="2">
        <f>SUM(H18:H18,H23,H28,H33)</f>
        <v>768</v>
      </c>
      <c r="I38" s="2">
        <f>SUM(I18:I18,I23,I28,I33)</f>
        <v>16</v>
      </c>
      <c r="J38" s="188"/>
      <c r="K38" s="188"/>
    </row>
    <row r="39" spans="1:12">
      <c r="A39" s="181" t="s">
        <v>443</v>
      </c>
      <c r="B39" s="181"/>
      <c r="C39" s="181"/>
      <c r="D39" s="181"/>
      <c r="E39" s="181"/>
      <c r="F39" s="181"/>
      <c r="G39" s="181"/>
      <c r="H39" s="181"/>
      <c r="I39" s="181"/>
      <c r="J39" s="181"/>
      <c r="K39" s="181"/>
    </row>
    <row r="40" spans="1:12" s="5" customFormat="1" ht="13" thickBot="1">
      <c r="A40" s="7">
        <v>9</v>
      </c>
      <c r="B40" s="2" t="s">
        <v>114</v>
      </c>
      <c r="C40" s="2" t="s">
        <v>15</v>
      </c>
      <c r="D40" s="2">
        <v>3</v>
      </c>
      <c r="E40" s="2">
        <v>0</v>
      </c>
      <c r="F40" s="2">
        <v>64</v>
      </c>
      <c r="G40" s="2">
        <v>128</v>
      </c>
      <c r="H40" s="2">
        <v>192</v>
      </c>
      <c r="I40" s="2">
        <v>4</v>
      </c>
      <c r="J40" s="103" t="s">
        <v>374</v>
      </c>
      <c r="K40" s="109" t="s">
        <v>375</v>
      </c>
      <c r="L40" s="6"/>
    </row>
    <row r="41" spans="1:12" ht="12.65" customHeight="1">
      <c r="A41" s="186" t="s">
        <v>18</v>
      </c>
      <c r="B41" s="186"/>
      <c r="C41" s="186"/>
      <c r="D41" s="1">
        <v>3</v>
      </c>
      <c r="E41" s="2">
        <v>48</v>
      </c>
      <c r="F41" s="2">
        <v>16</v>
      </c>
      <c r="G41" s="2">
        <v>128</v>
      </c>
      <c r="H41" s="4">
        <v>192</v>
      </c>
      <c r="I41" s="3">
        <v>4</v>
      </c>
      <c r="J41" s="141"/>
      <c r="K41" s="142"/>
    </row>
    <row r="42" spans="1:12" ht="24.5" thickBot="1">
      <c r="A42" s="2">
        <v>10</v>
      </c>
      <c r="B42" s="2" t="s">
        <v>46</v>
      </c>
      <c r="C42" s="1" t="s">
        <v>377</v>
      </c>
      <c r="D42" s="189"/>
      <c r="E42" s="189"/>
      <c r="F42" s="189"/>
      <c r="G42" s="189"/>
      <c r="H42" s="189"/>
      <c r="I42" s="189"/>
      <c r="J42" s="103" t="str">
        <f t="shared" ref="J42:J44" si="3">B42</f>
        <v>POLITICA SECTORIAL Y REGULACION EN TELECOMUNICACIONES</v>
      </c>
      <c r="K42" s="106" t="s">
        <v>380</v>
      </c>
    </row>
    <row r="43" spans="1:12" ht="12.65" customHeight="1">
      <c r="A43" s="186" t="s">
        <v>20</v>
      </c>
      <c r="B43" s="186"/>
      <c r="C43" s="186"/>
      <c r="D43" s="1">
        <v>3</v>
      </c>
      <c r="E43" s="2">
        <v>48</v>
      </c>
      <c r="F43" s="2">
        <v>16</v>
      </c>
      <c r="G43" s="2">
        <v>128</v>
      </c>
      <c r="H43" s="4">
        <v>192</v>
      </c>
      <c r="I43" s="3">
        <v>4</v>
      </c>
      <c r="J43" s="141"/>
      <c r="K43" s="142"/>
    </row>
    <row r="44" spans="1:12" ht="21">
      <c r="A44" s="2">
        <v>10</v>
      </c>
      <c r="B44" s="2" t="s">
        <v>47</v>
      </c>
      <c r="C44" s="1" t="s">
        <v>377</v>
      </c>
      <c r="D44" s="185"/>
      <c r="E44" s="185"/>
      <c r="F44" s="185"/>
      <c r="G44" s="185"/>
      <c r="H44" s="185"/>
      <c r="I44" s="185"/>
      <c r="J44" s="103" t="str">
        <f t="shared" si="3"/>
        <v>ESTADISTICA ESPACIAL</v>
      </c>
      <c r="K44" s="106" t="s">
        <v>381</v>
      </c>
    </row>
    <row r="45" spans="1:12" ht="36.5" thickBot="1">
      <c r="A45" s="12">
        <v>10</v>
      </c>
      <c r="B45" s="2" t="s">
        <v>48</v>
      </c>
      <c r="C45" s="1" t="s">
        <v>377</v>
      </c>
      <c r="D45" s="185"/>
      <c r="E45" s="185"/>
      <c r="F45" s="185"/>
      <c r="G45" s="185"/>
      <c r="H45" s="185"/>
      <c r="I45" s="185"/>
      <c r="J45" s="103" t="str">
        <f>B45</f>
        <v>PROCESAMIENTO DIGITAL DE IMÁGENES Y ELABORACION DE PRODUCTOS CARTOGRAFICOS</v>
      </c>
      <c r="K45" s="106" t="s">
        <v>381</v>
      </c>
    </row>
    <row r="46" spans="1:12" ht="12.65" customHeight="1">
      <c r="A46" s="186" t="s">
        <v>22</v>
      </c>
      <c r="B46" s="186"/>
      <c r="C46" s="186"/>
      <c r="D46" s="1">
        <v>3</v>
      </c>
      <c r="E46" s="2">
        <v>48</v>
      </c>
      <c r="F46" s="2">
        <v>16</v>
      </c>
      <c r="G46" s="2">
        <v>128</v>
      </c>
      <c r="H46" s="4">
        <v>192</v>
      </c>
      <c r="I46" s="3">
        <v>4</v>
      </c>
      <c r="J46" s="141"/>
      <c r="K46" s="142"/>
    </row>
    <row r="47" spans="1:12" ht="13" thickBot="1">
      <c r="A47" s="2">
        <v>10</v>
      </c>
      <c r="B47" s="2" t="s">
        <v>49</v>
      </c>
      <c r="C47" s="1" t="s">
        <v>377</v>
      </c>
      <c r="D47" s="189"/>
      <c r="E47" s="189"/>
      <c r="F47" s="189"/>
      <c r="G47" s="189"/>
      <c r="H47" s="189"/>
      <c r="I47" s="189"/>
      <c r="J47" s="103" t="str">
        <f t="shared" ref="J47" si="4">B47</f>
        <v>TENDENCIAS EN INGENIERIA DE SOFTWARE</v>
      </c>
      <c r="K47" s="102" t="s">
        <v>373</v>
      </c>
    </row>
    <row r="48" spans="1:12" ht="12.65" customHeight="1">
      <c r="A48" s="186" t="s">
        <v>24</v>
      </c>
      <c r="B48" s="186"/>
      <c r="C48" s="186"/>
      <c r="D48" s="1">
        <v>3</v>
      </c>
      <c r="E48" s="2">
        <v>48</v>
      </c>
      <c r="F48" s="2">
        <v>16</v>
      </c>
      <c r="G48" s="2">
        <v>128</v>
      </c>
      <c r="H48" s="4">
        <v>192</v>
      </c>
      <c r="I48" s="3">
        <v>4</v>
      </c>
      <c r="J48" s="141"/>
      <c r="K48" s="142"/>
    </row>
    <row r="49" spans="1:11">
      <c r="A49" s="2">
        <v>10</v>
      </c>
      <c r="B49" s="2" t="s">
        <v>50</v>
      </c>
      <c r="C49" s="1" t="s">
        <v>377</v>
      </c>
      <c r="D49" s="189"/>
      <c r="E49" s="189"/>
      <c r="F49" s="189"/>
      <c r="G49" s="189"/>
      <c r="H49" s="189"/>
      <c r="I49" s="189"/>
      <c r="J49" s="103" t="str">
        <f t="shared" ref="J49" si="5">B49</f>
        <v>ROBOTICA</v>
      </c>
      <c r="K49" s="108" t="s">
        <v>379</v>
      </c>
    </row>
    <row r="50" spans="1:11" ht="13" customHeight="1">
      <c r="A50" s="187" t="s">
        <v>26</v>
      </c>
      <c r="B50" s="187"/>
      <c r="C50" s="187"/>
      <c r="D50" s="187"/>
      <c r="E50" s="2">
        <f>SUM(E40:E41)</f>
        <v>48</v>
      </c>
      <c r="F50" s="2">
        <f>SUM(F40:F41)</f>
        <v>80</v>
      </c>
      <c r="G50" s="2">
        <f>SUM(G40:G41)</f>
        <v>256</v>
      </c>
      <c r="H50" s="2">
        <f>SUM(H40:H41)</f>
        <v>384</v>
      </c>
      <c r="I50" s="2">
        <f>SUM(I40,I41,I43)</f>
        <v>12</v>
      </c>
      <c r="J50" s="188"/>
      <c r="K50" s="188"/>
    </row>
    <row r="51" spans="1:11">
      <c r="A51" s="190" t="s">
        <v>51</v>
      </c>
      <c r="B51" s="190"/>
      <c r="C51" s="190"/>
      <c r="D51" s="20"/>
      <c r="E51" s="21">
        <f>SUM(E50+E38+E16)</f>
        <v>432</v>
      </c>
      <c r="F51" s="21">
        <f>SUM(F50+F38+F16)</f>
        <v>208</v>
      </c>
      <c r="G51" s="21">
        <f>SUM(G50+G38+G16)</f>
        <v>1280</v>
      </c>
      <c r="H51" s="21">
        <f>SUM(H50+H38+H16)</f>
        <v>1920</v>
      </c>
      <c r="I51" s="21">
        <f>SUM(I50+I38+I16)</f>
        <v>44</v>
      </c>
      <c r="J51" s="191"/>
      <c r="K51" s="191"/>
    </row>
  </sheetData>
  <mergeCells count="59">
    <mergeCell ref="A17:K17"/>
    <mergeCell ref="A8:C8"/>
    <mergeCell ref="D9:I9"/>
    <mergeCell ref="A10:C10"/>
    <mergeCell ref="D11:I11"/>
    <mergeCell ref="A12:C12"/>
    <mergeCell ref="D13:I13"/>
    <mergeCell ref="A14:C14"/>
    <mergeCell ref="J16:K16"/>
    <mergeCell ref="A16:D16"/>
    <mergeCell ref="D15:I15"/>
    <mergeCell ref="J14:K14"/>
    <mergeCell ref="D47:I47"/>
    <mergeCell ref="D49:I49"/>
    <mergeCell ref="A50:D50"/>
    <mergeCell ref="J50:K50"/>
    <mergeCell ref="A51:C51"/>
    <mergeCell ref="J51:K51"/>
    <mergeCell ref="A48:C48"/>
    <mergeCell ref="D44:I45"/>
    <mergeCell ref="A46:C46"/>
    <mergeCell ref="A39:K39"/>
    <mergeCell ref="A18:C18"/>
    <mergeCell ref="D19:I22"/>
    <mergeCell ref="A23:C23"/>
    <mergeCell ref="D24:I27"/>
    <mergeCell ref="A38:D38"/>
    <mergeCell ref="J38:K38"/>
    <mergeCell ref="A41:C41"/>
    <mergeCell ref="D42:I42"/>
    <mergeCell ref="A43:C43"/>
    <mergeCell ref="A28:C28"/>
    <mergeCell ref="D29:I32"/>
    <mergeCell ref="A33:C33"/>
    <mergeCell ref="D34:I37"/>
    <mergeCell ref="L11:L13"/>
    <mergeCell ref="L6:L7"/>
    <mergeCell ref="L8:L9"/>
    <mergeCell ref="K1:K2"/>
    <mergeCell ref="A3:J3"/>
    <mergeCell ref="A1:A2"/>
    <mergeCell ref="B1:B2"/>
    <mergeCell ref="D1:D2"/>
    <mergeCell ref="E1:H1"/>
    <mergeCell ref="I1:I2"/>
    <mergeCell ref="J1:J2"/>
    <mergeCell ref="A5:K5"/>
    <mergeCell ref="K6:K7"/>
    <mergeCell ref="J8:K8"/>
    <mergeCell ref="J10:K10"/>
    <mergeCell ref="J12:K12"/>
    <mergeCell ref="J43:K43"/>
    <mergeCell ref="J46:K46"/>
    <mergeCell ref="J48:K48"/>
    <mergeCell ref="J18:K18"/>
    <mergeCell ref="J23:K23"/>
    <mergeCell ref="J28:K28"/>
    <mergeCell ref="J33:K33"/>
    <mergeCell ref="J41:K41"/>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89BC-75D5-4620-8ED5-5A975B24424E}">
  <dimension ref="B2:D37"/>
  <sheetViews>
    <sheetView topLeftCell="A25" workbookViewId="0">
      <selection activeCell="D35" sqref="D35"/>
    </sheetView>
  </sheetViews>
  <sheetFormatPr baseColWidth="10" defaultColWidth="9.1796875" defaultRowHeight="12.5"/>
  <cols>
    <col min="1" max="1" width="9.1796875" style="66"/>
    <col min="2" max="2" width="51.81640625" style="66" customWidth="1"/>
    <col min="3" max="3" width="19.7265625" style="66" customWidth="1"/>
    <col min="4" max="4" width="29.90625" style="66" customWidth="1"/>
    <col min="5" max="16384" width="9.1796875" style="66"/>
  </cols>
  <sheetData>
    <row r="2" spans="2:4" ht="18">
      <c r="B2" s="193" t="s">
        <v>52</v>
      </c>
      <c r="C2" s="194"/>
      <c r="D2" s="195"/>
    </row>
    <row r="3" spans="2:4" ht="13">
      <c r="B3" s="67" t="s">
        <v>53</v>
      </c>
      <c r="C3" s="68" t="s">
        <v>54</v>
      </c>
      <c r="D3" s="69" t="s">
        <v>7</v>
      </c>
    </row>
    <row r="4" spans="2:4" ht="28">
      <c r="B4" s="70" t="s">
        <v>55</v>
      </c>
      <c r="C4" s="71" t="s">
        <v>56</v>
      </c>
      <c r="D4" s="72" t="s">
        <v>57</v>
      </c>
    </row>
    <row r="5" spans="2:4" ht="28">
      <c r="B5" s="73" t="s">
        <v>58</v>
      </c>
      <c r="C5" s="74" t="s">
        <v>59</v>
      </c>
      <c r="D5" s="75" t="s">
        <v>57</v>
      </c>
    </row>
    <row r="6" spans="2:4" ht="14">
      <c r="B6" s="76" t="s">
        <v>60</v>
      </c>
      <c r="C6" s="68" t="s">
        <v>54</v>
      </c>
      <c r="D6" s="69" t="s">
        <v>7</v>
      </c>
    </row>
    <row r="7" spans="2:4" ht="28">
      <c r="B7" s="77" t="s">
        <v>61</v>
      </c>
      <c r="C7" s="71" t="s">
        <v>62</v>
      </c>
      <c r="D7" s="72" t="s">
        <v>57</v>
      </c>
    </row>
    <row r="8" spans="2:4" ht="14">
      <c r="B8" s="70" t="s">
        <v>63</v>
      </c>
      <c r="C8" s="71" t="s">
        <v>57</v>
      </c>
      <c r="D8" s="78" t="s">
        <v>64</v>
      </c>
    </row>
    <row r="9" spans="2:4" ht="14">
      <c r="B9" s="79" t="s">
        <v>65</v>
      </c>
      <c r="C9" s="80" t="s">
        <v>57</v>
      </c>
      <c r="D9" s="81" t="s">
        <v>66</v>
      </c>
    </row>
    <row r="10" spans="2:4" ht="14">
      <c r="B10" s="82" t="s">
        <v>67</v>
      </c>
      <c r="C10" s="83" t="s">
        <v>54</v>
      </c>
      <c r="D10" s="84" t="s">
        <v>7</v>
      </c>
    </row>
    <row r="11" spans="2:4" ht="14">
      <c r="B11" s="70" t="s">
        <v>68</v>
      </c>
      <c r="C11" s="71" t="s">
        <v>69</v>
      </c>
      <c r="D11" s="72" t="s">
        <v>57</v>
      </c>
    </row>
    <row r="12" spans="2:4" ht="14">
      <c r="B12" s="70" t="s">
        <v>70</v>
      </c>
      <c r="C12" s="71" t="s">
        <v>71</v>
      </c>
      <c r="D12" s="72" t="s">
        <v>57</v>
      </c>
    </row>
    <row r="13" spans="2:4" ht="14">
      <c r="B13" s="70" t="s">
        <v>72</v>
      </c>
      <c r="C13" s="71" t="s">
        <v>73</v>
      </c>
      <c r="D13" s="72" t="s">
        <v>57</v>
      </c>
    </row>
    <row r="14" spans="2:4" ht="28">
      <c r="B14" s="70" t="s">
        <v>74</v>
      </c>
      <c r="C14" s="71" t="s">
        <v>73</v>
      </c>
      <c r="D14" s="78" t="s">
        <v>75</v>
      </c>
    </row>
    <row r="15" spans="2:4" ht="28">
      <c r="B15" s="70" t="s">
        <v>76</v>
      </c>
      <c r="C15" s="71" t="s">
        <v>77</v>
      </c>
      <c r="D15" s="85" t="s">
        <v>57</v>
      </c>
    </row>
    <row r="16" spans="2:4" ht="14">
      <c r="B16" s="73" t="s">
        <v>78</v>
      </c>
      <c r="C16" s="74" t="s">
        <v>79</v>
      </c>
      <c r="D16" s="86" t="s">
        <v>57</v>
      </c>
    </row>
    <row r="17" spans="2:4" ht="14">
      <c r="B17" s="79" t="s">
        <v>80</v>
      </c>
      <c r="C17" s="80" t="s">
        <v>81</v>
      </c>
      <c r="D17" s="87" t="s">
        <v>57</v>
      </c>
    </row>
    <row r="18" spans="2:4" ht="14">
      <c r="B18" s="82" t="s">
        <v>82</v>
      </c>
      <c r="C18" s="83" t="s">
        <v>54</v>
      </c>
      <c r="D18" s="84" t="s">
        <v>7</v>
      </c>
    </row>
    <row r="19" spans="2:4" ht="14">
      <c r="B19" s="70" t="s">
        <v>83</v>
      </c>
      <c r="C19" s="71" t="s">
        <v>69</v>
      </c>
      <c r="D19" s="72" t="s">
        <v>57</v>
      </c>
    </row>
    <row r="20" spans="2:4" ht="42">
      <c r="B20" s="70" t="s">
        <v>84</v>
      </c>
      <c r="C20" s="71" t="s">
        <v>62</v>
      </c>
      <c r="D20" s="78" t="s">
        <v>85</v>
      </c>
    </row>
    <row r="21" spans="2:4" ht="14">
      <c r="B21" s="70" t="s">
        <v>86</v>
      </c>
      <c r="C21" s="71" t="s">
        <v>87</v>
      </c>
      <c r="D21" s="72" t="s">
        <v>57</v>
      </c>
    </row>
    <row r="22" spans="2:4" ht="14">
      <c r="B22" s="70" t="s">
        <v>88</v>
      </c>
      <c r="C22" s="71" t="s">
        <v>89</v>
      </c>
      <c r="D22" s="72" t="s">
        <v>57</v>
      </c>
    </row>
    <row r="23" spans="2:4" ht="14">
      <c r="B23" s="70" t="s">
        <v>90</v>
      </c>
      <c r="C23" s="71" t="s">
        <v>89</v>
      </c>
      <c r="D23" s="72" t="s">
        <v>57</v>
      </c>
    </row>
    <row r="24" spans="2:4" ht="14">
      <c r="B24" s="79" t="s">
        <v>91</v>
      </c>
      <c r="C24" s="71" t="s">
        <v>87</v>
      </c>
      <c r="D24" s="88" t="s">
        <v>57</v>
      </c>
    </row>
    <row r="25" spans="2:4" ht="14">
      <c r="B25" s="82" t="s">
        <v>92</v>
      </c>
      <c r="C25" s="83" t="s">
        <v>54</v>
      </c>
      <c r="D25" s="84" t="s">
        <v>7</v>
      </c>
    </row>
    <row r="26" spans="2:4" ht="28">
      <c r="B26" s="70" t="s">
        <v>93</v>
      </c>
      <c r="C26" s="71" t="s">
        <v>62</v>
      </c>
      <c r="D26" s="85" t="s">
        <v>57</v>
      </c>
    </row>
    <row r="27" spans="2:4" ht="14">
      <c r="B27" s="70" t="s">
        <v>94</v>
      </c>
      <c r="C27" s="71" t="s">
        <v>95</v>
      </c>
      <c r="D27" s="85" t="s">
        <v>57</v>
      </c>
    </row>
    <row r="28" spans="2:4" ht="14">
      <c r="B28" s="70" t="s">
        <v>96</v>
      </c>
      <c r="C28" s="71" t="s">
        <v>95</v>
      </c>
      <c r="D28" s="85" t="s">
        <v>57</v>
      </c>
    </row>
    <row r="29" spans="2:4" ht="14">
      <c r="B29" s="70" t="s">
        <v>97</v>
      </c>
      <c r="C29" s="71" t="s">
        <v>98</v>
      </c>
      <c r="D29" s="85" t="s">
        <v>57</v>
      </c>
    </row>
    <row r="30" spans="2:4" ht="14">
      <c r="B30" s="70" t="s">
        <v>99</v>
      </c>
      <c r="C30" s="71" t="s">
        <v>57</v>
      </c>
      <c r="D30" s="89" t="s">
        <v>66</v>
      </c>
    </row>
    <row r="31" spans="2:4" ht="14">
      <c r="B31" s="79" t="s">
        <v>100</v>
      </c>
      <c r="C31" s="80" t="s">
        <v>101</v>
      </c>
      <c r="D31" s="90" t="s">
        <v>66</v>
      </c>
    </row>
    <row r="32" spans="2:4" ht="14">
      <c r="B32" s="82" t="s">
        <v>102</v>
      </c>
      <c r="C32" s="83" t="s">
        <v>54</v>
      </c>
      <c r="D32" s="84" t="s">
        <v>7</v>
      </c>
    </row>
    <row r="33" spans="2:4" ht="28">
      <c r="B33" s="70" t="s">
        <v>103</v>
      </c>
      <c r="C33" s="71" t="s">
        <v>62</v>
      </c>
      <c r="D33" s="85" t="s">
        <v>57</v>
      </c>
    </row>
    <row r="34" spans="2:4" ht="14">
      <c r="B34" s="70" t="s">
        <v>104</v>
      </c>
      <c r="C34" s="71" t="s">
        <v>105</v>
      </c>
      <c r="D34" s="85" t="s">
        <v>57</v>
      </c>
    </row>
    <row r="35" spans="2:4" ht="42">
      <c r="B35" s="70" t="s">
        <v>106</v>
      </c>
      <c r="C35" s="71" t="s">
        <v>107</v>
      </c>
      <c r="D35" s="78" t="s">
        <v>108</v>
      </c>
    </row>
    <row r="36" spans="2:4" ht="28">
      <c r="B36" s="70" t="s">
        <v>109</v>
      </c>
      <c r="C36" s="71" t="s">
        <v>110</v>
      </c>
      <c r="D36" s="89" t="s">
        <v>111</v>
      </c>
    </row>
    <row r="37" spans="2:4" ht="14">
      <c r="B37" s="79" t="s">
        <v>112</v>
      </c>
      <c r="C37" s="91" t="s">
        <v>57</v>
      </c>
      <c r="D37" s="90" t="s">
        <v>66</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4AD0-7CDA-409B-A656-7B5CD23C793F}">
  <dimension ref="B1:F35"/>
  <sheetViews>
    <sheetView topLeftCell="A4" zoomScale="130" zoomScaleNormal="130" workbookViewId="0">
      <selection activeCell="D1" sqref="D1:D2"/>
    </sheetView>
  </sheetViews>
  <sheetFormatPr baseColWidth="10" defaultColWidth="25.1796875" defaultRowHeight="12.5"/>
  <cols>
    <col min="2" max="2" width="23.6328125" customWidth="1"/>
    <col min="3" max="3" width="8.453125" bestFit="1" customWidth="1"/>
    <col min="4" max="4" width="17.6328125" bestFit="1" customWidth="1"/>
    <col min="5" max="5" width="20.7265625" bestFit="1" customWidth="1"/>
    <col min="6" max="6" width="8.453125" bestFit="1" customWidth="1"/>
  </cols>
  <sheetData>
    <row r="1" spans="2:6" ht="12.75" customHeight="1">
      <c r="B1" s="203" t="s">
        <v>115</v>
      </c>
      <c r="C1" s="203"/>
      <c r="D1" s="203"/>
      <c r="E1" s="203"/>
      <c r="F1" s="203"/>
    </row>
    <row r="2" spans="2:6" ht="26.5" customHeight="1">
      <c r="B2" s="203"/>
      <c r="C2" s="203"/>
      <c r="D2" s="203"/>
      <c r="E2" s="203"/>
      <c r="F2" s="203"/>
    </row>
    <row r="3" spans="2:6" ht="40.5" customHeight="1">
      <c r="B3" s="203"/>
      <c r="C3" s="203"/>
      <c r="D3" s="203"/>
      <c r="E3" s="203"/>
      <c r="F3" s="203"/>
    </row>
    <row r="4" spans="2:6">
      <c r="B4" s="201" t="s">
        <v>116</v>
      </c>
      <c r="C4" s="202"/>
      <c r="D4" s="202"/>
      <c r="E4" s="202"/>
      <c r="F4" s="202"/>
    </row>
    <row r="5" spans="2:6" ht="14.5">
      <c r="B5" s="14" t="s">
        <v>117</v>
      </c>
      <c r="C5" s="14" t="s">
        <v>382</v>
      </c>
      <c r="D5" s="14" t="s">
        <v>438</v>
      </c>
      <c r="E5" s="14" t="s">
        <v>118</v>
      </c>
      <c r="F5" s="14" t="s">
        <v>382</v>
      </c>
    </row>
    <row r="6" spans="2:6">
      <c r="B6" s="196" t="s">
        <v>119</v>
      </c>
      <c r="C6" s="196"/>
      <c r="D6" s="196"/>
      <c r="E6" s="196"/>
      <c r="F6" s="196"/>
    </row>
    <row r="7" spans="2:6">
      <c r="B7" s="13" t="s">
        <v>120</v>
      </c>
      <c r="C7" s="13">
        <v>4</v>
      </c>
      <c r="D7" s="13" t="s">
        <v>121</v>
      </c>
      <c r="E7" s="13" t="s">
        <v>120</v>
      </c>
      <c r="F7" s="13">
        <v>4</v>
      </c>
    </row>
    <row r="8" spans="2:6">
      <c r="B8" s="13" t="s">
        <v>122</v>
      </c>
      <c r="C8" s="13">
        <v>4</v>
      </c>
      <c r="D8" s="13" t="s">
        <v>121</v>
      </c>
      <c r="E8" s="13" t="s">
        <v>122</v>
      </c>
      <c r="F8" s="13">
        <v>4</v>
      </c>
    </row>
    <row r="9" spans="2:6">
      <c r="B9" s="13" t="s">
        <v>123</v>
      </c>
      <c r="C9" s="13">
        <v>4</v>
      </c>
      <c r="D9" s="13" t="s">
        <v>121</v>
      </c>
      <c r="E9" s="13" t="s">
        <v>123</v>
      </c>
      <c r="F9" s="13">
        <v>4</v>
      </c>
    </row>
    <row r="10" spans="2:6">
      <c r="B10" s="13" t="s">
        <v>439</v>
      </c>
      <c r="C10" s="13">
        <v>4</v>
      </c>
      <c r="D10" s="13" t="s">
        <v>124</v>
      </c>
      <c r="E10" s="13" t="s">
        <v>125</v>
      </c>
      <c r="F10" s="13">
        <v>4</v>
      </c>
    </row>
    <row r="11" spans="2:6">
      <c r="B11" s="196" t="s">
        <v>126</v>
      </c>
      <c r="C11" s="196"/>
      <c r="D11" s="196"/>
      <c r="E11" s="196"/>
      <c r="F11" s="196"/>
    </row>
    <row r="12" spans="2:6">
      <c r="B12" s="13" t="s">
        <v>439</v>
      </c>
      <c r="C12" s="13">
        <v>4</v>
      </c>
      <c r="D12" s="13" t="s">
        <v>124</v>
      </c>
      <c r="E12" s="13" t="s">
        <v>125</v>
      </c>
      <c r="F12" s="13">
        <v>4</v>
      </c>
    </row>
    <row r="13" spans="2:6">
      <c r="B13" s="13" t="s">
        <v>439</v>
      </c>
      <c r="C13" s="13">
        <v>4</v>
      </c>
      <c r="D13" s="13" t="s">
        <v>124</v>
      </c>
      <c r="E13" s="13" t="s">
        <v>440</v>
      </c>
      <c r="F13" s="13" t="s">
        <v>383</v>
      </c>
    </row>
    <row r="14" spans="2:6">
      <c r="B14" s="13" t="s">
        <v>139</v>
      </c>
      <c r="C14" s="13">
        <v>4</v>
      </c>
      <c r="D14" s="13" t="s">
        <v>121</v>
      </c>
      <c r="E14" s="13" t="s">
        <v>63</v>
      </c>
      <c r="F14" s="13">
        <v>4</v>
      </c>
    </row>
    <row r="15" spans="2:6">
      <c r="B15" s="13" t="s">
        <v>125</v>
      </c>
      <c r="C15" s="13">
        <v>4</v>
      </c>
      <c r="D15" s="13" t="s">
        <v>127</v>
      </c>
      <c r="E15" s="13" t="s">
        <v>440</v>
      </c>
      <c r="F15" s="13" t="s">
        <v>383</v>
      </c>
    </row>
    <row r="16" spans="2:6">
      <c r="B16" s="196" t="s">
        <v>128</v>
      </c>
      <c r="C16" s="196"/>
      <c r="D16" s="196"/>
      <c r="E16" s="196"/>
      <c r="F16" s="196"/>
    </row>
    <row r="17" spans="2:6">
      <c r="B17" s="13" t="s">
        <v>127</v>
      </c>
      <c r="C17" s="13">
        <v>4</v>
      </c>
      <c r="D17" s="13" t="s">
        <v>127</v>
      </c>
      <c r="E17" s="13" t="s">
        <v>440</v>
      </c>
      <c r="F17" s="13" t="s">
        <v>383</v>
      </c>
    </row>
    <row r="18" spans="2:6">
      <c r="B18" s="13" t="s">
        <v>141</v>
      </c>
      <c r="C18" s="13">
        <v>8</v>
      </c>
      <c r="D18" s="13" t="s">
        <v>121</v>
      </c>
      <c r="E18" s="13" t="s">
        <v>65</v>
      </c>
      <c r="F18" s="13">
        <v>8</v>
      </c>
    </row>
    <row r="19" spans="2:6">
      <c r="B19" s="5"/>
      <c r="C19" s="5"/>
      <c r="D19" s="5"/>
      <c r="E19" s="13"/>
      <c r="F19" s="13"/>
    </row>
    <row r="20" spans="2:6">
      <c r="B20" s="198" t="s">
        <v>129</v>
      </c>
      <c r="C20" s="199"/>
      <c r="D20" s="199"/>
      <c r="E20" s="199"/>
      <c r="F20" s="200"/>
    </row>
    <row r="21" spans="2:6" ht="29">
      <c r="B21" s="14" t="s">
        <v>117</v>
      </c>
      <c r="C21" s="14" t="s">
        <v>382</v>
      </c>
      <c r="D21" s="14" t="s">
        <v>438</v>
      </c>
      <c r="E21" s="14" t="s">
        <v>118</v>
      </c>
      <c r="F21" s="14" t="s">
        <v>382</v>
      </c>
    </row>
    <row r="22" spans="2:6">
      <c r="B22" s="196" t="s">
        <v>119</v>
      </c>
      <c r="C22" s="196"/>
      <c r="D22" s="196"/>
      <c r="E22" s="196"/>
      <c r="F22" s="196"/>
    </row>
    <row r="23" spans="2:6">
      <c r="B23" s="13" t="s">
        <v>120</v>
      </c>
      <c r="C23" s="13">
        <v>4</v>
      </c>
      <c r="D23" s="13" t="s">
        <v>121</v>
      </c>
      <c r="E23" s="13" t="s">
        <v>120</v>
      </c>
      <c r="F23" s="13">
        <v>4</v>
      </c>
    </row>
    <row r="24" spans="2:6">
      <c r="B24" s="13" t="s">
        <v>122</v>
      </c>
      <c r="C24" s="13">
        <v>4</v>
      </c>
      <c r="D24" s="13" t="s">
        <v>121</v>
      </c>
      <c r="E24" s="13" t="s">
        <v>122</v>
      </c>
      <c r="F24" s="13">
        <v>4</v>
      </c>
    </row>
    <row r="25" spans="2:6">
      <c r="B25" s="13" t="s">
        <v>123</v>
      </c>
      <c r="C25" s="13">
        <v>4</v>
      </c>
      <c r="D25" s="13" t="s">
        <v>121</v>
      </c>
      <c r="E25" s="13" t="s">
        <v>123</v>
      </c>
      <c r="F25" s="13">
        <v>4</v>
      </c>
    </row>
    <row r="26" spans="2:6">
      <c r="B26" s="13" t="s">
        <v>439</v>
      </c>
      <c r="C26" s="13">
        <v>4</v>
      </c>
      <c r="D26" s="13" t="s">
        <v>124</v>
      </c>
      <c r="E26" s="13" t="s">
        <v>125</v>
      </c>
      <c r="F26" s="13">
        <v>4</v>
      </c>
    </row>
    <row r="27" spans="2:6">
      <c r="B27" s="196" t="s">
        <v>126</v>
      </c>
      <c r="C27" s="196"/>
      <c r="D27" s="196"/>
      <c r="E27" s="196"/>
      <c r="F27" s="196"/>
    </row>
    <row r="28" spans="2:6">
      <c r="B28" s="13" t="s">
        <v>439</v>
      </c>
      <c r="C28" s="13">
        <v>4</v>
      </c>
      <c r="D28" s="13" t="s">
        <v>124</v>
      </c>
      <c r="E28" s="13" t="s">
        <v>125</v>
      </c>
      <c r="F28" s="13">
        <v>4</v>
      </c>
    </row>
    <row r="29" spans="2:6">
      <c r="B29" s="13" t="s">
        <v>439</v>
      </c>
      <c r="C29" s="13">
        <v>4</v>
      </c>
      <c r="D29" s="13" t="s">
        <v>124</v>
      </c>
      <c r="E29" s="13" t="s">
        <v>440</v>
      </c>
      <c r="F29" s="13" t="s">
        <v>383</v>
      </c>
    </row>
    <row r="30" spans="2:6">
      <c r="B30" s="13" t="s">
        <v>439</v>
      </c>
      <c r="C30" s="13">
        <v>4</v>
      </c>
      <c r="D30" s="13" t="s">
        <v>124</v>
      </c>
      <c r="E30" s="13" t="s">
        <v>440</v>
      </c>
      <c r="F30" s="13" t="s">
        <v>383</v>
      </c>
    </row>
    <row r="31" spans="2:6">
      <c r="B31" s="13" t="s">
        <v>125</v>
      </c>
      <c r="C31" s="13">
        <v>4</v>
      </c>
      <c r="D31" s="13" t="s">
        <v>127</v>
      </c>
      <c r="E31" s="13" t="s">
        <v>440</v>
      </c>
      <c r="F31" s="13" t="s">
        <v>383</v>
      </c>
    </row>
    <row r="32" spans="2:6">
      <c r="B32" s="197" t="s">
        <v>128</v>
      </c>
      <c r="C32" s="197"/>
      <c r="D32" s="197"/>
      <c r="E32" s="197"/>
      <c r="F32" s="197"/>
    </row>
    <row r="33" spans="2:6">
      <c r="B33" s="13" t="s">
        <v>439</v>
      </c>
      <c r="C33" s="13">
        <v>4</v>
      </c>
      <c r="D33" s="13" t="s">
        <v>124</v>
      </c>
      <c r="E33" s="13" t="s">
        <v>440</v>
      </c>
      <c r="F33" s="13" t="s">
        <v>383</v>
      </c>
    </row>
    <row r="34" spans="2:6">
      <c r="B34" s="13" t="s">
        <v>125</v>
      </c>
      <c r="C34" s="13">
        <v>4</v>
      </c>
      <c r="D34" s="13" t="s">
        <v>127</v>
      </c>
      <c r="E34" s="13" t="s">
        <v>440</v>
      </c>
      <c r="F34" s="13" t="s">
        <v>383</v>
      </c>
    </row>
    <row r="35" spans="2:6">
      <c r="B35" s="13" t="s">
        <v>139</v>
      </c>
      <c r="C35" s="13">
        <v>4</v>
      </c>
      <c r="D35" s="13" t="s">
        <v>121</v>
      </c>
      <c r="E35" s="13" t="s">
        <v>441</v>
      </c>
      <c r="F35" s="13">
        <v>4</v>
      </c>
    </row>
  </sheetData>
  <mergeCells count="9">
    <mergeCell ref="B27:F27"/>
    <mergeCell ref="B32:F32"/>
    <mergeCell ref="B20:F20"/>
    <mergeCell ref="B4:F4"/>
    <mergeCell ref="B1:F3"/>
    <mergeCell ref="B22:F22"/>
    <mergeCell ref="B6:F6"/>
    <mergeCell ref="B11:F11"/>
    <mergeCell ref="B16:F16"/>
  </mergeCells>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8EE15-7B09-4F51-AC68-31F3416FC3E5}">
  <dimension ref="A1:F37"/>
  <sheetViews>
    <sheetView topLeftCell="A27" zoomScale="86" workbookViewId="0">
      <selection activeCell="D1" sqref="D1:D2"/>
    </sheetView>
  </sheetViews>
  <sheetFormatPr baseColWidth="10" defaultColWidth="68.26953125" defaultRowHeight="13"/>
  <cols>
    <col min="1" max="1" width="35.90625" style="16" customWidth="1"/>
    <col min="2" max="2" width="29.08984375" style="16" customWidth="1"/>
    <col min="3" max="3" width="7.453125" style="92" customWidth="1"/>
    <col min="4" max="4" width="31.81640625" style="16" customWidth="1"/>
    <col min="5" max="5" width="32.1796875" style="16" customWidth="1"/>
    <col min="7" max="16384" width="68.26953125" style="16"/>
  </cols>
  <sheetData>
    <row r="1" spans="1:5" ht="14.15" customHeight="1">
      <c r="A1" s="208" t="s">
        <v>130</v>
      </c>
      <c r="B1" s="208"/>
      <c r="C1" s="94"/>
      <c r="D1" s="208" t="s">
        <v>131</v>
      </c>
      <c r="E1" s="208"/>
    </row>
    <row r="2" spans="1:5" ht="29">
      <c r="A2" s="95" t="s">
        <v>132</v>
      </c>
      <c r="B2" s="95" t="s">
        <v>1</v>
      </c>
      <c r="C2" s="95"/>
      <c r="D2" s="95" t="s">
        <v>133</v>
      </c>
      <c r="E2" s="95" t="s">
        <v>1</v>
      </c>
    </row>
    <row r="3" spans="1:5" ht="39">
      <c r="A3" s="207" t="s">
        <v>134</v>
      </c>
      <c r="B3" s="96" t="s">
        <v>14</v>
      </c>
      <c r="C3" s="204"/>
      <c r="D3" s="207" t="s">
        <v>135</v>
      </c>
      <c r="E3" s="96" t="s">
        <v>371</v>
      </c>
    </row>
    <row r="4" spans="1:5" ht="26">
      <c r="A4" s="207"/>
      <c r="B4" s="96" t="s">
        <v>16</v>
      </c>
      <c r="C4" s="205"/>
      <c r="D4" s="207"/>
      <c r="E4" s="96" t="s">
        <v>372</v>
      </c>
    </row>
    <row r="5" spans="1:5">
      <c r="A5" s="207"/>
      <c r="B5" s="96" t="s">
        <v>17</v>
      </c>
      <c r="C5" s="205"/>
      <c r="D5" s="207"/>
      <c r="E5" s="96" t="s">
        <v>138</v>
      </c>
    </row>
    <row r="6" spans="1:5" ht="52" customHeight="1">
      <c r="A6" s="207"/>
      <c r="B6" s="96" t="s">
        <v>139</v>
      </c>
      <c r="C6" s="205"/>
      <c r="D6" s="207" t="s">
        <v>140</v>
      </c>
      <c r="E6" s="96" t="s">
        <v>442</v>
      </c>
    </row>
    <row r="7" spans="1:5" hidden="1">
      <c r="A7" s="207"/>
      <c r="B7" s="96" t="s">
        <v>141</v>
      </c>
      <c r="C7" s="206"/>
      <c r="D7" s="207"/>
      <c r="E7" s="96" t="s">
        <v>45</v>
      </c>
    </row>
    <row r="8" spans="1:5" ht="15.5">
      <c r="A8" s="209" t="s">
        <v>18</v>
      </c>
      <c r="B8" s="210"/>
      <c r="C8" s="210"/>
      <c r="D8" s="210"/>
      <c r="E8" s="211"/>
    </row>
    <row r="9" spans="1:5" ht="35.5" customHeight="1">
      <c r="A9" s="207" t="s">
        <v>142</v>
      </c>
      <c r="B9" s="96" t="s">
        <v>143</v>
      </c>
      <c r="C9" s="204"/>
      <c r="D9" s="96" t="s">
        <v>144</v>
      </c>
      <c r="E9" s="96" t="s">
        <v>145</v>
      </c>
    </row>
    <row r="10" spans="1:5">
      <c r="A10" s="207"/>
      <c r="B10" s="96" t="s">
        <v>146</v>
      </c>
      <c r="C10" s="205"/>
      <c r="D10" s="207" t="s">
        <v>135</v>
      </c>
      <c r="E10" s="96" t="s">
        <v>19</v>
      </c>
    </row>
    <row r="11" spans="1:5">
      <c r="A11" s="207"/>
      <c r="B11" s="96" t="s">
        <v>97</v>
      </c>
      <c r="C11" s="205"/>
      <c r="D11" s="207"/>
      <c r="E11" s="96" t="s">
        <v>29</v>
      </c>
    </row>
    <row r="12" spans="1:5">
      <c r="A12" s="207"/>
      <c r="B12" s="96" t="s">
        <v>147</v>
      </c>
      <c r="C12" s="205"/>
      <c r="D12" s="207"/>
      <c r="E12" s="96" t="s">
        <v>30</v>
      </c>
    </row>
    <row r="13" spans="1:5" ht="26">
      <c r="A13" s="207"/>
      <c r="B13" s="96" t="s">
        <v>148</v>
      </c>
      <c r="C13" s="205"/>
      <c r="D13" s="207"/>
      <c r="E13" s="96" t="s">
        <v>31</v>
      </c>
    </row>
    <row r="14" spans="1:5" ht="66.650000000000006" customHeight="1">
      <c r="A14" s="207" t="s">
        <v>149</v>
      </c>
      <c r="B14" s="207" t="s">
        <v>150</v>
      </c>
      <c r="C14" s="205"/>
      <c r="D14" s="96" t="s">
        <v>151</v>
      </c>
      <c r="E14" s="96" t="s">
        <v>32</v>
      </c>
    </row>
    <row r="15" spans="1:5" ht="53.5" customHeight="1">
      <c r="A15" s="207"/>
      <c r="B15" s="207"/>
      <c r="C15" s="206"/>
      <c r="D15" s="96" t="s">
        <v>152</v>
      </c>
      <c r="E15" s="96" t="s">
        <v>46</v>
      </c>
    </row>
    <row r="16" spans="1:5" ht="15.5">
      <c r="A16" s="209" t="s">
        <v>20</v>
      </c>
      <c r="B16" s="210"/>
      <c r="C16" s="210"/>
      <c r="D16" s="210"/>
      <c r="E16" s="211"/>
    </row>
    <row r="17" spans="1:5">
      <c r="A17" s="207" t="s">
        <v>153</v>
      </c>
      <c r="B17" s="96" t="s">
        <v>83</v>
      </c>
      <c r="C17" s="204"/>
      <c r="D17" s="207" t="s">
        <v>135</v>
      </c>
      <c r="E17" s="96" t="s">
        <v>21</v>
      </c>
    </row>
    <row r="18" spans="1:5">
      <c r="A18" s="207"/>
      <c r="B18" s="96" t="s">
        <v>154</v>
      </c>
      <c r="C18" s="205"/>
      <c r="D18" s="207"/>
      <c r="E18" s="96" t="s">
        <v>33</v>
      </c>
    </row>
    <row r="19" spans="1:5">
      <c r="A19" s="207"/>
      <c r="B19" s="96" t="s">
        <v>155</v>
      </c>
      <c r="C19" s="205"/>
      <c r="D19" s="207"/>
      <c r="E19" s="96" t="s">
        <v>34</v>
      </c>
    </row>
    <row r="20" spans="1:5" ht="26">
      <c r="A20" s="207"/>
      <c r="B20" s="96" t="s">
        <v>156</v>
      </c>
      <c r="C20" s="205"/>
      <c r="D20" s="207"/>
      <c r="E20" s="96" t="s">
        <v>35</v>
      </c>
    </row>
    <row r="21" spans="1:5" ht="26">
      <c r="A21" s="207"/>
      <c r="B21" s="96" t="s">
        <v>157</v>
      </c>
      <c r="C21" s="205"/>
      <c r="D21" s="207"/>
      <c r="E21" s="96" t="s">
        <v>36</v>
      </c>
    </row>
    <row r="22" spans="1:5">
      <c r="A22" s="207" t="s">
        <v>149</v>
      </c>
      <c r="B22" s="96" t="s">
        <v>145</v>
      </c>
      <c r="C22" s="205"/>
      <c r="D22" s="207" t="s">
        <v>151</v>
      </c>
      <c r="E22" s="96" t="s">
        <v>47</v>
      </c>
    </row>
    <row r="23" spans="1:5" ht="39">
      <c r="A23" s="207"/>
      <c r="B23" s="96"/>
      <c r="C23" s="206"/>
      <c r="D23" s="207"/>
      <c r="E23" s="96" t="s">
        <v>48</v>
      </c>
    </row>
    <row r="24" spans="1:5" ht="13.5" customHeight="1">
      <c r="A24" s="209" t="s">
        <v>22</v>
      </c>
      <c r="B24" s="210"/>
      <c r="C24" s="210"/>
      <c r="D24" s="210"/>
      <c r="E24" s="211"/>
    </row>
    <row r="25" spans="1:5">
      <c r="A25" s="207" t="s">
        <v>153</v>
      </c>
      <c r="B25" s="96" t="s">
        <v>158</v>
      </c>
      <c r="C25" s="204"/>
      <c r="D25" s="207" t="s">
        <v>135</v>
      </c>
      <c r="E25" s="96" t="s">
        <v>23</v>
      </c>
    </row>
    <row r="26" spans="1:5">
      <c r="A26" s="207"/>
      <c r="B26" s="96" t="s">
        <v>83</v>
      </c>
      <c r="C26" s="205"/>
      <c r="D26" s="207"/>
      <c r="E26" s="96" t="s">
        <v>37</v>
      </c>
    </row>
    <row r="27" spans="1:5">
      <c r="A27" s="207"/>
      <c r="B27" s="96" t="s">
        <v>159</v>
      </c>
      <c r="C27" s="205"/>
      <c r="D27" s="207"/>
      <c r="E27" s="96" t="s">
        <v>38</v>
      </c>
    </row>
    <row r="28" spans="1:5" ht="26">
      <c r="A28" s="207"/>
      <c r="B28" s="96" t="s">
        <v>160</v>
      </c>
      <c r="C28" s="205"/>
      <c r="D28" s="207"/>
      <c r="E28" s="96" t="s">
        <v>39</v>
      </c>
    </row>
    <row r="29" spans="1:5" ht="26">
      <c r="A29" s="207"/>
      <c r="B29" s="96" t="s">
        <v>161</v>
      </c>
      <c r="C29" s="205"/>
      <c r="D29" s="207"/>
      <c r="E29" s="96" t="s">
        <v>49</v>
      </c>
    </row>
    <row r="30" spans="1:5" ht="81.650000000000006" customHeight="1">
      <c r="A30" s="96" t="s">
        <v>149</v>
      </c>
      <c r="B30" s="96" t="s">
        <v>145</v>
      </c>
      <c r="C30" s="206"/>
      <c r="D30" s="96" t="s">
        <v>151</v>
      </c>
      <c r="E30" s="96" t="s">
        <v>40</v>
      </c>
    </row>
    <row r="31" spans="1:5" ht="13" customHeight="1">
      <c r="A31" s="209" t="s">
        <v>24</v>
      </c>
      <c r="B31" s="210"/>
      <c r="C31" s="210"/>
      <c r="D31" s="210"/>
      <c r="E31" s="211"/>
    </row>
    <row r="32" spans="1:5" ht="26">
      <c r="A32" s="204" t="s">
        <v>162</v>
      </c>
      <c r="B32" s="204" t="s">
        <v>163</v>
      </c>
      <c r="C32" s="204"/>
      <c r="D32" s="96" t="s">
        <v>164</v>
      </c>
      <c r="E32" s="96" t="s">
        <v>41</v>
      </c>
    </row>
    <row r="33" spans="1:5">
      <c r="A33" s="205"/>
      <c r="B33" s="205"/>
      <c r="C33" s="205"/>
      <c r="D33" s="207" t="s">
        <v>151</v>
      </c>
      <c r="E33" s="96" t="s">
        <v>25</v>
      </c>
    </row>
    <row r="34" spans="1:5">
      <c r="A34" s="205"/>
      <c r="B34" s="205"/>
      <c r="C34" s="205"/>
      <c r="D34" s="207"/>
      <c r="E34" s="96" t="s">
        <v>42</v>
      </c>
    </row>
    <row r="35" spans="1:5">
      <c r="A35" s="205"/>
      <c r="B35" s="205"/>
      <c r="C35" s="205"/>
      <c r="D35" s="207"/>
      <c r="E35" s="96" t="s">
        <v>43</v>
      </c>
    </row>
    <row r="36" spans="1:5">
      <c r="A36" s="205"/>
      <c r="B36" s="205"/>
      <c r="C36" s="205"/>
      <c r="D36" s="207"/>
      <c r="E36" s="96" t="s">
        <v>44</v>
      </c>
    </row>
    <row r="37" spans="1:5">
      <c r="A37" s="206"/>
      <c r="B37" s="206"/>
      <c r="C37" s="206"/>
      <c r="D37" s="207"/>
      <c r="E37" s="96" t="s">
        <v>50</v>
      </c>
    </row>
  </sheetData>
  <mergeCells count="27">
    <mergeCell ref="A3:A7"/>
    <mergeCell ref="A17:A21"/>
    <mergeCell ref="A22:A23"/>
    <mergeCell ref="D22:D23"/>
    <mergeCell ref="A9:A13"/>
    <mergeCell ref="A14:A15"/>
    <mergeCell ref="B32:B37"/>
    <mergeCell ref="D33:D37"/>
    <mergeCell ref="A1:B1"/>
    <mergeCell ref="D1:E1"/>
    <mergeCell ref="A8:E8"/>
    <mergeCell ref="A16:E16"/>
    <mergeCell ref="A24:E24"/>
    <mergeCell ref="A31:E31"/>
    <mergeCell ref="A32:A37"/>
    <mergeCell ref="A25:A29"/>
    <mergeCell ref="D25:D29"/>
    <mergeCell ref="D17:D21"/>
    <mergeCell ref="D10:D13"/>
    <mergeCell ref="D3:D5"/>
    <mergeCell ref="D6:D7"/>
    <mergeCell ref="B14:B15"/>
    <mergeCell ref="C32:C37"/>
    <mergeCell ref="C25:C30"/>
    <mergeCell ref="C9:C15"/>
    <mergeCell ref="C3:C7"/>
    <mergeCell ref="C17:C23"/>
  </mergeCells>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E60D-D8B8-4A7D-A276-3EF90A93525A}">
  <dimension ref="A1:C36"/>
  <sheetViews>
    <sheetView topLeftCell="A13" zoomScale="96" workbookViewId="0">
      <selection activeCell="B14" activeCellId="2" sqref="B29 B22 B14:B15"/>
    </sheetView>
  </sheetViews>
  <sheetFormatPr baseColWidth="10" defaultColWidth="43.81640625" defaultRowHeight="13"/>
  <cols>
    <col min="1" max="1" width="50.26953125" style="16" customWidth="1"/>
    <col min="2" max="2" width="54.453125" style="16" customWidth="1"/>
    <col min="4" max="16384" width="43.81640625" style="16"/>
  </cols>
  <sheetData>
    <row r="1" spans="1:2" ht="14">
      <c r="A1" s="217" t="s">
        <v>130</v>
      </c>
      <c r="B1" s="218"/>
    </row>
    <row r="2" spans="1:2" ht="14">
      <c r="A2" s="15" t="s">
        <v>1</v>
      </c>
      <c r="B2" s="15" t="s">
        <v>165</v>
      </c>
    </row>
    <row r="3" spans="1:2" ht="26">
      <c r="A3" s="16" t="s">
        <v>136</v>
      </c>
      <c r="B3" s="16" t="s">
        <v>14</v>
      </c>
    </row>
    <row r="4" spans="1:2">
      <c r="A4" s="16" t="s">
        <v>137</v>
      </c>
      <c r="B4" s="16" t="s">
        <v>16</v>
      </c>
    </row>
    <row r="5" spans="1:2">
      <c r="A5" s="16" t="s">
        <v>166</v>
      </c>
      <c r="B5" s="16" t="s">
        <v>17</v>
      </c>
    </row>
    <row r="6" spans="1:2">
      <c r="A6" s="16" t="s">
        <v>139</v>
      </c>
      <c r="B6" s="16" t="s">
        <v>167</v>
      </c>
    </row>
    <row r="7" spans="1:2">
      <c r="A7" s="16" t="s">
        <v>141</v>
      </c>
      <c r="B7" s="16" t="s">
        <v>168</v>
      </c>
    </row>
    <row r="8" spans="1:2" ht="15">
      <c r="A8" s="212" t="s">
        <v>18</v>
      </c>
      <c r="B8" s="213"/>
    </row>
    <row r="9" spans="1:2">
      <c r="A9" s="214" t="s">
        <v>169</v>
      </c>
      <c r="B9" s="16" t="s">
        <v>143</v>
      </c>
    </row>
    <row r="10" spans="1:2">
      <c r="A10" s="215"/>
      <c r="B10" s="16" t="s">
        <v>96</v>
      </c>
    </row>
    <row r="11" spans="1:2">
      <c r="A11" s="215"/>
      <c r="B11" s="16" t="s">
        <v>97</v>
      </c>
    </row>
    <row r="12" spans="1:2">
      <c r="A12" s="215"/>
      <c r="B12" s="16" t="s">
        <v>147</v>
      </c>
    </row>
    <row r="13" spans="1:2">
      <c r="A13" s="216"/>
      <c r="B13" s="16" t="s">
        <v>148</v>
      </c>
    </row>
    <row r="14" spans="1:2" ht="83.5" customHeight="1">
      <c r="A14" s="214" t="s">
        <v>170</v>
      </c>
      <c r="B14" s="219" t="s">
        <v>171</v>
      </c>
    </row>
    <row r="15" spans="1:2">
      <c r="A15" s="216"/>
      <c r="B15" s="219"/>
    </row>
    <row r="16" spans="1:2" ht="15">
      <c r="A16" s="212" t="s">
        <v>20</v>
      </c>
      <c r="B16" s="213"/>
    </row>
    <row r="17" spans="1:2">
      <c r="A17" s="214" t="s">
        <v>169</v>
      </c>
      <c r="B17" s="16" t="s">
        <v>83</v>
      </c>
    </row>
    <row r="18" spans="1:2">
      <c r="A18" s="215"/>
      <c r="B18" s="16" t="s">
        <v>70</v>
      </c>
    </row>
    <row r="19" spans="1:2">
      <c r="A19" s="215"/>
      <c r="B19" s="16" t="s">
        <v>172</v>
      </c>
    </row>
    <row r="20" spans="1:2">
      <c r="A20" s="215"/>
      <c r="B20" s="16" t="s">
        <v>80</v>
      </c>
    </row>
    <row r="21" spans="1:2">
      <c r="A21" s="216"/>
      <c r="B21" s="16" t="s">
        <v>173</v>
      </c>
    </row>
    <row r="22" spans="1:2" ht="52">
      <c r="A22" s="17" t="s">
        <v>170</v>
      </c>
      <c r="B22" s="16" t="s">
        <v>174</v>
      </c>
    </row>
    <row r="23" spans="1:2" ht="15">
      <c r="A23" s="212" t="s">
        <v>22</v>
      </c>
      <c r="B23" s="213"/>
    </row>
    <row r="24" spans="1:2">
      <c r="A24" s="214" t="s">
        <v>169</v>
      </c>
      <c r="B24" s="16" t="s">
        <v>86</v>
      </c>
    </row>
    <row r="25" spans="1:2">
      <c r="A25" s="215"/>
      <c r="B25" s="16" t="s">
        <v>83</v>
      </c>
    </row>
    <row r="26" spans="1:2">
      <c r="A26" s="215"/>
      <c r="B26" s="16" t="s">
        <v>88</v>
      </c>
    </row>
    <row r="27" spans="1:2">
      <c r="A27" s="215"/>
      <c r="B27" s="16" t="s">
        <v>160</v>
      </c>
    </row>
    <row r="28" spans="1:2">
      <c r="A28" s="216"/>
      <c r="B28" s="16" t="s">
        <v>91</v>
      </c>
    </row>
    <row r="29" spans="1:2" ht="52">
      <c r="A29" s="16" t="s">
        <v>170</v>
      </c>
      <c r="B29" s="16" t="s">
        <v>175</v>
      </c>
    </row>
    <row r="30" spans="1:2" ht="15">
      <c r="A30" s="212" t="s">
        <v>24</v>
      </c>
      <c r="B30" s="213"/>
    </row>
    <row r="31" spans="1:2">
      <c r="A31" s="214"/>
      <c r="B31" s="16" t="s">
        <v>163</v>
      </c>
    </row>
    <row r="32" spans="1:2">
      <c r="A32" s="215"/>
      <c r="B32" s="214" t="s">
        <v>145</v>
      </c>
    </row>
    <row r="33" spans="1:2">
      <c r="A33" s="215"/>
      <c r="B33" s="215"/>
    </row>
    <row r="34" spans="1:2">
      <c r="A34" s="215"/>
      <c r="B34" s="215"/>
    </row>
    <row r="35" spans="1:2">
      <c r="A35" s="215"/>
      <c r="B35" s="215"/>
    </row>
    <row r="36" spans="1:2">
      <c r="A36" s="216"/>
      <c r="B36" s="216"/>
    </row>
  </sheetData>
  <mergeCells count="12">
    <mergeCell ref="A1:B1"/>
    <mergeCell ref="A8:B8"/>
    <mergeCell ref="A9:A13"/>
    <mergeCell ref="A14:A15"/>
    <mergeCell ref="B14:B15"/>
    <mergeCell ref="A16:B16"/>
    <mergeCell ref="A17:A21"/>
    <mergeCell ref="A31:A36"/>
    <mergeCell ref="B32:B36"/>
    <mergeCell ref="A23:B23"/>
    <mergeCell ref="A24:A28"/>
    <mergeCell ref="A30:B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3D71E-540F-488D-8278-18DA401BD5CF}">
  <dimension ref="A1:E4"/>
  <sheetViews>
    <sheetView zoomScale="115" zoomScaleNormal="115" workbookViewId="0">
      <selection activeCell="A4" sqref="A4"/>
    </sheetView>
  </sheetViews>
  <sheetFormatPr baseColWidth="10" defaultRowHeight="12.5"/>
  <cols>
    <col min="1" max="1" width="49.6328125" customWidth="1"/>
  </cols>
  <sheetData>
    <row r="1" spans="1:5">
      <c r="A1" s="219" t="s">
        <v>454</v>
      </c>
    </row>
    <row r="2" spans="1:5" ht="78.5" customHeight="1">
      <c r="A2" s="219"/>
    </row>
    <row r="3" spans="1:5" ht="26">
      <c r="A3" s="123" t="s">
        <v>454</v>
      </c>
    </row>
    <row r="4" spans="1:5" ht="52">
      <c r="A4" s="123" t="s">
        <v>449</v>
      </c>
      <c r="E4" s="103" t="s">
        <v>32</v>
      </c>
    </row>
  </sheetData>
  <mergeCells count="1">
    <mergeCell ref="A1:A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32604-521D-4C4E-8D82-18A788298876}">
  <dimension ref="A1:E7"/>
  <sheetViews>
    <sheetView zoomScale="79" zoomScaleNormal="55" workbookViewId="0">
      <selection activeCell="D1" sqref="D1:D2"/>
    </sheetView>
  </sheetViews>
  <sheetFormatPr baseColWidth="10" defaultColWidth="68.26953125" defaultRowHeight="13"/>
  <cols>
    <col min="1" max="1" width="16.81640625" style="16" bestFit="1" customWidth="1"/>
    <col min="2" max="2" width="32.7265625" style="16" customWidth="1"/>
    <col min="3" max="3" width="20" style="16" bestFit="1" customWidth="1"/>
    <col min="4" max="4" width="43" style="16" customWidth="1"/>
    <col min="6" max="16384" width="68.26953125" style="16"/>
  </cols>
  <sheetData>
    <row r="1" spans="1:4" ht="14.15" customHeight="1">
      <c r="A1" s="217" t="s">
        <v>176</v>
      </c>
      <c r="B1" s="218"/>
      <c r="C1" s="220" t="s">
        <v>177</v>
      </c>
      <c r="D1" s="220"/>
    </row>
    <row r="2" spans="1:4" ht="28">
      <c r="A2" s="15" t="s">
        <v>178</v>
      </c>
      <c r="B2" s="15" t="s">
        <v>179</v>
      </c>
      <c r="C2" s="15" t="s">
        <v>178</v>
      </c>
      <c r="D2" s="15" t="s">
        <v>179</v>
      </c>
    </row>
    <row r="3" spans="1:4" ht="26.15" customHeight="1">
      <c r="A3" s="16" t="s">
        <v>136</v>
      </c>
      <c r="B3" s="16" t="s">
        <v>14</v>
      </c>
      <c r="C3" s="16" t="s">
        <v>136</v>
      </c>
      <c r="D3" s="16" t="s">
        <v>14</v>
      </c>
    </row>
    <row r="4" spans="1:4">
      <c r="A4" s="16" t="s">
        <v>137</v>
      </c>
      <c r="B4" s="16" t="s">
        <v>16</v>
      </c>
      <c r="C4" s="16" t="s">
        <v>137</v>
      </c>
      <c r="D4" s="16" t="s">
        <v>16</v>
      </c>
    </row>
    <row r="5" spans="1:4">
      <c r="A5" s="16" t="s">
        <v>180</v>
      </c>
      <c r="B5" s="16" t="s">
        <v>17</v>
      </c>
      <c r="C5" s="16" t="s">
        <v>180</v>
      </c>
      <c r="D5" s="16" t="s">
        <v>138</v>
      </c>
    </row>
    <row r="6" spans="1:4" ht="52" customHeight="1">
      <c r="A6" s="16" t="s">
        <v>139</v>
      </c>
      <c r="B6" s="16" t="s">
        <v>181</v>
      </c>
      <c r="C6" s="16" t="s">
        <v>28</v>
      </c>
      <c r="D6" s="16" t="s">
        <v>28</v>
      </c>
    </row>
    <row r="7" spans="1:4" ht="26">
      <c r="A7" s="16" t="s">
        <v>141</v>
      </c>
      <c r="B7" s="16" t="s">
        <v>182</v>
      </c>
      <c r="C7" s="16" t="s">
        <v>45</v>
      </c>
      <c r="D7" s="16" t="s">
        <v>183</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D02A-C93C-40FD-8DC8-1097B5471951}">
  <dimension ref="A1:B14"/>
  <sheetViews>
    <sheetView workbookViewId="0">
      <selection activeCell="D1" sqref="D1:D2"/>
    </sheetView>
  </sheetViews>
  <sheetFormatPr baseColWidth="10" defaultColWidth="63.54296875" defaultRowHeight="14.5"/>
  <cols>
    <col min="1" max="1" width="69.453125" style="22" customWidth="1"/>
    <col min="2" max="2" width="21.81640625" style="22" customWidth="1"/>
    <col min="3" max="16384" width="63.54296875" style="22"/>
  </cols>
  <sheetData>
    <row r="1" spans="1:2" ht="29">
      <c r="A1" s="118" t="s">
        <v>424</v>
      </c>
      <c r="B1" s="118" t="s">
        <v>425</v>
      </c>
    </row>
    <row r="2" spans="1:2" ht="58">
      <c r="A2" s="119" t="s">
        <v>184</v>
      </c>
      <c r="B2" s="118" t="s">
        <v>384</v>
      </c>
    </row>
    <row r="3" spans="1:2" ht="87">
      <c r="A3" s="119" t="s">
        <v>185</v>
      </c>
      <c r="B3" s="118" t="s">
        <v>385</v>
      </c>
    </row>
    <row r="4" spans="1:2" ht="72.5">
      <c r="A4" s="119" t="s">
        <v>186</v>
      </c>
      <c r="B4" s="118" t="s">
        <v>386</v>
      </c>
    </row>
    <row r="5" spans="1:2" ht="72.5">
      <c r="A5" s="119" t="s">
        <v>187</v>
      </c>
      <c r="B5" s="118" t="s">
        <v>387</v>
      </c>
    </row>
    <row r="6" spans="1:2" ht="72.5">
      <c r="A6" s="119" t="s">
        <v>188</v>
      </c>
      <c r="B6" s="118" t="s">
        <v>388</v>
      </c>
    </row>
    <row r="7" spans="1:2" ht="72.5">
      <c r="A7" s="119" t="s">
        <v>189</v>
      </c>
      <c r="B7" s="118" t="s">
        <v>389</v>
      </c>
    </row>
    <row r="8" spans="1:2" ht="159.5">
      <c r="A8" s="119" t="s">
        <v>190</v>
      </c>
      <c r="B8" s="118" t="s">
        <v>390</v>
      </c>
    </row>
    <row r="9" spans="1:2" ht="58">
      <c r="A9" s="119" t="s">
        <v>191</v>
      </c>
      <c r="B9" s="118" t="s">
        <v>391</v>
      </c>
    </row>
    <row r="10" spans="1:2" ht="43.5">
      <c r="A10" s="119" t="s">
        <v>192</v>
      </c>
      <c r="B10" s="118" t="s">
        <v>392</v>
      </c>
    </row>
    <row r="11" spans="1:2" ht="43.5">
      <c r="A11" s="119" t="s">
        <v>193</v>
      </c>
      <c r="B11" s="221" t="s">
        <v>393</v>
      </c>
    </row>
    <row r="12" spans="1:2" ht="43.5">
      <c r="A12" s="120" t="s">
        <v>194</v>
      </c>
      <c r="B12" s="221"/>
    </row>
    <row r="13" spans="1:2" ht="43.5">
      <c r="A13" s="119" t="s">
        <v>195</v>
      </c>
      <c r="B13" s="118" t="s">
        <v>426</v>
      </c>
    </row>
    <row r="14" spans="1:2" ht="43.5">
      <c r="A14" s="120" t="s">
        <v>196</v>
      </c>
      <c r="B14" s="118" t="s">
        <v>394</v>
      </c>
    </row>
  </sheetData>
  <mergeCells count="1">
    <mergeCell ref="B11:B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897A-FF3C-425C-A6F4-EBB86D5F19BA}">
  <dimension ref="A1:B9"/>
  <sheetViews>
    <sheetView workbookViewId="0">
      <selection activeCell="D1" sqref="D1:D2"/>
    </sheetView>
  </sheetViews>
  <sheetFormatPr baseColWidth="10" defaultColWidth="70.36328125" defaultRowHeight="14.5"/>
  <cols>
    <col min="1" max="1" width="70.36328125" style="24"/>
    <col min="2" max="2" width="23.36328125" style="121" customWidth="1"/>
    <col min="3" max="16384" width="70.36328125" style="23"/>
  </cols>
  <sheetData>
    <row r="1" spans="1:2" ht="29">
      <c r="A1" s="118" t="s">
        <v>424</v>
      </c>
      <c r="B1" s="118" t="s">
        <v>425</v>
      </c>
    </row>
    <row r="2" spans="1:2" ht="58">
      <c r="A2" s="24" t="s">
        <v>197</v>
      </c>
      <c r="B2" s="114" t="s">
        <v>395</v>
      </c>
    </row>
    <row r="3" spans="1:2" ht="188.5">
      <c r="A3" s="113" t="s">
        <v>198</v>
      </c>
      <c r="B3" s="114" t="s">
        <v>396</v>
      </c>
    </row>
    <row r="4" spans="1:2" ht="261">
      <c r="A4" s="24" t="s">
        <v>199</v>
      </c>
      <c r="B4" s="114" t="s">
        <v>396</v>
      </c>
    </row>
    <row r="5" spans="1:2" ht="87">
      <c r="A5" s="24" t="s">
        <v>200</v>
      </c>
      <c r="B5" s="114" t="s">
        <v>427</v>
      </c>
    </row>
    <row r="6" spans="1:2" ht="43.5">
      <c r="A6" s="24" t="s">
        <v>201</v>
      </c>
      <c r="B6" s="121" t="s">
        <v>202</v>
      </c>
    </row>
    <row r="7" spans="1:2" ht="43.5">
      <c r="A7" s="24" t="s">
        <v>203</v>
      </c>
      <c r="B7" s="114" t="s">
        <v>428</v>
      </c>
    </row>
    <row r="8" spans="1:2" ht="58">
      <c r="A8" s="24" t="s">
        <v>204</v>
      </c>
      <c r="B8" s="121" t="s">
        <v>202</v>
      </c>
    </row>
    <row r="9" spans="1:2" ht="87">
      <c r="A9" s="24" t="s">
        <v>205</v>
      </c>
      <c r="B9" s="114" t="s">
        <v>429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C24F-6CC6-4ED6-8FFB-CAFFEE070C6E}">
  <dimension ref="A1:B5"/>
  <sheetViews>
    <sheetView workbookViewId="0">
      <selection activeCell="D1" sqref="D1:D2"/>
    </sheetView>
  </sheetViews>
  <sheetFormatPr baseColWidth="10" defaultColWidth="70.26953125" defaultRowHeight="14.5"/>
  <cols>
    <col min="1" max="1" width="70.26953125" style="24"/>
    <col min="2" max="16384" width="70.26953125" style="23"/>
  </cols>
  <sheetData>
    <row r="1" spans="1:2" ht="87">
      <c r="A1" s="24" t="s">
        <v>206</v>
      </c>
    </row>
    <row r="2" spans="1:2" ht="43.5">
      <c r="A2" s="24" t="s">
        <v>207</v>
      </c>
    </row>
    <row r="3" spans="1:2" ht="43.5">
      <c r="A3" s="97" t="s">
        <v>208</v>
      </c>
      <c r="B3" s="93" t="s">
        <v>369</v>
      </c>
    </row>
    <row r="4" spans="1:2" ht="72.5">
      <c r="A4" s="24" t="s">
        <v>209</v>
      </c>
      <c r="B4" s="93" t="s">
        <v>369</v>
      </c>
    </row>
    <row r="5" spans="1:2" ht="72.5">
      <c r="A5" s="24" t="s">
        <v>210</v>
      </c>
      <c r="B5" s="93" t="s">
        <v>370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B59CE-A429-4A0C-8543-46A570F97C85}">
  <dimension ref="A1:D16"/>
  <sheetViews>
    <sheetView workbookViewId="0">
      <selection activeCell="D1" sqref="D1:D2"/>
    </sheetView>
  </sheetViews>
  <sheetFormatPr baseColWidth="10" defaultColWidth="32" defaultRowHeight="12.5"/>
  <cols>
    <col min="1" max="3" width="32" style="115"/>
    <col min="5" max="16384" width="32" style="115"/>
  </cols>
  <sheetData>
    <row r="1" spans="1:4">
      <c r="A1" s="115" t="s">
        <v>397</v>
      </c>
      <c r="B1" s="115" t="s">
        <v>400</v>
      </c>
      <c r="C1" s="115" t="s">
        <v>398</v>
      </c>
      <c r="D1" s="115"/>
    </row>
    <row r="2" spans="1:4" ht="37.5">
      <c r="A2" s="115" t="s">
        <v>407</v>
      </c>
      <c r="B2" s="115" t="s">
        <v>399</v>
      </c>
      <c r="C2" s="115" t="s">
        <v>417</v>
      </c>
      <c r="D2" s="115"/>
    </row>
    <row r="3" spans="1:4" ht="31">
      <c r="A3" s="115" t="s">
        <v>408</v>
      </c>
      <c r="B3" s="117" t="s">
        <v>401</v>
      </c>
      <c r="C3" s="115" t="s">
        <v>418</v>
      </c>
      <c r="D3" s="115"/>
    </row>
    <row r="4" spans="1:4" ht="37.5">
      <c r="A4" s="115" t="s">
        <v>403</v>
      </c>
      <c r="B4" s="116" t="s">
        <v>402</v>
      </c>
      <c r="C4" s="115" t="s">
        <v>419</v>
      </c>
      <c r="D4" s="115"/>
    </row>
    <row r="5" spans="1:4" ht="37.5">
      <c r="A5" s="115" t="s">
        <v>404</v>
      </c>
      <c r="B5" s="115" t="s">
        <v>409</v>
      </c>
      <c r="C5" s="115" t="s">
        <v>420</v>
      </c>
      <c r="D5" s="115"/>
    </row>
    <row r="6" spans="1:4" ht="37.5">
      <c r="A6" s="115" t="s">
        <v>405</v>
      </c>
      <c r="B6" s="115" t="s">
        <v>410</v>
      </c>
      <c r="C6" s="115" t="s">
        <v>430</v>
      </c>
      <c r="D6" s="115"/>
    </row>
    <row r="7" spans="1:4" ht="77.5">
      <c r="A7" s="115" t="s">
        <v>406</v>
      </c>
      <c r="B7" s="115" t="s">
        <v>411</v>
      </c>
      <c r="C7" s="116" t="s">
        <v>431</v>
      </c>
      <c r="D7" s="115"/>
    </row>
    <row r="8" spans="1:4" ht="62.5">
      <c r="A8" s="115" t="s">
        <v>413</v>
      </c>
      <c r="B8" s="115" t="s">
        <v>412</v>
      </c>
      <c r="C8" s="115" t="s">
        <v>432</v>
      </c>
      <c r="D8" s="115"/>
    </row>
    <row r="9" spans="1:4" ht="62.5">
      <c r="A9" s="115" t="s">
        <v>414</v>
      </c>
      <c r="B9" s="115" t="s">
        <v>415</v>
      </c>
      <c r="C9" s="115" t="s">
        <v>433</v>
      </c>
      <c r="D9" s="115"/>
    </row>
    <row r="10" spans="1:4" ht="25">
      <c r="B10" s="115" t="s">
        <v>416</v>
      </c>
      <c r="C10" s="115" t="s">
        <v>434</v>
      </c>
      <c r="D10" s="115"/>
    </row>
    <row r="11" spans="1:4">
      <c r="C11" s="115" t="s">
        <v>435</v>
      </c>
      <c r="D11" s="115"/>
    </row>
    <row r="12" spans="1:4" ht="25">
      <c r="C12" s="115" t="s">
        <v>436</v>
      </c>
      <c r="D12" s="115"/>
    </row>
    <row r="13" spans="1:4" ht="25">
      <c r="C13" s="115" t="s">
        <v>437</v>
      </c>
      <c r="D13" s="115"/>
    </row>
    <row r="14" spans="1:4" ht="37.5">
      <c r="C14" s="115" t="s">
        <v>421</v>
      </c>
      <c r="D14" s="115"/>
    </row>
    <row r="15" spans="1:4" ht="37.5">
      <c r="C15" s="115" t="s">
        <v>422</v>
      </c>
      <c r="D15" s="115"/>
    </row>
    <row r="16" spans="1:4">
      <c r="C16" s="115" t="s">
        <v>423</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513B-22B3-4331-9A79-4D34384C25B0}">
  <dimension ref="A1:F94"/>
  <sheetViews>
    <sheetView workbookViewId="0">
      <pane ySplit="2" topLeftCell="A93" activePane="bottomLeft" state="frozen"/>
      <selection activeCell="D1" sqref="D1:D2"/>
      <selection pane="bottomLeft" activeCell="D1" sqref="D1:D2"/>
    </sheetView>
  </sheetViews>
  <sheetFormatPr baseColWidth="10" defaultColWidth="10.81640625" defaultRowHeight="14.5"/>
  <cols>
    <col min="1" max="1" width="7" style="23" customWidth="1"/>
    <col min="2" max="2" width="12.81640625" style="23" customWidth="1"/>
    <col min="3" max="3" width="37.1796875" style="23" customWidth="1"/>
    <col min="4" max="4" width="21" style="23" bestFit="1" customWidth="1"/>
    <col min="5" max="5" width="62.453125" style="23" customWidth="1"/>
    <col min="6" max="6" width="42.453125" style="23" customWidth="1"/>
    <col min="7" max="16384" width="10.81640625" style="23"/>
  </cols>
  <sheetData>
    <row r="1" spans="1:6" ht="15.5">
      <c r="A1" s="234" t="s">
        <v>211</v>
      </c>
      <c r="B1" s="234"/>
      <c r="C1" s="234"/>
      <c r="D1" s="234"/>
      <c r="E1" s="234"/>
      <c r="F1" s="234"/>
    </row>
    <row r="2" spans="1:6" ht="39">
      <c r="A2" s="25" t="s">
        <v>212</v>
      </c>
      <c r="B2" s="25" t="s">
        <v>213</v>
      </c>
      <c r="C2" s="25" t="s">
        <v>214</v>
      </c>
      <c r="D2" s="25" t="s">
        <v>215</v>
      </c>
      <c r="E2" s="25" t="s">
        <v>216</v>
      </c>
      <c r="F2" s="25" t="s">
        <v>217</v>
      </c>
    </row>
    <row r="3" spans="1:6">
      <c r="A3" s="222" t="s">
        <v>218</v>
      </c>
      <c r="B3" s="223"/>
      <c r="C3" s="223"/>
      <c r="D3" s="223"/>
      <c r="E3" s="223"/>
      <c r="F3" s="224"/>
    </row>
    <row r="4" spans="1:6" ht="72.5">
      <c r="A4" s="26">
        <v>1</v>
      </c>
      <c r="B4" s="27">
        <v>44174</v>
      </c>
      <c r="C4" s="27" t="s">
        <v>219</v>
      </c>
      <c r="D4" s="28" t="s">
        <v>220</v>
      </c>
      <c r="E4" s="28" t="s">
        <v>221</v>
      </c>
      <c r="F4" s="29" t="s">
        <v>222</v>
      </c>
    </row>
    <row r="5" spans="1:6" ht="58">
      <c r="A5" s="30">
        <v>2</v>
      </c>
      <c r="B5" s="31">
        <v>44181</v>
      </c>
      <c r="C5" s="31" t="s">
        <v>223</v>
      </c>
      <c r="D5" s="32" t="s">
        <v>220</v>
      </c>
      <c r="E5" s="32" t="s">
        <v>224</v>
      </c>
      <c r="F5" s="33" t="s">
        <v>225</v>
      </c>
    </row>
    <row r="6" spans="1:6" ht="101.5">
      <c r="A6" s="34">
        <v>3</v>
      </c>
      <c r="B6" s="35">
        <v>44187</v>
      </c>
      <c r="C6" s="35" t="s">
        <v>226</v>
      </c>
      <c r="D6" s="36" t="s">
        <v>220</v>
      </c>
      <c r="E6" s="36" t="s">
        <v>227</v>
      </c>
      <c r="F6" s="37" t="s">
        <v>228</v>
      </c>
    </row>
    <row r="7" spans="1:6" ht="29">
      <c r="A7" s="38">
        <v>4</v>
      </c>
      <c r="B7" s="39">
        <v>44188</v>
      </c>
      <c r="C7" s="40" t="s">
        <v>223</v>
      </c>
      <c r="D7" s="40" t="s">
        <v>220</v>
      </c>
      <c r="E7" s="40" t="s">
        <v>229</v>
      </c>
      <c r="F7" s="41" t="s">
        <v>230</v>
      </c>
    </row>
    <row r="8" spans="1:6" ht="15" customHeight="1">
      <c r="A8" s="222" t="s">
        <v>231</v>
      </c>
      <c r="B8" s="223"/>
      <c r="C8" s="223"/>
      <c r="D8" s="223"/>
      <c r="E8" s="223"/>
      <c r="F8" s="224"/>
    </row>
    <row r="9" spans="1:6" ht="25">
      <c r="A9" s="42">
        <v>5</v>
      </c>
      <c r="B9" s="43">
        <v>44258</v>
      </c>
      <c r="C9" s="44" t="s">
        <v>232</v>
      </c>
      <c r="D9" s="44" t="s">
        <v>233</v>
      </c>
      <c r="E9" s="44" t="s">
        <v>234</v>
      </c>
      <c r="F9" s="44" t="s">
        <v>235</v>
      </c>
    </row>
    <row r="10" spans="1:6" ht="37.5">
      <c r="A10" s="45">
        <v>6</v>
      </c>
      <c r="B10" s="31">
        <v>44264</v>
      </c>
      <c r="C10" s="32" t="s">
        <v>236</v>
      </c>
      <c r="D10" s="32" t="s">
        <v>220</v>
      </c>
      <c r="E10" s="32" t="s">
        <v>237</v>
      </c>
      <c r="F10" s="46" t="s">
        <v>238</v>
      </c>
    </row>
    <row r="11" spans="1:6" ht="29">
      <c r="A11" s="226">
        <v>7</v>
      </c>
      <c r="B11" s="228">
        <v>44266</v>
      </c>
      <c r="C11" s="230" t="s">
        <v>232</v>
      </c>
      <c r="D11" s="230" t="s">
        <v>233</v>
      </c>
      <c r="E11" s="232" t="s">
        <v>234</v>
      </c>
      <c r="F11" s="49" t="s">
        <v>230</v>
      </c>
    </row>
    <row r="12" spans="1:6">
      <c r="A12" s="227"/>
      <c r="B12" s="229"/>
      <c r="C12" s="231"/>
      <c r="D12" s="231"/>
      <c r="E12" s="235"/>
      <c r="F12" s="50" t="s">
        <v>239</v>
      </c>
    </row>
    <row r="13" spans="1:6" ht="25">
      <c r="A13" s="45">
        <v>8</v>
      </c>
      <c r="B13" s="31">
        <v>44270</v>
      </c>
      <c r="C13" s="32" t="s">
        <v>240</v>
      </c>
      <c r="D13" s="32" t="s">
        <v>220</v>
      </c>
      <c r="E13" s="32" t="s">
        <v>241</v>
      </c>
      <c r="F13" s="51" t="s">
        <v>235</v>
      </c>
    </row>
    <row r="14" spans="1:6" ht="29">
      <c r="A14" s="226">
        <v>9</v>
      </c>
      <c r="B14" s="228">
        <v>44272</v>
      </c>
      <c r="C14" s="230" t="s">
        <v>223</v>
      </c>
      <c r="D14" s="230" t="s">
        <v>220</v>
      </c>
      <c r="E14" s="232" t="s">
        <v>242</v>
      </c>
      <c r="F14" s="46" t="s">
        <v>243</v>
      </c>
    </row>
    <row r="15" spans="1:6" ht="58">
      <c r="A15" s="227"/>
      <c r="B15" s="229"/>
      <c r="C15" s="231"/>
      <c r="D15" s="231"/>
      <c r="E15" s="233"/>
      <c r="F15" s="46" t="s">
        <v>244</v>
      </c>
    </row>
    <row r="16" spans="1:6" ht="25">
      <c r="A16" s="45">
        <v>10</v>
      </c>
      <c r="B16" s="31">
        <v>44273</v>
      </c>
      <c r="C16" s="32" t="s">
        <v>232</v>
      </c>
      <c r="D16" s="32" t="s">
        <v>233</v>
      </c>
      <c r="E16" s="32" t="s">
        <v>245</v>
      </c>
      <c r="F16" s="46" t="s">
        <v>246</v>
      </c>
    </row>
    <row r="17" spans="1:6" ht="37.5">
      <c r="A17" s="45">
        <v>11</v>
      </c>
      <c r="B17" s="31">
        <v>44309</v>
      </c>
      <c r="C17" s="32" t="s">
        <v>247</v>
      </c>
      <c r="D17" s="32" t="s">
        <v>220</v>
      </c>
      <c r="E17" s="32" t="s">
        <v>248</v>
      </c>
      <c r="F17" s="52" t="s">
        <v>235</v>
      </c>
    </row>
    <row r="18" spans="1:6" ht="37.5">
      <c r="A18" s="45">
        <v>12</v>
      </c>
      <c r="B18" s="31">
        <v>44312</v>
      </c>
      <c r="C18" s="32" t="s">
        <v>247</v>
      </c>
      <c r="D18" s="32" t="s">
        <v>220</v>
      </c>
      <c r="E18" s="32" t="s">
        <v>249</v>
      </c>
      <c r="F18" s="46" t="s">
        <v>250</v>
      </c>
    </row>
    <row r="19" spans="1:6" ht="25">
      <c r="A19" s="45">
        <v>13</v>
      </c>
      <c r="B19" s="31">
        <v>44313</v>
      </c>
      <c r="C19" s="32" t="s">
        <v>223</v>
      </c>
      <c r="D19" s="32" t="s">
        <v>220</v>
      </c>
      <c r="E19" s="32" t="s">
        <v>251</v>
      </c>
      <c r="F19" s="46" t="s">
        <v>252</v>
      </c>
    </row>
    <row r="20" spans="1:6" ht="37.5">
      <c r="A20" s="45">
        <v>14</v>
      </c>
      <c r="B20" s="31">
        <v>44329</v>
      </c>
      <c r="C20" s="32" t="s">
        <v>247</v>
      </c>
      <c r="D20" s="32" t="s">
        <v>220</v>
      </c>
      <c r="E20" s="32" t="s">
        <v>251</v>
      </c>
      <c r="F20" s="52" t="s">
        <v>235</v>
      </c>
    </row>
    <row r="21" spans="1:6" ht="37.5">
      <c r="A21" s="45">
        <v>15</v>
      </c>
      <c r="B21" s="31">
        <v>44351</v>
      </c>
      <c r="C21" s="32" t="s">
        <v>247</v>
      </c>
      <c r="D21" s="32" t="s">
        <v>220</v>
      </c>
      <c r="E21" s="32" t="s">
        <v>253</v>
      </c>
      <c r="F21" s="46" t="s">
        <v>246</v>
      </c>
    </row>
    <row r="22" spans="1:6" ht="25">
      <c r="A22" s="45">
        <v>16</v>
      </c>
      <c r="B22" s="31">
        <v>44468</v>
      </c>
      <c r="C22" s="32" t="s">
        <v>223</v>
      </c>
      <c r="D22" s="32" t="s">
        <v>220</v>
      </c>
      <c r="E22" s="32" t="s">
        <v>254</v>
      </c>
      <c r="F22" s="52" t="s">
        <v>235</v>
      </c>
    </row>
    <row r="23" spans="1:6" ht="116">
      <c r="A23" s="45">
        <v>17</v>
      </c>
      <c r="B23" s="31">
        <v>44477</v>
      </c>
      <c r="C23" s="32" t="s">
        <v>219</v>
      </c>
      <c r="D23" s="32" t="s">
        <v>220</v>
      </c>
      <c r="E23" s="32" t="s">
        <v>255</v>
      </c>
      <c r="F23" s="46" t="s">
        <v>256</v>
      </c>
    </row>
    <row r="24" spans="1:6">
      <c r="A24" s="222" t="s">
        <v>257</v>
      </c>
      <c r="B24" s="223"/>
      <c r="C24" s="223"/>
      <c r="D24" s="223"/>
      <c r="E24" s="223"/>
      <c r="F24" s="224"/>
    </row>
    <row r="25" spans="1:6" ht="56">
      <c r="A25" s="25">
        <v>1</v>
      </c>
      <c r="B25" s="53">
        <v>44620</v>
      </c>
      <c r="C25" s="53" t="s">
        <v>258</v>
      </c>
      <c r="D25" s="52" t="s">
        <v>220</v>
      </c>
      <c r="E25" s="52" t="s">
        <v>259</v>
      </c>
      <c r="F25" s="54" t="s">
        <v>260</v>
      </c>
    </row>
    <row r="26" spans="1:6" ht="37.5">
      <c r="A26" s="25">
        <v>2</v>
      </c>
      <c r="B26" s="53">
        <v>44678</v>
      </c>
      <c r="C26" s="53" t="s">
        <v>261</v>
      </c>
      <c r="D26" s="52" t="s">
        <v>220</v>
      </c>
      <c r="E26" s="52" t="s">
        <v>262</v>
      </c>
      <c r="F26" s="55" t="s">
        <v>263</v>
      </c>
    </row>
    <row r="27" spans="1:6" ht="37.5">
      <c r="A27" s="25">
        <v>3</v>
      </c>
      <c r="B27" s="53">
        <v>44679</v>
      </c>
      <c r="C27" s="53" t="s">
        <v>261</v>
      </c>
      <c r="D27" s="52" t="s">
        <v>220</v>
      </c>
      <c r="E27" s="52" t="s">
        <v>264</v>
      </c>
      <c r="F27" s="56" t="s">
        <v>265</v>
      </c>
    </row>
    <row r="28" spans="1:6" ht="37.5">
      <c r="A28" s="25">
        <v>4</v>
      </c>
      <c r="B28" s="53">
        <v>44679</v>
      </c>
      <c r="C28" s="53" t="s">
        <v>261</v>
      </c>
      <c r="D28" s="52" t="s">
        <v>220</v>
      </c>
      <c r="E28" s="52" t="s">
        <v>266</v>
      </c>
      <c r="F28" s="55" t="s">
        <v>267</v>
      </c>
    </row>
    <row r="29" spans="1:6" ht="37.5">
      <c r="A29" s="25">
        <v>5</v>
      </c>
      <c r="B29" s="53">
        <v>44701</v>
      </c>
      <c r="C29" s="53" t="s">
        <v>261</v>
      </c>
      <c r="D29" s="52" t="s">
        <v>220</v>
      </c>
      <c r="E29" s="52" t="s">
        <v>268</v>
      </c>
      <c r="F29" s="55" t="s">
        <v>269</v>
      </c>
    </row>
    <row r="30" spans="1:6" ht="37.5">
      <c r="A30" s="25">
        <v>6</v>
      </c>
      <c r="B30" s="53">
        <v>44719</v>
      </c>
      <c r="C30" s="53" t="s">
        <v>261</v>
      </c>
      <c r="D30" s="52" t="s">
        <v>220</v>
      </c>
      <c r="E30" s="52" t="s">
        <v>270</v>
      </c>
      <c r="F30" s="55" t="s">
        <v>246</v>
      </c>
    </row>
    <row r="31" spans="1:6" ht="58">
      <c r="A31" s="25">
        <v>7</v>
      </c>
      <c r="B31" s="53">
        <v>44740</v>
      </c>
      <c r="C31" s="53" t="s">
        <v>261</v>
      </c>
      <c r="D31" s="52" t="s">
        <v>220</v>
      </c>
      <c r="E31" s="52" t="s">
        <v>271</v>
      </c>
      <c r="F31" s="46" t="s">
        <v>272</v>
      </c>
    </row>
    <row r="32" spans="1:6" ht="37.5">
      <c r="A32" s="25">
        <v>8</v>
      </c>
      <c r="B32" s="53">
        <v>44741</v>
      </c>
      <c r="C32" s="53" t="s">
        <v>261</v>
      </c>
      <c r="D32" s="52" t="s">
        <v>220</v>
      </c>
      <c r="E32" s="52" t="s">
        <v>273</v>
      </c>
      <c r="F32" s="46" t="s">
        <v>246</v>
      </c>
    </row>
    <row r="33" spans="1:6" ht="37.5">
      <c r="A33" s="45">
        <v>9</v>
      </c>
      <c r="B33" s="31">
        <v>44809</v>
      </c>
      <c r="C33" s="32" t="s">
        <v>261</v>
      </c>
      <c r="D33" s="32" t="s">
        <v>220</v>
      </c>
      <c r="E33" s="32" t="s">
        <v>274</v>
      </c>
      <c r="F33" s="50" t="s">
        <v>275</v>
      </c>
    </row>
    <row r="34" spans="1:6" ht="58">
      <c r="A34" s="45">
        <v>10</v>
      </c>
      <c r="B34" s="31">
        <v>44846</v>
      </c>
      <c r="C34" s="32" t="s">
        <v>261</v>
      </c>
      <c r="D34" s="32" t="s">
        <v>220</v>
      </c>
      <c r="E34" s="32" t="s">
        <v>276</v>
      </c>
      <c r="F34" s="46" t="s">
        <v>277</v>
      </c>
    </row>
    <row r="35" spans="1:6" ht="37.5">
      <c r="A35" s="25">
        <v>11</v>
      </c>
      <c r="B35" s="31">
        <v>44858</v>
      </c>
      <c r="C35" s="32" t="s">
        <v>261</v>
      </c>
      <c r="D35" s="32" t="s">
        <v>220</v>
      </c>
      <c r="E35" s="32" t="s">
        <v>278</v>
      </c>
      <c r="F35" s="46" t="s">
        <v>279</v>
      </c>
    </row>
    <row r="36" spans="1:6" ht="37.5">
      <c r="A36" s="25">
        <v>12</v>
      </c>
      <c r="B36" s="53">
        <v>44862</v>
      </c>
      <c r="C36" s="53" t="s">
        <v>261</v>
      </c>
      <c r="D36" s="52" t="s">
        <v>280</v>
      </c>
      <c r="E36" s="52" t="s">
        <v>281</v>
      </c>
      <c r="F36" s="55" t="s">
        <v>282</v>
      </c>
    </row>
    <row r="37" spans="1:6" ht="37.5">
      <c r="A37" s="45">
        <v>13</v>
      </c>
      <c r="B37" s="53">
        <v>44895</v>
      </c>
      <c r="C37" s="53" t="s">
        <v>261</v>
      </c>
      <c r="D37" s="52" t="s">
        <v>280</v>
      </c>
      <c r="E37" s="52" t="s">
        <v>283</v>
      </c>
      <c r="F37" s="55" t="s">
        <v>284</v>
      </c>
    </row>
    <row r="38" spans="1:6" ht="25">
      <c r="A38" s="45">
        <v>14</v>
      </c>
      <c r="B38" s="53">
        <v>44895</v>
      </c>
      <c r="C38" s="53" t="s">
        <v>223</v>
      </c>
      <c r="D38" s="52" t="s">
        <v>280</v>
      </c>
      <c r="E38" s="52" t="s">
        <v>285</v>
      </c>
      <c r="F38" s="52" t="s">
        <v>235</v>
      </c>
    </row>
    <row r="39" spans="1:6">
      <c r="A39" s="222" t="s">
        <v>286</v>
      </c>
      <c r="B39" s="223"/>
      <c r="C39" s="223"/>
      <c r="D39" s="223"/>
      <c r="E39" s="223"/>
      <c r="F39" s="224"/>
    </row>
    <row r="40" spans="1:6" ht="37.5">
      <c r="A40" s="25">
        <v>1</v>
      </c>
      <c r="B40" s="53">
        <v>45001</v>
      </c>
      <c r="C40" s="53" t="s">
        <v>261</v>
      </c>
      <c r="D40" s="52" t="s">
        <v>287</v>
      </c>
      <c r="E40" s="52" t="s">
        <v>288</v>
      </c>
      <c r="F40" s="46" t="s">
        <v>289</v>
      </c>
    </row>
    <row r="41" spans="1:6" ht="50">
      <c r="A41" s="25">
        <v>2</v>
      </c>
      <c r="B41" s="53">
        <v>45015</v>
      </c>
      <c r="C41" s="53" t="s">
        <v>261</v>
      </c>
      <c r="D41" s="52" t="s">
        <v>287</v>
      </c>
      <c r="E41" s="52" t="s">
        <v>290</v>
      </c>
      <c r="F41" s="46" t="s">
        <v>291</v>
      </c>
    </row>
    <row r="42" spans="1:6" ht="37.5">
      <c r="A42" s="25">
        <v>3</v>
      </c>
      <c r="B42" s="53">
        <v>45063</v>
      </c>
      <c r="C42" s="53" t="s">
        <v>261</v>
      </c>
      <c r="D42" s="52" t="s">
        <v>287</v>
      </c>
      <c r="E42" s="52" t="s">
        <v>292</v>
      </c>
      <c r="F42" s="46" t="s">
        <v>293</v>
      </c>
    </row>
    <row r="43" spans="1:6" ht="37.5">
      <c r="A43" s="25">
        <v>4</v>
      </c>
      <c r="B43" s="53">
        <v>45069</v>
      </c>
      <c r="C43" s="53" t="s">
        <v>294</v>
      </c>
      <c r="D43" s="52" t="s">
        <v>287</v>
      </c>
      <c r="E43" s="52" t="s">
        <v>295</v>
      </c>
      <c r="F43" s="52" t="s">
        <v>296</v>
      </c>
    </row>
    <row r="44" spans="1:6" ht="37.5">
      <c r="A44" s="25">
        <v>5</v>
      </c>
      <c r="B44" s="53">
        <v>45090</v>
      </c>
      <c r="C44" s="53" t="s">
        <v>261</v>
      </c>
      <c r="D44" s="52" t="s">
        <v>287</v>
      </c>
      <c r="E44" s="52" t="s">
        <v>297</v>
      </c>
      <c r="F44" s="46" t="s">
        <v>298</v>
      </c>
    </row>
    <row r="45" spans="1:6" ht="37.5">
      <c r="A45" s="25">
        <v>6</v>
      </c>
      <c r="B45" s="53">
        <v>45099</v>
      </c>
      <c r="C45" s="53" t="s">
        <v>261</v>
      </c>
      <c r="D45" s="52" t="s">
        <v>287</v>
      </c>
      <c r="E45" s="52" t="s">
        <v>299</v>
      </c>
      <c r="F45" s="46" t="s">
        <v>300</v>
      </c>
    </row>
    <row r="46" spans="1:6" ht="37.5">
      <c r="A46" s="25">
        <v>7</v>
      </c>
      <c r="B46" s="53">
        <v>45099</v>
      </c>
      <c r="C46" s="53" t="s">
        <v>261</v>
      </c>
      <c r="D46" s="52" t="s">
        <v>287</v>
      </c>
      <c r="E46" s="52" t="s">
        <v>301</v>
      </c>
      <c r="F46" s="46" t="s">
        <v>302</v>
      </c>
    </row>
    <row r="47" spans="1:6" ht="37.5">
      <c r="A47" s="25">
        <v>8</v>
      </c>
      <c r="B47" s="53">
        <v>45114</v>
      </c>
      <c r="C47" s="53" t="s">
        <v>261</v>
      </c>
      <c r="D47" s="52" t="s">
        <v>287</v>
      </c>
      <c r="E47" s="52" t="s">
        <v>303</v>
      </c>
      <c r="F47" s="46" t="s">
        <v>304</v>
      </c>
    </row>
    <row r="48" spans="1:6" ht="37.5">
      <c r="A48" s="25">
        <v>9</v>
      </c>
      <c r="B48" s="53">
        <v>45117</v>
      </c>
      <c r="C48" s="53" t="s">
        <v>261</v>
      </c>
      <c r="D48" s="52" t="s">
        <v>287</v>
      </c>
      <c r="E48" s="52" t="s">
        <v>305</v>
      </c>
      <c r="F48" s="46" t="s">
        <v>306</v>
      </c>
    </row>
    <row r="49" spans="1:6" ht="37.5">
      <c r="A49" s="25">
        <v>10</v>
      </c>
      <c r="B49" s="53">
        <v>45120</v>
      </c>
      <c r="C49" s="53" t="s">
        <v>261</v>
      </c>
      <c r="D49" s="52" t="s">
        <v>287</v>
      </c>
      <c r="E49" s="52" t="s">
        <v>307</v>
      </c>
      <c r="F49" s="52" t="s">
        <v>235</v>
      </c>
    </row>
    <row r="50" spans="1:6">
      <c r="A50" s="25">
        <v>11</v>
      </c>
      <c r="B50" s="53">
        <v>45124</v>
      </c>
      <c r="C50" s="53" t="s">
        <v>308</v>
      </c>
      <c r="D50" s="52" t="s">
        <v>309</v>
      </c>
      <c r="E50" s="52" t="s">
        <v>310</v>
      </c>
      <c r="F50" s="52" t="s">
        <v>235</v>
      </c>
    </row>
    <row r="51" spans="1:6">
      <c r="A51" s="25">
        <v>12</v>
      </c>
      <c r="B51" s="53">
        <v>45125</v>
      </c>
      <c r="C51" s="53" t="s">
        <v>223</v>
      </c>
      <c r="D51" s="52" t="s">
        <v>287</v>
      </c>
      <c r="E51" s="52" t="s">
        <v>311</v>
      </c>
      <c r="F51" s="57" t="s">
        <v>312</v>
      </c>
    </row>
    <row r="52" spans="1:6">
      <c r="A52" s="25">
        <v>13</v>
      </c>
      <c r="B52" s="53">
        <v>45126</v>
      </c>
      <c r="C52" s="53" t="s">
        <v>223</v>
      </c>
      <c r="D52" s="52" t="s">
        <v>287</v>
      </c>
      <c r="E52" s="52" t="s">
        <v>313</v>
      </c>
      <c r="F52" s="52" t="s">
        <v>235</v>
      </c>
    </row>
    <row r="53" spans="1:6">
      <c r="A53" s="25">
        <v>14</v>
      </c>
      <c r="B53" s="27">
        <v>45126</v>
      </c>
      <c r="C53" s="28" t="s">
        <v>308</v>
      </c>
      <c r="D53" s="28" t="s">
        <v>309</v>
      </c>
      <c r="E53" s="52" t="s">
        <v>314</v>
      </c>
      <c r="F53" s="52" t="s">
        <v>235</v>
      </c>
    </row>
    <row r="54" spans="1:6" ht="25">
      <c r="A54" s="45">
        <v>15</v>
      </c>
      <c r="B54" s="31">
        <v>45132</v>
      </c>
      <c r="C54" s="32" t="s">
        <v>308</v>
      </c>
      <c r="D54" s="32" t="s">
        <v>309</v>
      </c>
      <c r="E54" s="32" t="s">
        <v>315</v>
      </c>
      <c r="F54" s="58" t="s">
        <v>316</v>
      </c>
    </row>
    <row r="55" spans="1:6" ht="25">
      <c r="A55" s="45">
        <v>16</v>
      </c>
      <c r="B55" s="31">
        <v>45132</v>
      </c>
      <c r="C55" s="32" t="s">
        <v>223</v>
      </c>
      <c r="D55" s="32" t="s">
        <v>287</v>
      </c>
      <c r="E55" s="32" t="s">
        <v>317</v>
      </c>
      <c r="F55" s="59" t="s">
        <v>318</v>
      </c>
    </row>
    <row r="56" spans="1:6" ht="43.5">
      <c r="A56" s="25">
        <v>17</v>
      </c>
      <c r="B56" s="31">
        <v>45132</v>
      </c>
      <c r="C56" s="53" t="s">
        <v>261</v>
      </c>
      <c r="D56" s="52" t="s">
        <v>287</v>
      </c>
      <c r="E56" s="52" t="s">
        <v>319</v>
      </c>
      <c r="F56" s="46" t="s">
        <v>320</v>
      </c>
    </row>
    <row r="57" spans="1:6" ht="37.5">
      <c r="A57" s="25">
        <v>18</v>
      </c>
      <c r="B57" s="31">
        <v>45139</v>
      </c>
      <c r="C57" s="53" t="s">
        <v>261</v>
      </c>
      <c r="D57" s="52" t="s">
        <v>287</v>
      </c>
      <c r="E57" s="52" t="s">
        <v>321</v>
      </c>
      <c r="F57" s="46" t="s">
        <v>322</v>
      </c>
    </row>
    <row r="58" spans="1:6" ht="37.5">
      <c r="A58" s="25">
        <v>19</v>
      </c>
      <c r="B58" s="31">
        <v>45146</v>
      </c>
      <c r="C58" s="53" t="s">
        <v>261</v>
      </c>
      <c r="D58" s="52" t="s">
        <v>287</v>
      </c>
      <c r="E58" s="52" t="s">
        <v>323</v>
      </c>
      <c r="F58" s="46" t="s">
        <v>324</v>
      </c>
    </row>
    <row r="59" spans="1:6" ht="37.5">
      <c r="A59" s="25">
        <v>20</v>
      </c>
      <c r="B59" s="31">
        <v>45146</v>
      </c>
      <c r="C59" s="53" t="s">
        <v>261</v>
      </c>
      <c r="D59" s="52" t="s">
        <v>287</v>
      </c>
      <c r="E59" s="52" t="s">
        <v>325</v>
      </c>
      <c r="F59" s="46" t="s">
        <v>326</v>
      </c>
    </row>
    <row r="60" spans="1:6" ht="37.5">
      <c r="A60" s="25">
        <v>21</v>
      </c>
      <c r="B60" s="31">
        <v>45146</v>
      </c>
      <c r="C60" s="53" t="s">
        <v>261</v>
      </c>
      <c r="D60" s="52" t="s">
        <v>287</v>
      </c>
      <c r="E60" s="52" t="s">
        <v>327</v>
      </c>
      <c r="F60" s="46" t="s">
        <v>328</v>
      </c>
    </row>
    <row r="61" spans="1:6" ht="58">
      <c r="A61" s="25">
        <v>22</v>
      </c>
      <c r="B61" s="31">
        <v>45156</v>
      </c>
      <c r="C61" s="53" t="s">
        <v>261</v>
      </c>
      <c r="D61" s="52" t="s">
        <v>287</v>
      </c>
      <c r="E61" s="52" t="s">
        <v>329</v>
      </c>
      <c r="F61" s="46" t="s">
        <v>330</v>
      </c>
    </row>
    <row r="62" spans="1:6">
      <c r="A62" s="45">
        <v>23</v>
      </c>
      <c r="B62" s="31">
        <v>45160</v>
      </c>
      <c r="C62" s="32" t="s">
        <v>308</v>
      </c>
      <c r="D62" s="32" t="s">
        <v>309</v>
      </c>
      <c r="E62" s="32" t="s">
        <v>331</v>
      </c>
      <c r="F62" s="52" t="s">
        <v>235</v>
      </c>
    </row>
    <row r="63" spans="1:6" ht="37.5">
      <c r="A63" s="45">
        <v>24</v>
      </c>
      <c r="B63" s="31">
        <v>45160</v>
      </c>
      <c r="C63" s="32" t="s">
        <v>223</v>
      </c>
      <c r="D63" s="32" t="s">
        <v>287</v>
      </c>
      <c r="E63" s="32" t="s">
        <v>332</v>
      </c>
      <c r="F63" s="58" t="s">
        <v>333</v>
      </c>
    </row>
    <row r="64" spans="1:6" ht="58">
      <c r="A64" s="25">
        <v>25</v>
      </c>
      <c r="B64" s="31">
        <v>45169</v>
      </c>
      <c r="C64" s="53" t="s">
        <v>261</v>
      </c>
      <c r="D64" s="52" t="s">
        <v>287</v>
      </c>
      <c r="E64" s="52" t="s">
        <v>334</v>
      </c>
      <c r="F64" s="46" t="s">
        <v>335</v>
      </c>
    </row>
    <row r="65" spans="1:6" ht="37.5">
      <c r="A65" s="45">
        <v>26</v>
      </c>
      <c r="B65" s="31">
        <v>45175</v>
      </c>
      <c r="C65" s="32" t="s">
        <v>261</v>
      </c>
      <c r="D65" s="32" t="s">
        <v>287</v>
      </c>
      <c r="E65" s="32" t="s">
        <v>336</v>
      </c>
      <c r="F65" s="59" t="s">
        <v>337</v>
      </c>
    </row>
    <row r="66" spans="1:6" ht="37.5">
      <c r="A66" s="25">
        <v>27</v>
      </c>
      <c r="B66" s="31">
        <v>45181</v>
      </c>
      <c r="C66" s="53" t="s">
        <v>261</v>
      </c>
      <c r="D66" s="52" t="s">
        <v>287</v>
      </c>
      <c r="E66" s="52" t="s">
        <v>338</v>
      </c>
      <c r="F66" s="52" t="s">
        <v>235</v>
      </c>
    </row>
    <row r="67" spans="1:6" ht="37.5">
      <c r="A67" s="45">
        <v>28</v>
      </c>
      <c r="B67" s="31">
        <v>45181</v>
      </c>
      <c r="C67" s="32" t="s">
        <v>223</v>
      </c>
      <c r="D67" s="32" t="s">
        <v>287</v>
      </c>
      <c r="E67" s="32" t="s">
        <v>339</v>
      </c>
      <c r="F67" s="52" t="s">
        <v>235</v>
      </c>
    </row>
    <row r="68" spans="1:6">
      <c r="A68" s="45">
        <v>29</v>
      </c>
      <c r="B68" s="31">
        <v>45183</v>
      </c>
      <c r="C68" s="32" t="s">
        <v>223</v>
      </c>
      <c r="D68" s="32" t="s">
        <v>287</v>
      </c>
      <c r="E68" s="32" t="s">
        <v>340</v>
      </c>
      <c r="F68" s="52" t="s">
        <v>235</v>
      </c>
    </row>
    <row r="69" spans="1:6">
      <c r="A69" s="45">
        <v>30</v>
      </c>
      <c r="B69" s="31">
        <v>45184</v>
      </c>
      <c r="C69" s="32" t="s">
        <v>308</v>
      </c>
      <c r="D69" s="32" t="s">
        <v>309</v>
      </c>
      <c r="E69" s="32" t="s">
        <v>341</v>
      </c>
      <c r="F69" s="52" t="s">
        <v>235</v>
      </c>
    </row>
    <row r="70" spans="1:6" ht="25">
      <c r="A70" s="45">
        <v>31</v>
      </c>
      <c r="B70" s="31">
        <v>45190</v>
      </c>
      <c r="C70" s="32" t="s">
        <v>223</v>
      </c>
      <c r="D70" s="32" t="s">
        <v>287</v>
      </c>
      <c r="E70" s="32" t="s">
        <v>342</v>
      </c>
      <c r="F70" s="52" t="s">
        <v>235</v>
      </c>
    </row>
    <row r="71" spans="1:6">
      <c r="A71" s="45">
        <v>32</v>
      </c>
      <c r="B71" s="31">
        <v>45201</v>
      </c>
      <c r="C71" s="32" t="s">
        <v>223</v>
      </c>
      <c r="D71" s="32" t="s">
        <v>287</v>
      </c>
      <c r="E71" s="32" t="s">
        <v>343</v>
      </c>
      <c r="F71" s="52" t="s">
        <v>235</v>
      </c>
    </row>
    <row r="72" spans="1:6" ht="50">
      <c r="A72" s="25">
        <v>33</v>
      </c>
      <c r="B72" s="31">
        <v>45208</v>
      </c>
      <c r="C72" s="53" t="s">
        <v>261</v>
      </c>
      <c r="D72" s="52" t="s">
        <v>287</v>
      </c>
      <c r="E72" s="52" t="s">
        <v>344</v>
      </c>
      <c r="F72" s="46" t="s">
        <v>345</v>
      </c>
    </row>
    <row r="73" spans="1:6" ht="25">
      <c r="A73" s="45">
        <v>34</v>
      </c>
      <c r="B73" s="31">
        <v>45216</v>
      </c>
      <c r="C73" s="32" t="s">
        <v>223</v>
      </c>
      <c r="D73" s="32" t="s">
        <v>287</v>
      </c>
      <c r="E73" s="32" t="s">
        <v>346</v>
      </c>
      <c r="F73" s="46" t="s">
        <v>347</v>
      </c>
    </row>
    <row r="74" spans="1:6">
      <c r="A74" s="45">
        <v>35</v>
      </c>
      <c r="B74" s="31">
        <v>45217</v>
      </c>
      <c r="C74" s="32" t="s">
        <v>223</v>
      </c>
      <c r="D74" s="32" t="s">
        <v>287</v>
      </c>
      <c r="E74" s="32" t="s">
        <v>348</v>
      </c>
      <c r="F74" s="59" t="s">
        <v>349</v>
      </c>
    </row>
    <row r="75" spans="1:6">
      <c r="A75" s="45">
        <v>36</v>
      </c>
      <c r="B75" s="31">
        <v>45230</v>
      </c>
      <c r="C75" s="32" t="s">
        <v>223</v>
      </c>
      <c r="D75" s="32" t="s">
        <v>287</v>
      </c>
      <c r="E75" s="32" t="s">
        <v>350</v>
      </c>
      <c r="F75" s="52" t="s">
        <v>235</v>
      </c>
    </row>
    <row r="76" spans="1:6" ht="50">
      <c r="A76" s="25">
        <v>37</v>
      </c>
      <c r="B76" s="31">
        <v>45232</v>
      </c>
      <c r="C76" s="53" t="s">
        <v>261</v>
      </c>
      <c r="D76" s="52" t="s">
        <v>287</v>
      </c>
      <c r="E76" s="52" t="s">
        <v>351</v>
      </c>
      <c r="F76" s="46" t="s">
        <v>352</v>
      </c>
    </row>
    <row r="77" spans="1:6">
      <c r="A77" s="45">
        <v>38</v>
      </c>
      <c r="B77" s="31">
        <v>45233</v>
      </c>
      <c r="C77" s="32" t="s">
        <v>308</v>
      </c>
      <c r="D77" s="32" t="s">
        <v>309</v>
      </c>
      <c r="E77" s="32" t="s">
        <v>353</v>
      </c>
      <c r="F77" s="52" t="s">
        <v>235</v>
      </c>
    </row>
    <row r="78" spans="1:6">
      <c r="A78" s="60">
        <v>39</v>
      </c>
      <c r="B78" s="47">
        <v>45237</v>
      </c>
      <c r="C78" s="48" t="s">
        <v>223</v>
      </c>
      <c r="D78" s="48" t="s">
        <v>287</v>
      </c>
      <c r="E78" s="48" t="s">
        <v>353</v>
      </c>
      <c r="F78" s="28" t="s">
        <v>235</v>
      </c>
    </row>
    <row r="79" spans="1:6">
      <c r="A79" s="30">
        <v>40</v>
      </c>
      <c r="B79" s="31">
        <v>45237</v>
      </c>
      <c r="C79" s="32" t="s">
        <v>223</v>
      </c>
      <c r="D79" s="32" t="s">
        <v>287</v>
      </c>
      <c r="E79" s="32" t="s">
        <v>353</v>
      </c>
      <c r="F79" s="32" t="s">
        <v>235</v>
      </c>
    </row>
    <row r="80" spans="1:6" ht="37.5">
      <c r="A80" s="45">
        <v>41</v>
      </c>
      <c r="B80" s="31">
        <v>45240</v>
      </c>
      <c r="C80" s="32" t="s">
        <v>261</v>
      </c>
      <c r="D80" s="32" t="s">
        <v>287</v>
      </c>
      <c r="E80" s="32" t="s">
        <v>354</v>
      </c>
      <c r="F80" s="46" t="s">
        <v>355</v>
      </c>
    </row>
    <row r="81" spans="1:6" ht="37.5">
      <c r="A81" s="25">
        <v>42</v>
      </c>
      <c r="B81" s="31">
        <v>45244</v>
      </c>
      <c r="C81" s="53" t="s">
        <v>261</v>
      </c>
      <c r="D81" s="52" t="s">
        <v>287</v>
      </c>
      <c r="E81" s="52" t="s">
        <v>356</v>
      </c>
      <c r="F81" s="52" t="s">
        <v>235</v>
      </c>
    </row>
    <row r="82" spans="1:6" ht="25">
      <c r="A82" s="25">
        <v>43</v>
      </c>
      <c r="B82" s="31">
        <v>45244</v>
      </c>
      <c r="C82" s="53" t="s">
        <v>308</v>
      </c>
      <c r="D82" s="52" t="s">
        <v>309</v>
      </c>
      <c r="E82" s="52" t="s">
        <v>357</v>
      </c>
      <c r="F82" s="52" t="s">
        <v>235</v>
      </c>
    </row>
    <row r="83" spans="1:6" ht="37.5">
      <c r="A83" s="25">
        <v>44</v>
      </c>
      <c r="B83" s="31">
        <v>45244</v>
      </c>
      <c r="C83" s="53" t="s">
        <v>261</v>
      </c>
      <c r="D83" s="52" t="s">
        <v>287</v>
      </c>
      <c r="E83" s="52" t="s">
        <v>358</v>
      </c>
      <c r="F83" s="52" t="s">
        <v>235</v>
      </c>
    </row>
    <row r="84" spans="1:6" ht="37.5">
      <c r="A84" s="30">
        <v>45</v>
      </c>
      <c r="B84" s="31">
        <v>45244</v>
      </c>
      <c r="C84" s="32" t="s">
        <v>261</v>
      </c>
      <c r="D84" s="32" t="s">
        <v>287</v>
      </c>
      <c r="E84" s="32" t="s">
        <v>359</v>
      </c>
      <c r="F84" s="32" t="s">
        <v>235</v>
      </c>
    </row>
    <row r="85" spans="1:6" ht="25">
      <c r="A85" s="61">
        <v>46</v>
      </c>
      <c r="B85" s="47">
        <v>45245</v>
      </c>
      <c r="C85" s="48" t="s">
        <v>223</v>
      </c>
      <c r="D85" s="48" t="s">
        <v>287</v>
      </c>
      <c r="E85" s="48" t="s">
        <v>360</v>
      </c>
      <c r="F85" s="48" t="s">
        <v>235</v>
      </c>
    </row>
    <row r="86" spans="1:6">
      <c r="A86" s="25">
        <v>47</v>
      </c>
      <c r="B86" s="31">
        <v>45245</v>
      </c>
      <c r="C86" s="53" t="s">
        <v>223</v>
      </c>
      <c r="D86" s="52" t="s">
        <v>287</v>
      </c>
      <c r="E86" s="52" t="s">
        <v>361</v>
      </c>
      <c r="F86" s="52" t="s">
        <v>235</v>
      </c>
    </row>
    <row r="87" spans="1:6" ht="37.5">
      <c r="A87" s="30">
        <v>48</v>
      </c>
      <c r="B87" s="31">
        <v>45245</v>
      </c>
      <c r="C87" s="32" t="s">
        <v>261</v>
      </c>
      <c r="D87" s="32" t="s">
        <v>287</v>
      </c>
      <c r="E87" s="32" t="s">
        <v>360</v>
      </c>
      <c r="F87" s="32" t="s">
        <v>235</v>
      </c>
    </row>
    <row r="88" spans="1:6" ht="37.5">
      <c r="A88" s="25">
        <v>49</v>
      </c>
      <c r="B88" s="31">
        <v>45245</v>
      </c>
      <c r="C88" s="53" t="s">
        <v>261</v>
      </c>
      <c r="D88" s="52" t="s">
        <v>287</v>
      </c>
      <c r="E88" s="52" t="s">
        <v>362</v>
      </c>
      <c r="F88" s="52" t="s">
        <v>235</v>
      </c>
    </row>
    <row r="89" spans="1:6" ht="37.5">
      <c r="A89" s="26">
        <v>50</v>
      </c>
      <c r="B89" s="47">
        <v>45245</v>
      </c>
      <c r="C89" s="27" t="s">
        <v>261</v>
      </c>
      <c r="D89" s="28" t="s">
        <v>287</v>
      </c>
      <c r="E89" s="28" t="s">
        <v>363</v>
      </c>
      <c r="F89" s="28" t="s">
        <v>235</v>
      </c>
    </row>
    <row r="90" spans="1:6" ht="87">
      <c r="A90" s="62">
        <v>51</v>
      </c>
      <c r="B90" s="47">
        <v>45252</v>
      </c>
      <c r="C90" s="48" t="s">
        <v>223</v>
      </c>
      <c r="D90" s="48" t="s">
        <v>287</v>
      </c>
      <c r="E90" s="48" t="s">
        <v>354</v>
      </c>
      <c r="F90" s="41" t="s">
        <v>364</v>
      </c>
    </row>
    <row r="91" spans="1:6">
      <c r="A91" s="225" t="s">
        <v>365</v>
      </c>
      <c r="B91" s="225"/>
      <c r="C91" s="225"/>
      <c r="D91" s="225"/>
      <c r="E91" s="225"/>
      <c r="F91" s="225"/>
    </row>
    <row r="92" spans="1:6" ht="87">
      <c r="A92" s="63">
        <v>52</v>
      </c>
      <c r="B92" s="43">
        <v>45314</v>
      </c>
      <c r="C92" s="44" t="s">
        <v>223</v>
      </c>
      <c r="D92" s="44" t="s">
        <v>287</v>
      </c>
      <c r="E92" s="44" t="s">
        <v>354</v>
      </c>
      <c r="F92" s="64" t="s">
        <v>364</v>
      </c>
    </row>
    <row r="93" spans="1:6" ht="101.5">
      <c r="A93" s="30">
        <v>53</v>
      </c>
      <c r="B93" s="43">
        <v>45315</v>
      </c>
      <c r="C93" s="44" t="s">
        <v>223</v>
      </c>
      <c r="D93" s="44" t="s">
        <v>287</v>
      </c>
      <c r="E93" s="44" t="s">
        <v>366</v>
      </c>
      <c r="F93" s="65" t="s">
        <v>367</v>
      </c>
    </row>
    <row r="94" spans="1:6" ht="188.5">
      <c r="A94" s="30">
        <v>54</v>
      </c>
      <c r="B94" s="31">
        <v>45316</v>
      </c>
      <c r="C94" s="32" t="s">
        <v>223</v>
      </c>
      <c r="D94" s="32" t="s">
        <v>287</v>
      </c>
      <c r="E94" s="32" t="s">
        <v>354</v>
      </c>
      <c r="F94" s="50" t="s">
        <v>368</v>
      </c>
    </row>
  </sheetData>
  <mergeCells count="16">
    <mergeCell ref="A1:F1"/>
    <mergeCell ref="A3:F3"/>
    <mergeCell ref="A8:F8"/>
    <mergeCell ref="A11:A12"/>
    <mergeCell ref="B11:B12"/>
    <mergeCell ref="C11:C12"/>
    <mergeCell ref="D11:D12"/>
    <mergeCell ref="E11:E12"/>
    <mergeCell ref="A39:F39"/>
    <mergeCell ref="A91:F91"/>
    <mergeCell ref="A14:A15"/>
    <mergeCell ref="B14:B15"/>
    <mergeCell ref="C14:C15"/>
    <mergeCell ref="D14:D15"/>
    <mergeCell ref="E14:E15"/>
    <mergeCell ref="A24:F24"/>
  </mergeCells>
  <hyperlinks>
    <hyperlink ref="F4" r:id="rId1" xr:uid="{AA6DA346-F189-49EB-BFD6-BC5A1E5316FA}"/>
    <hyperlink ref="F5" r:id="rId2" xr:uid="{F4733775-78CF-4568-B602-792A2657670E}"/>
    <hyperlink ref="F6" r:id="rId3" xr:uid="{E6FB5D35-FF3B-43E4-A9A8-733BEA49D121}"/>
    <hyperlink ref="F7" r:id="rId4" xr:uid="{9D89B289-136A-4D82-845C-89F5A7CEBBAA}"/>
    <hyperlink ref="F10" r:id="rId5" xr:uid="{5CEBDA80-2F83-4D95-9357-412AADB7DFFD}"/>
    <hyperlink ref="F11" r:id="rId6" xr:uid="{A3F2EC01-114E-468B-8FA3-DD6803C04BE6}"/>
    <hyperlink ref="F12" r:id="rId7" xr:uid="{B6C88343-6482-402C-A4E5-41EBF0B210AA}"/>
    <hyperlink ref="F14" r:id="rId8" xr:uid="{B9AA2E37-768C-40B7-8676-422257EF46AE}"/>
    <hyperlink ref="F15" r:id="rId9" xr:uid="{3C907FE6-6C64-44B5-8AD6-F79E4D6525B1}"/>
    <hyperlink ref="F16" r:id="rId10" xr:uid="{8EB1B630-B37A-4BCB-91F3-7C284B3797FA}"/>
    <hyperlink ref="F18" r:id="rId11" xr:uid="{79239412-E747-40BD-BF3B-B49C6767FD75}"/>
    <hyperlink ref="F19" r:id="rId12" xr:uid="{8812CBCE-05A7-42A6-A0C0-44407EB99993}"/>
    <hyperlink ref="F23" r:id="rId13" display="488-AA-AAC-CNA-Slct estado de los programas radicados en el marco de la AAC y RN radicados ante el CNA_x000a_Correo de Universidad Distrital Francisco José de Caldas - AA-AAC-CNA-SOLICITUD ESTADO DE LOS PROGRAMAS RADICADOS EN EL MARCO DE LA ACREDITACIÓN DE ALTA CALIDAD Y RENOVACIÓN RADICADOS ANTE EL CNA" xr:uid="{677A35B4-FA5C-406C-954D-EFD3B318A45E}"/>
    <hyperlink ref="F21" r:id="rId14" xr:uid="{51260AC4-6B9C-4DC7-91FD-A67B3D12A3B2}"/>
    <hyperlink ref="F36" r:id="rId15" xr:uid="{38852977-3049-4A51-B493-A2866DAB872B}"/>
    <hyperlink ref="F37" r:id="rId16" xr:uid="{F372E682-44C3-4C12-9017-D97EA19F6E6F}"/>
    <hyperlink ref="F25" r:id="rId17" xr:uid="{06797A40-73C7-4555-A742-99527C5B4B45}"/>
    <hyperlink ref="F26" r:id="rId18" xr:uid="{5775016B-4129-4599-B532-6D88D7E22F84}"/>
    <hyperlink ref="F27" r:id="rId19" xr:uid="{DDB9CA19-7745-4015-8466-45DD80A741C0}"/>
    <hyperlink ref="F28" r:id="rId20" xr:uid="{3DBC18A7-E374-43AA-8D87-FB8BDD7FB02B}"/>
    <hyperlink ref="F29" r:id="rId21" xr:uid="{0B2BFB88-6951-4C0B-9E2F-B464A55DCE27}"/>
    <hyperlink ref="F30" r:id="rId22" xr:uid="{17841B47-D2A1-4A2D-9199-E87E391BB6CA}"/>
    <hyperlink ref="F31" r:id="rId23" xr:uid="{1375C7A7-5DB5-4357-BF17-5FC94FD7D71D}"/>
    <hyperlink ref="F32" r:id="rId24" xr:uid="{8D6D83FC-7732-4514-A9D7-8BD5768F644B}"/>
    <hyperlink ref="F33" r:id="rId25" xr:uid="{6D653B00-5761-4ED8-AEC2-44D6F2E04468}"/>
    <hyperlink ref="F34" r:id="rId26" xr:uid="{7C5548D8-C6A7-4D67-8700-E256C31AF27B}"/>
    <hyperlink ref="F35" r:id="rId27" xr:uid="{44CEF5E1-DDE9-4F63-A669-2ECC726074F8}"/>
    <hyperlink ref="F51" r:id="rId28" xr:uid="{8F4F7FF3-8408-4953-A3B1-10240049BC10}"/>
    <hyperlink ref="F54" r:id="rId29" xr:uid="{57E333F8-8040-4313-9AD9-3D3E7709296B}"/>
    <hyperlink ref="F63" r:id="rId30" xr:uid="{7C1CF8F2-6F80-4083-92CE-F6ACA6459049}"/>
    <hyperlink ref="F65" r:id="rId31" xr:uid="{0E1ED38A-E69D-4CD9-A516-7107EF216A5D}"/>
    <hyperlink ref="F55" r:id="rId32" xr:uid="{95D666D0-5A11-4D65-B915-3FAA7DE1179C}"/>
    <hyperlink ref="F74" r:id="rId33" xr:uid="{DA05054A-8607-4B63-A5AD-A3BAD0428FFB}"/>
    <hyperlink ref="F73" r:id="rId34" xr:uid="{A4DBB7CE-5AC1-4469-ADA3-F0E27CB9291A}"/>
    <hyperlink ref="F80" r:id="rId35" xr:uid="{73635103-A3F8-4062-88B1-689E71174EEF}"/>
    <hyperlink ref="F90" r:id="rId36" xr:uid="{C2639481-6D8B-4DF1-96D6-5CF098E7970C}"/>
    <hyperlink ref="F40" r:id="rId37" xr:uid="{D1C93491-C22A-4B83-8A9F-0C31F65A7A6B}"/>
    <hyperlink ref="F41" r:id="rId38" xr:uid="{5E2CC062-3D2D-488C-AB10-7CF2F6564F49}"/>
    <hyperlink ref="F42" r:id="rId39" xr:uid="{8B4CAB5D-D003-4098-8489-6258E61E6DAD}"/>
    <hyperlink ref="F44" r:id="rId40" xr:uid="{5B60BFC0-601D-4B19-9C0C-9157B4CDC671}"/>
    <hyperlink ref="F45" r:id="rId41" xr:uid="{358FC77C-AC89-4A81-B943-0F98C9EB5C9E}"/>
    <hyperlink ref="F46" r:id="rId42" xr:uid="{433D2410-634A-4B99-B868-3FC14CD7AD26}"/>
    <hyperlink ref="F47" r:id="rId43" xr:uid="{9908C94D-9723-4F8E-8231-74AFF058EDD6}"/>
    <hyperlink ref="F48" r:id="rId44" xr:uid="{70FB0CAC-02E8-44FE-9E6F-9694F9DED282}"/>
    <hyperlink ref="F56" r:id="rId45" xr:uid="{7D77240F-2C6E-47D5-AD40-2426C5A87CC7}"/>
    <hyperlink ref="F57" r:id="rId46" xr:uid="{9F6E1266-633F-4604-AD81-3DD94267D506}"/>
    <hyperlink ref="F58" r:id="rId47" xr:uid="{37770788-B9EE-4644-8514-01E29C8A23D0}"/>
    <hyperlink ref="F59" r:id="rId48" xr:uid="{8A3BD0CE-DE88-4EF2-B5D4-B50A2603AA55}"/>
    <hyperlink ref="F60" r:id="rId49" xr:uid="{6ACDF7D9-DFC1-4DCE-9683-D9F1415981F5}"/>
    <hyperlink ref="F61" r:id="rId50" xr:uid="{E30E14CE-256C-4539-A566-637FDC6305A3}"/>
    <hyperlink ref="F64" r:id="rId51" xr:uid="{D6D70497-83CF-489B-A728-A514B83F30C6}"/>
    <hyperlink ref="F72" r:id="rId52" xr:uid="{379BF3DB-7D60-458B-82E7-013125862507}"/>
    <hyperlink ref="F76" r:id="rId53" xr:uid="{C36FF938-A584-4008-975B-544CF3450C18}"/>
    <hyperlink ref="F93" r:id="rId54" xr:uid="{42A2C790-7120-481F-9CC2-3861E6E17CF4}"/>
    <hyperlink ref="F92" r:id="rId55" xr:uid="{8323BDDC-500E-4C9C-85EF-5791A1157172}"/>
    <hyperlink ref="F94" r:id="rId56" display="2015-RESOLUCION 2015_x000a_20798-RC-FI-Rta Slc plan de estudios MCIC-03-11-23_x000a_acta_2021-014 CA_x000a_anexo 2. 013- AVL PARA CAFI_x000a_anexo 3. Aval Facultad_x000a_Anexo Fwd Radicacion Documentos de registro calificado (17-03-21)_x000a_articles-387348_archivo_pdf_x000a_comi2_2021-008 CSU_x000a_Res N°16163 de septiembre de 2023-MCIC-Inv_x000a_res_2014-155_x000a_Resolución No. 07, MCIC, investigación.docx (2)" xr:uid="{EDD19116-9F0C-4812-92E2-38546C26A14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46E1-6653-47ED-A2A4-6ECD25BB74A7}">
  <sheetPr>
    <pageSetUpPr fitToPage="1"/>
  </sheetPr>
  <dimension ref="A1:T54"/>
  <sheetViews>
    <sheetView topLeftCell="B22" zoomScale="70" zoomScaleNormal="70" workbookViewId="0">
      <selection activeCell="R58" sqref="R58"/>
    </sheetView>
  </sheetViews>
  <sheetFormatPr baseColWidth="10" defaultColWidth="36.90625" defaultRowHeight="12.5"/>
  <cols>
    <col min="1" max="1" width="3.7265625" style="129" hidden="1" customWidth="1"/>
    <col min="2" max="2" width="33.453125" style="129" customWidth="1"/>
    <col min="3" max="3" width="18.453125" style="129" bestFit="1" customWidth="1"/>
    <col min="4" max="4" width="5.90625" style="129" bestFit="1" customWidth="1"/>
    <col min="5" max="6" width="3.6328125" style="129" bestFit="1" customWidth="1"/>
    <col min="7" max="7" width="4.54296875" style="129" bestFit="1" customWidth="1"/>
    <col min="8" max="8" width="11" style="129" customWidth="1"/>
    <col min="9" max="9" width="6.90625" style="129" bestFit="1" customWidth="1"/>
    <col min="10" max="10" width="40.1796875" style="129" customWidth="1"/>
    <col min="11" max="11" width="18.453125" style="129" bestFit="1" customWidth="1"/>
    <col min="12" max="12" width="6.90625" style="129" bestFit="1" customWidth="1"/>
    <col min="13" max="14" width="3.6328125" style="129" bestFit="1" customWidth="1"/>
    <col min="15" max="15" width="4.54296875" style="129" bestFit="1" customWidth="1"/>
    <col min="16" max="16" width="10.7265625" style="129" customWidth="1"/>
    <col min="17" max="17" width="6.90625" style="129" bestFit="1" customWidth="1"/>
    <col min="18" max="16384" width="36.90625" style="129"/>
  </cols>
  <sheetData>
    <row r="1" spans="1:20" ht="92" customHeight="1">
      <c r="A1" s="240" t="s">
        <v>445</v>
      </c>
      <c r="B1" s="241"/>
      <c r="C1" s="241"/>
      <c r="D1" s="241"/>
      <c r="E1" s="241"/>
      <c r="F1" s="241"/>
      <c r="G1" s="241"/>
      <c r="H1" s="241"/>
      <c r="I1" s="242"/>
      <c r="J1" s="253" t="s">
        <v>446</v>
      </c>
      <c r="K1" s="253"/>
      <c r="L1" s="253"/>
      <c r="M1" s="253"/>
      <c r="N1" s="253"/>
      <c r="O1" s="253"/>
      <c r="P1" s="253"/>
      <c r="Q1" s="253"/>
    </row>
    <row r="2" spans="1:20">
      <c r="A2" s="244" t="s">
        <v>0</v>
      </c>
      <c r="B2" s="244" t="s">
        <v>1</v>
      </c>
      <c r="C2" s="124" t="s">
        <v>2</v>
      </c>
      <c r="D2" s="244" t="s">
        <v>3</v>
      </c>
      <c r="E2" s="244" t="s">
        <v>4</v>
      </c>
      <c r="F2" s="244"/>
      <c r="G2" s="244"/>
      <c r="H2" s="244"/>
      <c r="I2" s="244" t="s">
        <v>5</v>
      </c>
      <c r="J2" s="244" t="s">
        <v>6</v>
      </c>
      <c r="K2" s="124" t="s">
        <v>2</v>
      </c>
      <c r="L2" s="244" t="s">
        <v>3</v>
      </c>
      <c r="M2" s="244" t="s">
        <v>4</v>
      </c>
      <c r="N2" s="244"/>
      <c r="O2" s="244"/>
      <c r="P2" s="244"/>
      <c r="Q2" s="244" t="s">
        <v>5</v>
      </c>
    </row>
    <row r="3" spans="1:20" ht="24.5" customHeight="1">
      <c r="A3" s="244"/>
      <c r="B3" s="244"/>
      <c r="C3" s="124" t="s">
        <v>8</v>
      </c>
      <c r="D3" s="244"/>
      <c r="E3" s="124" t="s">
        <v>9</v>
      </c>
      <c r="F3" s="124" t="s">
        <v>10</v>
      </c>
      <c r="G3" s="124" t="s">
        <v>11</v>
      </c>
      <c r="H3" s="124" t="s">
        <v>12</v>
      </c>
      <c r="I3" s="244"/>
      <c r="J3" s="244"/>
      <c r="K3" s="124" t="s">
        <v>8</v>
      </c>
      <c r="L3" s="244"/>
      <c r="M3" s="124" t="s">
        <v>9</v>
      </c>
      <c r="N3" s="124" t="s">
        <v>10</v>
      </c>
      <c r="O3" s="124" t="s">
        <v>11</v>
      </c>
      <c r="P3" s="124" t="s">
        <v>12</v>
      </c>
      <c r="Q3" s="244"/>
    </row>
    <row r="4" spans="1:20">
      <c r="A4" s="248" t="s">
        <v>13</v>
      </c>
      <c r="B4" s="248"/>
      <c r="C4" s="248"/>
      <c r="D4" s="248"/>
      <c r="E4" s="248"/>
      <c r="F4" s="248"/>
      <c r="G4" s="248"/>
      <c r="H4" s="248"/>
      <c r="I4" s="248"/>
      <c r="J4" s="248"/>
      <c r="K4" s="248"/>
      <c r="L4" s="248"/>
      <c r="M4" s="248"/>
      <c r="N4" s="248"/>
      <c r="O4" s="248"/>
      <c r="P4" s="248"/>
      <c r="Q4" s="248"/>
    </row>
    <row r="5" spans="1:20" ht="12.65" customHeight="1">
      <c r="A5" s="101"/>
      <c r="B5" s="102" t="s">
        <v>17</v>
      </c>
      <c r="C5" s="102" t="s">
        <v>444</v>
      </c>
      <c r="D5" s="102">
        <v>1</v>
      </c>
      <c r="E5" s="102">
        <v>48</v>
      </c>
      <c r="F5" s="102">
        <v>16</v>
      </c>
      <c r="G5" s="102">
        <v>128</v>
      </c>
      <c r="H5" s="102">
        <v>192</v>
      </c>
      <c r="I5" s="102">
        <v>4</v>
      </c>
      <c r="J5" s="102" t="s">
        <v>17</v>
      </c>
      <c r="K5" s="102" t="s">
        <v>444</v>
      </c>
      <c r="L5" s="102">
        <v>1</v>
      </c>
      <c r="M5" s="102">
        <v>48</v>
      </c>
      <c r="N5" s="102">
        <v>16</v>
      </c>
      <c r="O5" s="102">
        <v>128</v>
      </c>
      <c r="P5" s="102">
        <v>192</v>
      </c>
      <c r="Q5" s="102">
        <v>4</v>
      </c>
    </row>
    <row r="6" spans="1:20" s="8" customFormat="1" ht="25.5" customHeight="1">
      <c r="A6" s="186" t="s">
        <v>113</v>
      </c>
      <c r="B6" s="186"/>
      <c r="C6" s="186"/>
      <c r="D6" s="186"/>
      <c r="E6" s="186"/>
      <c r="F6" s="186"/>
      <c r="G6" s="186"/>
      <c r="H6" s="186"/>
      <c r="I6" s="186"/>
      <c r="J6" s="252" t="s">
        <v>113</v>
      </c>
      <c r="K6" s="252"/>
      <c r="L6" s="252"/>
      <c r="M6" s="252"/>
      <c r="N6" s="252"/>
      <c r="O6" s="252"/>
      <c r="P6" s="252"/>
      <c r="Q6" s="252"/>
      <c r="R6" s="129"/>
      <c r="S6" s="129"/>
      <c r="T6" s="129"/>
    </row>
    <row r="7" spans="1:20" s="8" customFormat="1" ht="21">
      <c r="A7" s="101">
        <v>2</v>
      </c>
      <c r="B7" s="102" t="s">
        <v>14</v>
      </c>
      <c r="C7" s="102" t="s">
        <v>444</v>
      </c>
      <c r="D7" s="102">
        <v>1</v>
      </c>
      <c r="E7" s="102">
        <v>48</v>
      </c>
      <c r="F7" s="102">
        <v>16</v>
      </c>
      <c r="G7" s="102">
        <v>128</v>
      </c>
      <c r="H7" s="102">
        <v>192</v>
      </c>
      <c r="I7" s="102">
        <v>4</v>
      </c>
      <c r="J7" s="102" t="s">
        <v>14</v>
      </c>
      <c r="K7" s="102" t="s">
        <v>444</v>
      </c>
      <c r="L7" s="102">
        <v>1</v>
      </c>
      <c r="M7" s="102">
        <v>48</v>
      </c>
      <c r="N7" s="102">
        <v>16</v>
      </c>
      <c r="O7" s="102">
        <v>128</v>
      </c>
      <c r="P7" s="102">
        <v>192</v>
      </c>
      <c r="Q7" s="102">
        <v>4</v>
      </c>
      <c r="R7" s="129"/>
      <c r="S7" s="129"/>
      <c r="T7" s="129"/>
    </row>
    <row r="8" spans="1:20" ht="12.65" customHeight="1">
      <c r="A8" s="101">
        <v>3</v>
      </c>
      <c r="B8" s="102" t="s">
        <v>16</v>
      </c>
      <c r="C8" s="102" t="s">
        <v>444</v>
      </c>
      <c r="D8" s="102">
        <v>1</v>
      </c>
      <c r="E8" s="102">
        <v>48</v>
      </c>
      <c r="F8" s="102">
        <v>16</v>
      </c>
      <c r="G8" s="102">
        <v>128</v>
      </c>
      <c r="H8" s="102">
        <v>192</v>
      </c>
      <c r="I8" s="102">
        <v>4</v>
      </c>
      <c r="J8" s="102" t="s">
        <v>16</v>
      </c>
      <c r="K8" s="102" t="s">
        <v>444</v>
      </c>
      <c r="L8" s="102">
        <v>1</v>
      </c>
      <c r="M8" s="102">
        <v>48</v>
      </c>
      <c r="N8" s="102">
        <v>16</v>
      </c>
      <c r="O8" s="102">
        <v>128</v>
      </c>
      <c r="P8" s="102">
        <v>192</v>
      </c>
      <c r="Q8" s="102">
        <v>4</v>
      </c>
    </row>
    <row r="9" spans="1:20" s="8" customFormat="1" ht="13" customHeight="1">
      <c r="A9" s="249" t="s">
        <v>18</v>
      </c>
      <c r="B9" s="249"/>
      <c r="C9" s="249"/>
      <c r="D9" s="103">
        <v>1</v>
      </c>
      <c r="E9" s="103">
        <v>48</v>
      </c>
      <c r="F9" s="103">
        <v>16</v>
      </c>
      <c r="G9" s="103">
        <v>128</v>
      </c>
      <c r="H9" s="104">
        <v>192</v>
      </c>
      <c r="I9" s="105">
        <v>4</v>
      </c>
      <c r="J9" s="249" t="s">
        <v>18</v>
      </c>
      <c r="K9" s="249"/>
      <c r="L9" s="102">
        <v>1</v>
      </c>
      <c r="M9" s="103">
        <v>48</v>
      </c>
      <c r="N9" s="103">
        <v>16</v>
      </c>
      <c r="O9" s="103">
        <v>128</v>
      </c>
      <c r="P9" s="104">
        <v>192</v>
      </c>
      <c r="Q9" s="105">
        <v>4</v>
      </c>
      <c r="R9" s="129"/>
      <c r="S9" s="129"/>
      <c r="T9" s="129"/>
    </row>
    <row r="10" spans="1:20" ht="12.65" customHeight="1">
      <c r="A10" s="101"/>
      <c r="B10" s="102" t="s">
        <v>19</v>
      </c>
      <c r="C10" s="103" t="s">
        <v>444</v>
      </c>
      <c r="D10" s="251"/>
      <c r="E10" s="251"/>
      <c r="F10" s="251"/>
      <c r="G10" s="251"/>
      <c r="H10" s="251"/>
      <c r="I10" s="251"/>
      <c r="J10" s="102" t="s">
        <v>19</v>
      </c>
      <c r="K10" s="103" t="s">
        <v>444</v>
      </c>
      <c r="L10" s="251"/>
      <c r="M10" s="251"/>
      <c r="N10" s="251"/>
      <c r="O10" s="251"/>
      <c r="P10" s="251"/>
      <c r="Q10" s="251"/>
    </row>
    <row r="11" spans="1:20" s="8" customFormat="1" ht="12.65" customHeight="1">
      <c r="A11" s="249" t="s">
        <v>20</v>
      </c>
      <c r="B11" s="249"/>
      <c r="C11" s="249"/>
      <c r="D11" s="103">
        <v>1</v>
      </c>
      <c r="E11" s="103">
        <v>48</v>
      </c>
      <c r="F11" s="103">
        <v>16</v>
      </c>
      <c r="G11" s="103">
        <v>128</v>
      </c>
      <c r="H11" s="104">
        <v>192</v>
      </c>
      <c r="I11" s="105">
        <v>4</v>
      </c>
      <c r="J11" s="249" t="s">
        <v>20</v>
      </c>
      <c r="K11" s="249"/>
      <c r="L11" s="103">
        <v>1</v>
      </c>
      <c r="M11" s="103">
        <v>48</v>
      </c>
      <c r="N11" s="103">
        <v>16</v>
      </c>
      <c r="O11" s="103">
        <v>128</v>
      </c>
      <c r="P11" s="104">
        <v>192</v>
      </c>
      <c r="Q11" s="105">
        <v>4</v>
      </c>
      <c r="R11" s="129"/>
      <c r="S11" s="129"/>
      <c r="T11" s="129"/>
    </row>
    <row r="12" spans="1:20" ht="12.65" customHeight="1">
      <c r="A12" s="101"/>
      <c r="B12" s="102" t="s">
        <v>21</v>
      </c>
      <c r="C12" s="103" t="s">
        <v>444</v>
      </c>
      <c r="D12" s="251"/>
      <c r="E12" s="251"/>
      <c r="F12" s="251"/>
      <c r="G12" s="251"/>
      <c r="H12" s="251"/>
      <c r="I12" s="251"/>
      <c r="J12" s="102" t="s">
        <v>21</v>
      </c>
      <c r="K12" s="103" t="s">
        <v>444</v>
      </c>
      <c r="L12" s="251"/>
      <c r="M12" s="251"/>
      <c r="N12" s="251"/>
      <c r="O12" s="251"/>
      <c r="P12" s="251"/>
      <c r="Q12" s="251"/>
    </row>
    <row r="13" spans="1:20" s="8" customFormat="1" ht="13" customHeight="1">
      <c r="A13" s="249" t="s">
        <v>22</v>
      </c>
      <c r="B13" s="249"/>
      <c r="C13" s="249"/>
      <c r="D13" s="103">
        <v>1</v>
      </c>
      <c r="E13" s="103">
        <v>48</v>
      </c>
      <c r="F13" s="103">
        <v>16</v>
      </c>
      <c r="G13" s="103">
        <v>128</v>
      </c>
      <c r="H13" s="104">
        <v>192</v>
      </c>
      <c r="I13" s="105">
        <v>4</v>
      </c>
      <c r="J13" s="244" t="s">
        <v>22</v>
      </c>
      <c r="K13" s="244"/>
      <c r="L13" s="103">
        <v>1</v>
      </c>
      <c r="M13" s="103">
        <v>48</v>
      </c>
      <c r="N13" s="103">
        <v>16</v>
      </c>
      <c r="O13" s="103">
        <v>128</v>
      </c>
      <c r="P13" s="104">
        <v>192</v>
      </c>
      <c r="Q13" s="105">
        <v>4</v>
      </c>
      <c r="R13" s="129"/>
      <c r="S13" s="129"/>
      <c r="T13" s="129"/>
    </row>
    <row r="14" spans="1:20" ht="12.65" customHeight="1">
      <c r="A14" s="101"/>
      <c r="B14" s="102" t="s">
        <v>23</v>
      </c>
      <c r="C14" s="103" t="s">
        <v>444</v>
      </c>
      <c r="D14" s="251"/>
      <c r="E14" s="251"/>
      <c r="F14" s="251"/>
      <c r="G14" s="251"/>
      <c r="H14" s="251"/>
      <c r="I14" s="251"/>
      <c r="J14" s="102" t="s">
        <v>23</v>
      </c>
      <c r="K14" s="103" t="s">
        <v>444</v>
      </c>
      <c r="L14" s="251"/>
      <c r="M14" s="251"/>
      <c r="N14" s="251"/>
      <c r="O14" s="251"/>
      <c r="P14" s="251"/>
      <c r="Q14" s="251"/>
    </row>
    <row r="15" spans="1:20" s="8" customFormat="1">
      <c r="A15" s="249"/>
      <c r="B15" s="249"/>
      <c r="C15" s="249"/>
      <c r="D15" s="249"/>
      <c r="E15" s="249"/>
      <c r="F15" s="249"/>
      <c r="G15" s="249"/>
      <c r="H15" s="249"/>
      <c r="I15" s="249"/>
      <c r="J15" s="244" t="s">
        <v>24</v>
      </c>
      <c r="K15" s="244"/>
      <c r="L15" s="103">
        <v>1</v>
      </c>
      <c r="M15" s="103">
        <v>48</v>
      </c>
      <c r="N15" s="103">
        <v>16</v>
      </c>
      <c r="O15" s="103">
        <v>128</v>
      </c>
      <c r="P15" s="104">
        <v>192</v>
      </c>
      <c r="Q15" s="105">
        <v>4</v>
      </c>
      <c r="R15" s="129"/>
      <c r="S15" s="129"/>
      <c r="T15" s="129"/>
    </row>
    <row r="16" spans="1:20" ht="13" customHeight="1">
      <c r="A16" s="249"/>
      <c r="B16" s="249"/>
      <c r="C16" s="249"/>
      <c r="D16" s="249"/>
      <c r="E16" s="249"/>
      <c r="F16" s="249"/>
      <c r="G16" s="249"/>
      <c r="H16" s="249"/>
      <c r="I16" s="249"/>
      <c r="J16" s="102" t="s">
        <v>25</v>
      </c>
      <c r="K16" s="103" t="s">
        <v>444</v>
      </c>
      <c r="L16" s="251"/>
      <c r="M16" s="251"/>
      <c r="N16" s="251"/>
      <c r="O16" s="251"/>
      <c r="P16" s="251"/>
      <c r="Q16" s="251"/>
    </row>
    <row r="17" spans="1:17" ht="13" customHeight="1">
      <c r="A17" s="246" t="s">
        <v>26</v>
      </c>
      <c r="B17" s="246"/>
      <c r="C17" s="246"/>
      <c r="D17" s="246"/>
      <c r="E17" s="103">
        <f>SUM(E7:E8,E9+E5)</f>
        <v>192</v>
      </c>
      <c r="F17" s="103">
        <f t="shared" ref="F17:H17" si="0">SUM(F7:F8,F9+F5)</f>
        <v>64</v>
      </c>
      <c r="G17" s="103">
        <f t="shared" si="0"/>
        <v>512</v>
      </c>
      <c r="H17" s="103">
        <f t="shared" si="0"/>
        <v>768</v>
      </c>
      <c r="I17" s="103">
        <f>SUM(I7:I8,I11+I5)</f>
        <v>16</v>
      </c>
      <c r="J17" s="247" t="s">
        <v>26</v>
      </c>
      <c r="K17" s="247"/>
      <c r="L17" s="247"/>
      <c r="M17" s="103">
        <f>SUM(M7:M8,M9+M5)</f>
        <v>192</v>
      </c>
      <c r="N17" s="103">
        <f t="shared" ref="N17:P17" si="1">SUM(N7:N8,N9+N5)</f>
        <v>64</v>
      </c>
      <c r="O17" s="103">
        <f t="shared" si="1"/>
        <v>512</v>
      </c>
      <c r="P17" s="103">
        <f t="shared" si="1"/>
        <v>768</v>
      </c>
      <c r="Q17" s="103">
        <f>SUM(Q7:Q8,Q11+Q5)</f>
        <v>16</v>
      </c>
    </row>
    <row r="18" spans="1:17" ht="12.65" customHeight="1">
      <c r="A18" s="248" t="s">
        <v>27</v>
      </c>
      <c r="B18" s="248"/>
      <c r="C18" s="248"/>
      <c r="D18" s="248"/>
      <c r="E18" s="248"/>
      <c r="F18" s="248"/>
      <c r="G18" s="248"/>
      <c r="H18" s="248"/>
      <c r="I18" s="248"/>
      <c r="J18" s="248"/>
      <c r="K18" s="248"/>
      <c r="L18" s="248"/>
      <c r="M18" s="248"/>
      <c r="N18" s="248"/>
      <c r="O18" s="248"/>
      <c r="P18" s="248"/>
      <c r="Q18" s="248"/>
    </row>
    <row r="19" spans="1:17">
      <c r="A19" s="249" t="s">
        <v>18</v>
      </c>
      <c r="B19" s="249"/>
      <c r="C19" s="249"/>
      <c r="D19" s="103">
        <v>2</v>
      </c>
      <c r="E19" s="103">
        <v>48</v>
      </c>
      <c r="F19" s="103">
        <v>16</v>
      </c>
      <c r="G19" s="103">
        <v>128</v>
      </c>
      <c r="H19" s="104">
        <v>192</v>
      </c>
      <c r="I19" s="105">
        <v>4</v>
      </c>
      <c r="J19" s="249" t="s">
        <v>18</v>
      </c>
      <c r="K19" s="249"/>
      <c r="L19" s="249"/>
      <c r="M19" s="103">
        <v>48</v>
      </c>
      <c r="N19" s="103">
        <v>16</v>
      </c>
      <c r="O19" s="103">
        <v>128</v>
      </c>
      <c r="P19" s="104">
        <v>192</v>
      </c>
      <c r="Q19" s="105">
        <v>4</v>
      </c>
    </row>
    <row r="20" spans="1:17">
      <c r="A20" s="250"/>
      <c r="B20" s="103" t="s">
        <v>29</v>
      </c>
      <c r="C20" s="103" t="s">
        <v>444</v>
      </c>
      <c r="D20" s="250"/>
      <c r="E20" s="250"/>
      <c r="F20" s="250"/>
      <c r="G20" s="250"/>
      <c r="H20" s="250"/>
      <c r="I20" s="250"/>
      <c r="J20" s="103" t="s">
        <v>29</v>
      </c>
      <c r="K20" s="103" t="s">
        <v>444</v>
      </c>
      <c r="L20" s="250"/>
      <c r="M20" s="250"/>
      <c r="N20" s="250"/>
      <c r="O20" s="250"/>
      <c r="P20" s="250"/>
      <c r="Q20" s="250"/>
    </row>
    <row r="21" spans="1:17">
      <c r="A21" s="250"/>
      <c r="B21" s="103" t="s">
        <v>30</v>
      </c>
      <c r="C21" s="103" t="s">
        <v>444</v>
      </c>
      <c r="D21" s="250"/>
      <c r="E21" s="250"/>
      <c r="F21" s="250"/>
      <c r="G21" s="250"/>
      <c r="H21" s="250"/>
      <c r="I21" s="250"/>
      <c r="J21" s="103" t="s">
        <v>30</v>
      </c>
      <c r="K21" s="103" t="s">
        <v>444</v>
      </c>
      <c r="L21" s="250"/>
      <c r="M21" s="250"/>
      <c r="N21" s="250"/>
      <c r="O21" s="250"/>
      <c r="P21" s="250"/>
      <c r="Q21" s="250"/>
    </row>
    <row r="22" spans="1:17" ht="12.65" customHeight="1">
      <c r="A22" s="250"/>
      <c r="B22" s="103" t="s">
        <v>31</v>
      </c>
      <c r="C22" s="103" t="s">
        <v>444</v>
      </c>
      <c r="D22" s="250"/>
      <c r="E22" s="250"/>
      <c r="F22" s="250"/>
      <c r="G22" s="250"/>
      <c r="H22" s="250"/>
      <c r="I22" s="250"/>
      <c r="J22" s="103" t="s">
        <v>31</v>
      </c>
      <c r="K22" s="103" t="s">
        <v>444</v>
      </c>
      <c r="L22" s="250"/>
      <c r="M22" s="250"/>
      <c r="N22" s="250"/>
      <c r="O22" s="250"/>
      <c r="P22" s="250"/>
      <c r="Q22" s="250"/>
    </row>
    <row r="23" spans="1:17">
      <c r="A23" s="250"/>
      <c r="B23" s="103" t="s">
        <v>32</v>
      </c>
      <c r="C23" s="103" t="s">
        <v>444</v>
      </c>
      <c r="D23" s="250"/>
      <c r="E23" s="250"/>
      <c r="F23" s="250"/>
      <c r="G23" s="250"/>
      <c r="H23" s="250"/>
      <c r="I23" s="250"/>
      <c r="J23" s="103" t="s">
        <v>32</v>
      </c>
      <c r="K23" s="103" t="s">
        <v>444</v>
      </c>
      <c r="L23" s="250"/>
      <c r="M23" s="250"/>
      <c r="N23" s="250"/>
      <c r="O23" s="250"/>
      <c r="P23" s="250"/>
      <c r="Q23" s="250"/>
    </row>
    <row r="24" spans="1:17">
      <c r="A24" s="249" t="s">
        <v>20</v>
      </c>
      <c r="B24" s="249"/>
      <c r="C24" s="249"/>
      <c r="D24" s="103">
        <v>2</v>
      </c>
      <c r="E24" s="103">
        <v>48</v>
      </c>
      <c r="F24" s="103">
        <v>16</v>
      </c>
      <c r="G24" s="103">
        <v>128</v>
      </c>
      <c r="H24" s="104">
        <v>192</v>
      </c>
      <c r="I24" s="105">
        <v>4</v>
      </c>
      <c r="J24" s="249" t="s">
        <v>20</v>
      </c>
      <c r="K24" s="249"/>
      <c r="L24" s="249"/>
      <c r="M24" s="103">
        <v>48</v>
      </c>
      <c r="N24" s="103">
        <v>16</v>
      </c>
      <c r="O24" s="103">
        <v>128</v>
      </c>
      <c r="P24" s="104">
        <v>192</v>
      </c>
      <c r="Q24" s="105">
        <v>4</v>
      </c>
    </row>
    <row r="25" spans="1:17">
      <c r="A25" s="250"/>
      <c r="B25" s="103" t="s">
        <v>33</v>
      </c>
      <c r="C25" s="103" t="s">
        <v>444</v>
      </c>
      <c r="D25" s="250"/>
      <c r="E25" s="250"/>
      <c r="F25" s="250"/>
      <c r="G25" s="250"/>
      <c r="H25" s="250"/>
      <c r="I25" s="250"/>
      <c r="J25" s="103" t="s">
        <v>33</v>
      </c>
      <c r="K25" s="103" t="s">
        <v>444</v>
      </c>
      <c r="L25" s="250"/>
      <c r="M25" s="250"/>
      <c r="N25" s="250"/>
      <c r="O25" s="250"/>
      <c r="P25" s="250"/>
      <c r="Q25" s="250"/>
    </row>
    <row r="26" spans="1:17">
      <c r="A26" s="250"/>
      <c r="B26" s="103" t="s">
        <v>34</v>
      </c>
      <c r="C26" s="103" t="s">
        <v>444</v>
      </c>
      <c r="D26" s="250"/>
      <c r="E26" s="250"/>
      <c r="F26" s="250"/>
      <c r="G26" s="250"/>
      <c r="H26" s="250"/>
      <c r="I26" s="250"/>
      <c r="J26" s="103" t="s">
        <v>34</v>
      </c>
      <c r="K26" s="103" t="s">
        <v>444</v>
      </c>
      <c r="L26" s="250"/>
      <c r="M26" s="250"/>
      <c r="N26" s="250"/>
      <c r="O26" s="250"/>
      <c r="P26" s="250"/>
      <c r="Q26" s="250"/>
    </row>
    <row r="27" spans="1:17" ht="12.65" customHeight="1">
      <c r="A27" s="250"/>
      <c r="B27" s="103" t="s">
        <v>35</v>
      </c>
      <c r="C27" s="103" t="s">
        <v>444</v>
      </c>
      <c r="D27" s="250"/>
      <c r="E27" s="250"/>
      <c r="F27" s="250"/>
      <c r="G27" s="250"/>
      <c r="H27" s="250"/>
      <c r="I27" s="250"/>
      <c r="J27" s="103" t="s">
        <v>35</v>
      </c>
      <c r="K27" s="103" t="s">
        <v>444</v>
      </c>
      <c r="L27" s="250"/>
      <c r="M27" s="250"/>
      <c r="N27" s="250"/>
      <c r="O27" s="250"/>
      <c r="P27" s="250"/>
      <c r="Q27" s="250"/>
    </row>
    <row r="28" spans="1:17" ht="24">
      <c r="A28" s="250"/>
      <c r="B28" s="103" t="s">
        <v>36</v>
      </c>
      <c r="C28" s="103" t="s">
        <v>444</v>
      </c>
      <c r="D28" s="250"/>
      <c r="E28" s="250"/>
      <c r="F28" s="250"/>
      <c r="G28" s="250"/>
      <c r="H28" s="250"/>
      <c r="I28" s="250"/>
      <c r="J28" s="103" t="s">
        <v>36</v>
      </c>
      <c r="K28" s="103" t="s">
        <v>444</v>
      </c>
      <c r="L28" s="250"/>
      <c r="M28" s="250"/>
      <c r="N28" s="250"/>
      <c r="O28" s="250"/>
      <c r="P28" s="250"/>
      <c r="Q28" s="250"/>
    </row>
    <row r="29" spans="1:17">
      <c r="A29" s="249" t="s">
        <v>22</v>
      </c>
      <c r="B29" s="249"/>
      <c r="C29" s="249"/>
      <c r="D29" s="103">
        <v>2</v>
      </c>
      <c r="E29" s="103">
        <v>48</v>
      </c>
      <c r="F29" s="103">
        <v>16</v>
      </c>
      <c r="G29" s="103">
        <v>128</v>
      </c>
      <c r="H29" s="104">
        <v>192</v>
      </c>
      <c r="I29" s="105">
        <v>4</v>
      </c>
      <c r="J29" s="249" t="s">
        <v>22</v>
      </c>
      <c r="K29" s="249"/>
      <c r="L29" s="249"/>
      <c r="M29" s="103">
        <v>48</v>
      </c>
      <c r="N29" s="103">
        <v>16</v>
      </c>
      <c r="O29" s="103">
        <v>128</v>
      </c>
      <c r="P29" s="104">
        <v>192</v>
      </c>
      <c r="Q29" s="105">
        <v>4</v>
      </c>
    </row>
    <row r="30" spans="1:17">
      <c r="A30" s="250"/>
      <c r="B30" s="103" t="s">
        <v>37</v>
      </c>
      <c r="C30" s="103" t="s">
        <v>444</v>
      </c>
      <c r="D30" s="250"/>
      <c r="E30" s="250"/>
      <c r="F30" s="250"/>
      <c r="G30" s="250"/>
      <c r="H30" s="250"/>
      <c r="I30" s="250"/>
      <c r="J30" s="103" t="s">
        <v>37</v>
      </c>
      <c r="K30" s="103" t="s">
        <v>444</v>
      </c>
      <c r="L30" s="250"/>
      <c r="M30" s="250"/>
      <c r="N30" s="250"/>
      <c r="O30" s="250"/>
      <c r="P30" s="250"/>
      <c r="Q30" s="250"/>
    </row>
    <row r="31" spans="1:17">
      <c r="A31" s="250"/>
      <c r="B31" s="103" t="s">
        <v>38</v>
      </c>
      <c r="C31" s="103" t="s">
        <v>444</v>
      </c>
      <c r="D31" s="250"/>
      <c r="E31" s="250"/>
      <c r="F31" s="250"/>
      <c r="G31" s="250"/>
      <c r="H31" s="250"/>
      <c r="I31" s="250"/>
      <c r="J31" s="103" t="s">
        <v>38</v>
      </c>
      <c r="K31" s="103" t="s">
        <v>444</v>
      </c>
      <c r="L31" s="250"/>
      <c r="M31" s="250"/>
      <c r="N31" s="250"/>
      <c r="O31" s="250"/>
      <c r="P31" s="250"/>
      <c r="Q31" s="250"/>
    </row>
    <row r="32" spans="1:17" ht="12.65" customHeight="1">
      <c r="A32" s="250"/>
      <c r="B32" s="103" t="s">
        <v>39</v>
      </c>
      <c r="C32" s="103" t="s">
        <v>444</v>
      </c>
      <c r="D32" s="250"/>
      <c r="E32" s="250"/>
      <c r="F32" s="250"/>
      <c r="G32" s="250"/>
      <c r="H32" s="250"/>
      <c r="I32" s="250"/>
      <c r="J32" s="103" t="s">
        <v>39</v>
      </c>
      <c r="K32" s="103" t="s">
        <v>444</v>
      </c>
      <c r="L32" s="250"/>
      <c r="M32" s="250"/>
      <c r="N32" s="250"/>
      <c r="O32" s="250"/>
      <c r="P32" s="250"/>
      <c r="Q32" s="250"/>
    </row>
    <row r="33" spans="1:18">
      <c r="A33" s="250"/>
      <c r="B33" s="103" t="s">
        <v>49</v>
      </c>
      <c r="C33" s="103" t="s">
        <v>444</v>
      </c>
      <c r="D33" s="250"/>
      <c r="E33" s="250"/>
      <c r="F33" s="250"/>
      <c r="G33" s="250"/>
      <c r="H33" s="250"/>
      <c r="I33" s="250"/>
      <c r="J33" s="103" t="s">
        <v>40</v>
      </c>
      <c r="K33" s="103" t="s">
        <v>444</v>
      </c>
      <c r="L33" s="250"/>
      <c r="M33" s="250"/>
      <c r="N33" s="250"/>
      <c r="O33" s="250"/>
      <c r="P33" s="250"/>
      <c r="Q33" s="250"/>
    </row>
    <row r="34" spans="1:18">
      <c r="A34" s="249" t="s">
        <v>447</v>
      </c>
      <c r="B34" s="249"/>
      <c r="C34" s="249"/>
      <c r="D34" s="103">
        <v>2</v>
      </c>
      <c r="E34" s="103">
        <v>48</v>
      </c>
      <c r="F34" s="103">
        <v>16</v>
      </c>
      <c r="G34" s="103">
        <v>128</v>
      </c>
      <c r="H34" s="104">
        <v>192</v>
      </c>
      <c r="I34" s="105">
        <v>4</v>
      </c>
      <c r="J34" s="249" t="s">
        <v>24</v>
      </c>
      <c r="K34" s="249"/>
      <c r="L34" s="249"/>
      <c r="M34" s="103">
        <v>48</v>
      </c>
      <c r="N34" s="103">
        <v>16</v>
      </c>
      <c r="O34" s="103">
        <v>128</v>
      </c>
      <c r="P34" s="104">
        <v>192</v>
      </c>
      <c r="Q34" s="105">
        <v>4</v>
      </c>
    </row>
    <row r="35" spans="1:18">
      <c r="A35" s="146"/>
      <c r="B35" s="103" t="s">
        <v>450</v>
      </c>
      <c r="C35" s="103" t="s">
        <v>444</v>
      </c>
      <c r="D35" s="250"/>
      <c r="E35" s="250"/>
      <c r="F35" s="250"/>
      <c r="G35" s="250"/>
      <c r="H35" s="250"/>
      <c r="I35" s="250"/>
      <c r="J35" s="103" t="s">
        <v>41</v>
      </c>
      <c r="K35" s="103" t="s">
        <v>444</v>
      </c>
      <c r="L35" s="250"/>
      <c r="M35" s="250"/>
      <c r="N35" s="250"/>
      <c r="O35" s="250"/>
      <c r="P35" s="250"/>
      <c r="Q35" s="250"/>
    </row>
    <row r="36" spans="1:18">
      <c r="A36" s="147"/>
      <c r="B36" s="103" t="s">
        <v>451</v>
      </c>
      <c r="C36" s="103" t="s">
        <v>444</v>
      </c>
      <c r="D36" s="250"/>
      <c r="E36" s="250"/>
      <c r="F36" s="250"/>
      <c r="G36" s="250"/>
      <c r="H36" s="250"/>
      <c r="I36" s="250"/>
      <c r="J36" s="103" t="s">
        <v>42</v>
      </c>
      <c r="K36" s="103" t="s">
        <v>444</v>
      </c>
      <c r="L36" s="250"/>
      <c r="M36" s="250"/>
      <c r="N36" s="250"/>
      <c r="O36" s="250"/>
      <c r="P36" s="250"/>
      <c r="Q36" s="250"/>
    </row>
    <row r="37" spans="1:18" ht="13" customHeight="1">
      <c r="A37" s="147"/>
      <c r="B37" s="103" t="s">
        <v>41</v>
      </c>
      <c r="C37" s="103" t="s">
        <v>444</v>
      </c>
      <c r="D37" s="250"/>
      <c r="E37" s="250"/>
      <c r="F37" s="250"/>
      <c r="G37" s="250"/>
      <c r="H37" s="250"/>
      <c r="I37" s="250"/>
      <c r="J37" s="250" t="s">
        <v>43</v>
      </c>
      <c r="K37" s="250" t="s">
        <v>444</v>
      </c>
      <c r="L37" s="250"/>
      <c r="M37" s="250"/>
      <c r="N37" s="250"/>
      <c r="O37" s="250"/>
      <c r="P37" s="250"/>
      <c r="Q37" s="250"/>
    </row>
    <row r="38" spans="1:18" ht="12.5" customHeight="1">
      <c r="A38" s="147"/>
      <c r="B38" s="103" t="s">
        <v>452</v>
      </c>
      <c r="C38" s="103" t="s">
        <v>444</v>
      </c>
      <c r="D38" s="250"/>
      <c r="E38" s="250"/>
      <c r="F38" s="250"/>
      <c r="G38" s="250"/>
      <c r="H38" s="250"/>
      <c r="I38" s="250"/>
      <c r="J38" s="250"/>
      <c r="K38" s="250"/>
      <c r="L38" s="250"/>
      <c r="M38" s="250"/>
      <c r="N38" s="250"/>
      <c r="O38" s="250"/>
      <c r="P38" s="250"/>
      <c r="Q38" s="250"/>
    </row>
    <row r="39" spans="1:18" s="130" customFormat="1">
      <c r="A39" s="148"/>
      <c r="B39" s="103" t="s">
        <v>453</v>
      </c>
      <c r="C39" s="103" t="s">
        <v>444</v>
      </c>
      <c r="D39" s="250"/>
      <c r="E39" s="250"/>
      <c r="F39" s="250"/>
      <c r="G39" s="250"/>
      <c r="H39" s="250"/>
      <c r="I39" s="250"/>
      <c r="J39" s="103" t="s">
        <v>44</v>
      </c>
      <c r="K39" s="103" t="s">
        <v>444</v>
      </c>
      <c r="L39" s="250"/>
      <c r="M39" s="250"/>
      <c r="N39" s="250"/>
      <c r="O39" s="250"/>
      <c r="P39" s="250"/>
      <c r="Q39" s="250"/>
      <c r="R39" s="131"/>
    </row>
    <row r="40" spans="1:18" ht="12.65" customHeight="1">
      <c r="A40" s="246" t="s">
        <v>26</v>
      </c>
      <c r="B40" s="246"/>
      <c r="C40" s="246"/>
      <c r="D40" s="246"/>
      <c r="E40" s="103">
        <f>SUM(E19,E24,E29,E34)</f>
        <v>192</v>
      </c>
      <c r="F40" s="103">
        <f t="shared" ref="F40:I40" si="2">SUM(F19,F24,F29,F34)</f>
        <v>64</v>
      </c>
      <c r="G40" s="103">
        <f t="shared" si="2"/>
        <v>512</v>
      </c>
      <c r="H40" s="103">
        <f t="shared" si="2"/>
        <v>768</v>
      </c>
      <c r="I40" s="103">
        <f t="shared" si="2"/>
        <v>16</v>
      </c>
      <c r="J40" s="247" t="s">
        <v>26</v>
      </c>
      <c r="K40" s="247"/>
      <c r="L40" s="247"/>
      <c r="M40" s="103">
        <f>SUM(M19,M24,M29,M34)</f>
        <v>192</v>
      </c>
      <c r="N40" s="103">
        <f t="shared" ref="N40:Q40" si="3">SUM(N19,N24,N29,N34)</f>
        <v>64</v>
      </c>
      <c r="O40" s="103">
        <f t="shared" si="3"/>
        <v>512</v>
      </c>
      <c r="P40" s="103">
        <f t="shared" si="3"/>
        <v>768</v>
      </c>
      <c r="Q40" s="103">
        <f t="shared" si="3"/>
        <v>16</v>
      </c>
    </row>
    <row r="41" spans="1:18">
      <c r="A41" s="248" t="s">
        <v>443</v>
      </c>
      <c r="B41" s="248"/>
      <c r="C41" s="248"/>
      <c r="D41" s="248"/>
      <c r="E41" s="248"/>
      <c r="F41" s="248"/>
      <c r="G41" s="248"/>
      <c r="H41" s="248"/>
      <c r="I41" s="248"/>
      <c r="J41" s="248"/>
      <c r="K41" s="248"/>
      <c r="L41" s="248"/>
      <c r="M41" s="248"/>
      <c r="N41" s="248"/>
      <c r="O41" s="248"/>
      <c r="P41" s="248"/>
      <c r="Q41" s="248"/>
    </row>
    <row r="42" spans="1:18" ht="12.65" customHeight="1">
      <c r="A42" s="108"/>
      <c r="B42" s="103" t="s">
        <v>448</v>
      </c>
      <c r="C42" s="103" t="s">
        <v>444</v>
      </c>
      <c r="D42" s="103">
        <v>2</v>
      </c>
      <c r="E42" s="2">
        <v>0</v>
      </c>
      <c r="F42" s="2">
        <v>64</v>
      </c>
      <c r="G42" s="2">
        <v>128</v>
      </c>
      <c r="H42" s="2">
        <v>192</v>
      </c>
      <c r="I42" s="105">
        <v>4</v>
      </c>
      <c r="J42" s="102" t="s">
        <v>442</v>
      </c>
      <c r="K42" s="103" t="s">
        <v>444</v>
      </c>
      <c r="L42" s="103">
        <v>2</v>
      </c>
      <c r="M42" s="2">
        <v>0</v>
      </c>
      <c r="N42" s="2">
        <v>64</v>
      </c>
      <c r="O42" s="2">
        <v>128</v>
      </c>
      <c r="P42" s="2">
        <v>192</v>
      </c>
      <c r="Q42" s="105">
        <v>4</v>
      </c>
    </row>
    <row r="43" spans="1:18">
      <c r="A43" s="249" t="s">
        <v>447</v>
      </c>
      <c r="B43" s="249"/>
      <c r="C43" s="249"/>
      <c r="D43" s="103">
        <v>2</v>
      </c>
      <c r="E43" s="103">
        <v>48</v>
      </c>
      <c r="F43" s="103">
        <v>16</v>
      </c>
      <c r="G43" s="103">
        <v>128</v>
      </c>
      <c r="H43" s="104">
        <v>192</v>
      </c>
      <c r="I43" s="105">
        <v>4</v>
      </c>
      <c r="J43" s="249" t="s">
        <v>18</v>
      </c>
      <c r="K43" s="249"/>
      <c r="L43" s="103">
        <v>3</v>
      </c>
      <c r="M43" s="103">
        <v>48</v>
      </c>
      <c r="N43" s="103">
        <v>16</v>
      </c>
      <c r="O43" s="103">
        <v>128</v>
      </c>
      <c r="P43" s="104">
        <v>192</v>
      </c>
      <c r="Q43" s="105">
        <v>4</v>
      </c>
    </row>
    <row r="44" spans="1:18" ht="24">
      <c r="A44" s="237"/>
      <c r="B44" s="127" t="s">
        <v>455</v>
      </c>
      <c r="C44" s="127" t="s">
        <v>444</v>
      </c>
      <c r="D44" s="243"/>
      <c r="E44" s="243"/>
      <c r="F44" s="243"/>
      <c r="G44" s="243"/>
      <c r="H44" s="243"/>
      <c r="I44" s="243"/>
      <c r="J44" s="103" t="s">
        <v>46</v>
      </c>
      <c r="K44" s="103" t="s">
        <v>444</v>
      </c>
      <c r="L44" s="245"/>
      <c r="M44" s="245"/>
      <c r="N44" s="245"/>
      <c r="O44" s="245"/>
      <c r="P44" s="245"/>
      <c r="Q44" s="245"/>
    </row>
    <row r="45" spans="1:18" ht="12.65" customHeight="1">
      <c r="A45" s="238"/>
      <c r="B45" s="127" t="s">
        <v>458</v>
      </c>
      <c r="C45" s="127" t="s">
        <v>444</v>
      </c>
      <c r="D45" s="243"/>
      <c r="E45" s="243"/>
      <c r="F45" s="243"/>
      <c r="G45" s="243"/>
      <c r="H45" s="243"/>
      <c r="I45" s="243"/>
      <c r="J45" s="249" t="s">
        <v>20</v>
      </c>
      <c r="K45" s="249"/>
      <c r="L45" s="103">
        <v>3</v>
      </c>
      <c r="M45" s="103">
        <v>48</v>
      </c>
      <c r="N45" s="103">
        <v>16</v>
      </c>
      <c r="O45" s="103">
        <v>128</v>
      </c>
      <c r="P45" s="104">
        <v>192</v>
      </c>
      <c r="Q45" s="105">
        <v>4</v>
      </c>
    </row>
    <row r="46" spans="1:18">
      <c r="A46" s="238"/>
      <c r="B46" s="127" t="s">
        <v>457</v>
      </c>
      <c r="C46" s="127" t="s">
        <v>444</v>
      </c>
      <c r="D46" s="243"/>
      <c r="E46" s="243"/>
      <c r="F46" s="243"/>
      <c r="G46" s="243"/>
      <c r="H46" s="243"/>
      <c r="I46" s="243"/>
      <c r="J46" s="103" t="s">
        <v>47</v>
      </c>
      <c r="K46" s="103" t="s">
        <v>444</v>
      </c>
      <c r="L46" s="250"/>
      <c r="M46" s="250"/>
      <c r="N46" s="250"/>
      <c r="O46" s="250"/>
      <c r="P46" s="250"/>
      <c r="Q46" s="250"/>
    </row>
    <row r="47" spans="1:18" ht="12.65" customHeight="1">
      <c r="A47" s="238"/>
      <c r="B47" s="243" t="s">
        <v>456</v>
      </c>
      <c r="C47" s="243" t="s">
        <v>444</v>
      </c>
      <c r="D47" s="243"/>
      <c r="E47" s="243"/>
      <c r="F47" s="243"/>
      <c r="G47" s="243"/>
      <c r="H47" s="243"/>
      <c r="I47" s="243"/>
      <c r="J47" s="103" t="s">
        <v>460</v>
      </c>
      <c r="K47" s="103" t="s">
        <v>444</v>
      </c>
      <c r="L47" s="250"/>
      <c r="M47" s="250"/>
      <c r="N47" s="250"/>
      <c r="O47" s="250"/>
      <c r="P47" s="250"/>
      <c r="Q47" s="250"/>
    </row>
    <row r="48" spans="1:18" ht="24">
      <c r="A48" s="238"/>
      <c r="B48" s="243"/>
      <c r="C48" s="243"/>
      <c r="D48" s="243"/>
      <c r="E48" s="243"/>
      <c r="F48" s="243"/>
      <c r="G48" s="243"/>
      <c r="H48" s="243"/>
      <c r="I48" s="243"/>
      <c r="J48" s="103" t="s">
        <v>48</v>
      </c>
      <c r="K48" s="103" t="s">
        <v>444</v>
      </c>
      <c r="L48" s="250"/>
      <c r="M48" s="250"/>
      <c r="N48" s="250"/>
      <c r="O48" s="250"/>
      <c r="P48" s="250"/>
      <c r="Q48" s="250"/>
    </row>
    <row r="49" spans="1:17" ht="13" customHeight="1">
      <c r="A49" s="238"/>
      <c r="B49" s="127" t="s">
        <v>459</v>
      </c>
      <c r="C49" s="127" t="s">
        <v>444</v>
      </c>
      <c r="D49" s="243"/>
      <c r="E49" s="243"/>
      <c r="F49" s="243"/>
      <c r="G49" s="243"/>
      <c r="H49" s="243"/>
      <c r="I49" s="243"/>
      <c r="J49" s="244" t="s">
        <v>22</v>
      </c>
      <c r="K49" s="244"/>
      <c r="L49" s="103">
        <v>3</v>
      </c>
      <c r="M49" s="103">
        <v>48</v>
      </c>
      <c r="N49" s="103">
        <v>16</v>
      </c>
      <c r="O49" s="103">
        <v>128</v>
      </c>
      <c r="P49" s="104">
        <v>192</v>
      </c>
      <c r="Q49" s="105">
        <v>4</v>
      </c>
    </row>
    <row r="50" spans="1:17" ht="24">
      <c r="A50" s="238"/>
      <c r="B50" s="127" t="s">
        <v>460</v>
      </c>
      <c r="C50" s="127" t="s">
        <v>444</v>
      </c>
      <c r="D50" s="243"/>
      <c r="E50" s="243"/>
      <c r="F50" s="243"/>
      <c r="G50" s="243"/>
      <c r="H50" s="243"/>
      <c r="I50" s="243"/>
      <c r="J50" s="103" t="s">
        <v>49</v>
      </c>
      <c r="K50" s="103" t="s">
        <v>444</v>
      </c>
      <c r="L50" s="245"/>
      <c r="M50" s="245"/>
      <c r="N50" s="245"/>
      <c r="O50" s="245"/>
      <c r="P50" s="245"/>
      <c r="Q50" s="245"/>
    </row>
    <row r="51" spans="1:17">
      <c r="A51" s="238"/>
      <c r="B51" s="127" t="s">
        <v>461</v>
      </c>
      <c r="C51" s="127" t="s">
        <v>444</v>
      </c>
      <c r="D51" s="243"/>
      <c r="E51" s="243"/>
      <c r="F51" s="243"/>
      <c r="G51" s="243"/>
      <c r="H51" s="243"/>
      <c r="I51" s="243"/>
      <c r="J51" s="244" t="s">
        <v>24</v>
      </c>
      <c r="K51" s="244"/>
      <c r="L51" s="103">
        <v>3</v>
      </c>
      <c r="M51" s="103">
        <v>48</v>
      </c>
      <c r="N51" s="103">
        <v>16</v>
      </c>
      <c r="O51" s="103">
        <v>128</v>
      </c>
      <c r="P51" s="104">
        <v>192</v>
      </c>
      <c r="Q51" s="105">
        <v>4</v>
      </c>
    </row>
    <row r="52" spans="1:17" ht="13">
      <c r="A52" s="239"/>
      <c r="B52" s="127" t="s">
        <v>462</v>
      </c>
      <c r="C52" s="127" t="s">
        <v>444</v>
      </c>
      <c r="D52" s="243"/>
      <c r="E52" s="243"/>
      <c r="F52" s="243"/>
      <c r="G52" s="243"/>
      <c r="H52" s="243"/>
      <c r="I52" s="243"/>
      <c r="J52" s="103" t="s">
        <v>50</v>
      </c>
      <c r="K52" s="103" t="s">
        <v>444</v>
      </c>
      <c r="L52" s="245"/>
      <c r="M52" s="245"/>
      <c r="N52" s="245"/>
      <c r="O52" s="245"/>
      <c r="P52" s="245"/>
      <c r="Q52" s="245"/>
    </row>
    <row r="53" spans="1:17">
      <c r="A53" s="246" t="s">
        <v>26</v>
      </c>
      <c r="B53" s="246"/>
      <c r="C53" s="246"/>
      <c r="D53" s="246"/>
      <c r="E53" s="103">
        <f>SUM(E42+E43+E43)</f>
        <v>96</v>
      </c>
      <c r="F53" s="103">
        <f t="shared" ref="F53:I53" si="4">SUM(F42+F43+F43)</f>
        <v>96</v>
      </c>
      <c r="G53" s="103">
        <f>SUM(G42+G43+G43)</f>
        <v>384</v>
      </c>
      <c r="H53" s="103">
        <f>SUM(H42+H43+H43)</f>
        <v>576</v>
      </c>
      <c r="I53" s="103">
        <f t="shared" si="4"/>
        <v>12</v>
      </c>
      <c r="J53" s="247" t="s">
        <v>26</v>
      </c>
      <c r="K53" s="247"/>
      <c r="L53" s="247"/>
      <c r="M53" s="103">
        <f>SUM(M42+M43+M43)</f>
        <v>96</v>
      </c>
      <c r="N53" s="103">
        <f t="shared" ref="N53:O53" si="5">SUM(N42+N43+N43)</f>
        <v>96</v>
      </c>
      <c r="O53" s="103">
        <f t="shared" si="5"/>
        <v>384</v>
      </c>
      <c r="P53" s="103">
        <f>SUM(P42+P43+P43)</f>
        <v>576</v>
      </c>
      <c r="Q53" s="103">
        <f t="shared" ref="Q53" si="6">SUM(Q42+Q43+Q43)</f>
        <v>12</v>
      </c>
    </row>
    <row r="54" spans="1:17">
      <c r="A54" s="236" t="s">
        <v>51</v>
      </c>
      <c r="B54" s="236"/>
      <c r="C54" s="236"/>
      <c r="D54" s="125"/>
      <c r="E54" s="126">
        <f>SUM(E53+E40+E17)</f>
        <v>480</v>
      </c>
      <c r="F54" s="126">
        <f>SUM(F53+F40+F17)</f>
        <v>224</v>
      </c>
      <c r="G54" s="126">
        <f>SUM(G53+G40+G17)</f>
        <v>1408</v>
      </c>
      <c r="H54" s="126">
        <f>SUM(H53+H40+H17)</f>
        <v>2112</v>
      </c>
      <c r="I54" s="126">
        <f>SUM(I53+I40+I17)</f>
        <v>44</v>
      </c>
      <c r="J54" s="236" t="s">
        <v>51</v>
      </c>
      <c r="K54" s="236"/>
      <c r="L54" s="236"/>
      <c r="M54" s="126">
        <f>SUM(M53+M40+M17)</f>
        <v>480</v>
      </c>
      <c r="N54" s="126">
        <f>SUM(N53+N40+N17)</f>
        <v>224</v>
      </c>
      <c r="O54" s="126">
        <f>SUM(O53+O40+O17)</f>
        <v>1408</v>
      </c>
      <c r="P54" s="126">
        <f>SUM(P53+P40+P17)</f>
        <v>2112</v>
      </c>
      <c r="Q54" s="126">
        <f>SUM(Q53+Q40+Q17)</f>
        <v>44</v>
      </c>
    </row>
  </sheetData>
  <mergeCells count="74">
    <mergeCell ref="A9:C9"/>
    <mergeCell ref="J9:K9"/>
    <mergeCell ref="J1:Q1"/>
    <mergeCell ref="A2:A3"/>
    <mergeCell ref="B2:B3"/>
    <mergeCell ref="D2:D3"/>
    <mergeCell ref="E2:H2"/>
    <mergeCell ref="I2:I3"/>
    <mergeCell ref="J2:J3"/>
    <mergeCell ref="L2:L3"/>
    <mergeCell ref="M2:P2"/>
    <mergeCell ref="Q2:Q3"/>
    <mergeCell ref="A4:Q4"/>
    <mergeCell ref="A6:I6"/>
    <mergeCell ref="J6:Q6"/>
    <mergeCell ref="D10:I10"/>
    <mergeCell ref="L10:Q10"/>
    <mergeCell ref="A11:C11"/>
    <mergeCell ref="J11:K11"/>
    <mergeCell ref="D12:I12"/>
    <mergeCell ref="L12:Q12"/>
    <mergeCell ref="A13:C13"/>
    <mergeCell ref="J13:K13"/>
    <mergeCell ref="D14:I14"/>
    <mergeCell ref="L14:Q14"/>
    <mergeCell ref="A15:I16"/>
    <mergeCell ref="J15:K15"/>
    <mergeCell ref="L16:Q16"/>
    <mergeCell ref="A29:C29"/>
    <mergeCell ref="J29:L29"/>
    <mergeCell ref="A17:D17"/>
    <mergeCell ref="J17:L17"/>
    <mergeCell ref="A18:Q18"/>
    <mergeCell ref="A19:C19"/>
    <mergeCell ref="J19:L19"/>
    <mergeCell ref="A20:A23"/>
    <mergeCell ref="D20:I23"/>
    <mergeCell ref="L20:Q23"/>
    <mergeCell ref="A24:C24"/>
    <mergeCell ref="J24:L24"/>
    <mergeCell ref="A25:A28"/>
    <mergeCell ref="D25:I28"/>
    <mergeCell ref="L25:Q28"/>
    <mergeCell ref="B47:B48"/>
    <mergeCell ref="A30:A33"/>
    <mergeCell ref="D30:I33"/>
    <mergeCell ref="L30:Q33"/>
    <mergeCell ref="A34:C34"/>
    <mergeCell ref="J34:L34"/>
    <mergeCell ref="D35:I39"/>
    <mergeCell ref="L35:Q39"/>
    <mergeCell ref="J37:J38"/>
    <mergeCell ref="K37:K38"/>
    <mergeCell ref="J43:K43"/>
    <mergeCell ref="D44:I52"/>
    <mergeCell ref="L44:Q44"/>
    <mergeCell ref="J45:K45"/>
    <mergeCell ref="L46:Q48"/>
    <mergeCell ref="A54:C54"/>
    <mergeCell ref="J54:L54"/>
    <mergeCell ref="A44:A52"/>
    <mergeCell ref="A35:A39"/>
    <mergeCell ref="A1:I1"/>
    <mergeCell ref="C47:C48"/>
    <mergeCell ref="J49:K49"/>
    <mergeCell ref="L50:Q50"/>
    <mergeCell ref="J51:K51"/>
    <mergeCell ref="L52:Q52"/>
    <mergeCell ref="A53:D53"/>
    <mergeCell ref="J53:L53"/>
    <mergeCell ref="A40:D40"/>
    <mergeCell ref="J40:L40"/>
    <mergeCell ref="A41:Q41"/>
    <mergeCell ref="A43:C43"/>
  </mergeCells>
  <pageMargins left="0.7" right="0.7" top="0.75" bottom="0.75" header="0.3" footer="0.3"/>
  <pageSetup scale="60" fitToWidth="0" orientation="landscape"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1DF4-F5FC-43C2-BAF7-1A9DC76A0CBE}">
  <sheetPr>
    <pageSetUpPr fitToPage="1"/>
  </sheetPr>
  <dimension ref="A1:AI55"/>
  <sheetViews>
    <sheetView tabSelected="1" topLeftCell="B1" zoomScale="70" zoomScaleNormal="70" workbookViewId="0">
      <selection activeCell="B1" sqref="B1:I1"/>
    </sheetView>
  </sheetViews>
  <sheetFormatPr baseColWidth="10" defaultColWidth="36.90625" defaultRowHeight="12.5"/>
  <cols>
    <col min="1" max="1" width="3" hidden="1" customWidth="1"/>
    <col min="2" max="2" width="38" customWidth="1"/>
    <col min="3" max="3" width="13.08984375" bestFit="1" customWidth="1"/>
    <col min="4" max="4" width="4.54296875" bestFit="1" customWidth="1"/>
    <col min="5" max="5" width="7.26953125" bestFit="1" customWidth="1"/>
    <col min="6" max="6" width="3.54296875" bestFit="1" customWidth="1"/>
    <col min="7" max="7" width="4.453125" bestFit="1" customWidth="1"/>
    <col min="8" max="8" width="10" customWidth="1"/>
    <col min="9" max="9" width="4.81640625" bestFit="1" customWidth="1"/>
    <col min="10" max="10" width="37.7265625" style="66" customWidth="1"/>
    <col min="11" max="11" width="13.08984375" bestFit="1" customWidth="1"/>
    <col min="12" max="12" width="4.54296875" bestFit="1" customWidth="1"/>
    <col min="13" max="14" width="3.54296875" bestFit="1" customWidth="1"/>
    <col min="15" max="15" width="4.453125" bestFit="1" customWidth="1"/>
    <col min="16" max="16" width="10" customWidth="1"/>
    <col min="17" max="17" width="4.81640625" bestFit="1" customWidth="1"/>
  </cols>
  <sheetData>
    <row r="1" spans="1:35" ht="99.5" customHeight="1">
      <c r="B1" s="264">
        <v>0</v>
      </c>
      <c r="C1" s="264"/>
      <c r="D1" s="264"/>
      <c r="E1" s="264"/>
      <c r="F1" s="264"/>
      <c r="G1" s="264"/>
      <c r="H1" s="264"/>
      <c r="I1" s="264"/>
      <c r="J1" s="264" t="s">
        <v>446</v>
      </c>
      <c r="K1" s="264"/>
      <c r="L1" s="264"/>
      <c r="M1" s="264"/>
      <c r="N1" s="264"/>
      <c r="O1" s="264"/>
      <c r="P1" s="264"/>
      <c r="Q1" s="264"/>
    </row>
    <row r="2" spans="1:35">
      <c r="A2" s="244" t="s">
        <v>0</v>
      </c>
      <c r="B2" s="244" t="s">
        <v>1</v>
      </c>
      <c r="C2" s="124" t="s">
        <v>2</v>
      </c>
      <c r="D2" s="244" t="s">
        <v>3</v>
      </c>
      <c r="E2" s="244" t="s">
        <v>4</v>
      </c>
      <c r="F2" s="244"/>
      <c r="G2" s="244"/>
      <c r="H2" s="244"/>
      <c r="I2" s="244" t="s">
        <v>5</v>
      </c>
      <c r="J2" s="244" t="s">
        <v>6</v>
      </c>
      <c r="K2" s="124" t="s">
        <v>2</v>
      </c>
      <c r="L2" s="244" t="s">
        <v>3</v>
      </c>
      <c r="M2" s="244" t="s">
        <v>4</v>
      </c>
      <c r="N2" s="244"/>
      <c r="O2" s="244"/>
      <c r="P2" s="244"/>
      <c r="Q2" s="244" t="s">
        <v>5</v>
      </c>
    </row>
    <row r="3" spans="1:35" ht="24">
      <c r="A3" s="244"/>
      <c r="B3" s="244"/>
      <c r="C3" s="124" t="s">
        <v>8</v>
      </c>
      <c r="D3" s="244"/>
      <c r="E3" s="124" t="s">
        <v>9</v>
      </c>
      <c r="F3" s="124" t="s">
        <v>10</v>
      </c>
      <c r="G3" s="124" t="s">
        <v>11</v>
      </c>
      <c r="H3" s="124" t="s">
        <v>12</v>
      </c>
      <c r="I3" s="244"/>
      <c r="J3" s="244"/>
      <c r="K3" s="124" t="s">
        <v>8</v>
      </c>
      <c r="L3" s="244"/>
      <c r="M3" s="124" t="s">
        <v>9</v>
      </c>
      <c r="N3" s="124" t="s">
        <v>10</v>
      </c>
      <c r="O3" s="124" t="s">
        <v>11</v>
      </c>
      <c r="P3" s="124" t="s">
        <v>12</v>
      </c>
      <c r="Q3" s="244"/>
    </row>
    <row r="4" spans="1:35">
      <c r="A4" s="248" t="s">
        <v>13</v>
      </c>
      <c r="B4" s="248"/>
      <c r="C4" s="248"/>
      <c r="D4" s="248"/>
      <c r="E4" s="248"/>
      <c r="F4" s="248"/>
      <c r="G4" s="248"/>
      <c r="H4" s="248"/>
      <c r="I4" s="248"/>
      <c r="J4" s="248"/>
      <c r="K4" s="248"/>
      <c r="L4" s="248"/>
      <c r="M4" s="248"/>
      <c r="N4" s="248"/>
      <c r="O4" s="248"/>
      <c r="P4" s="248"/>
      <c r="Q4" s="248"/>
    </row>
    <row r="5" spans="1:35">
      <c r="A5" s="101"/>
      <c r="B5" s="102" t="s">
        <v>17</v>
      </c>
      <c r="C5" s="102" t="s">
        <v>444</v>
      </c>
      <c r="D5" s="102">
        <v>1</v>
      </c>
      <c r="E5" s="102">
        <v>48</v>
      </c>
      <c r="F5" s="102">
        <v>16</v>
      </c>
      <c r="G5" s="102">
        <v>128</v>
      </c>
      <c r="H5" s="102">
        <v>192</v>
      </c>
      <c r="I5" s="102">
        <v>4</v>
      </c>
      <c r="J5" s="102" t="s">
        <v>17</v>
      </c>
      <c r="K5" s="102" t="s">
        <v>444</v>
      </c>
      <c r="L5" s="102">
        <v>1</v>
      </c>
      <c r="M5" s="102">
        <v>48</v>
      </c>
      <c r="N5" s="102">
        <v>16</v>
      </c>
      <c r="O5" s="102">
        <v>128</v>
      </c>
      <c r="P5" s="102">
        <v>192</v>
      </c>
      <c r="Q5" s="102">
        <v>4</v>
      </c>
    </row>
    <row r="6" spans="1:35">
      <c r="A6" s="182" t="s">
        <v>113</v>
      </c>
      <c r="B6" s="183"/>
      <c r="C6" s="183"/>
      <c r="D6" s="183"/>
      <c r="E6" s="183"/>
      <c r="F6" s="183"/>
      <c r="G6" s="183"/>
      <c r="H6" s="183"/>
      <c r="I6" s="183"/>
      <c r="J6" s="266" t="s">
        <v>113</v>
      </c>
      <c r="K6" s="267"/>
      <c r="L6" s="267"/>
      <c r="M6" s="267"/>
      <c r="N6" s="267"/>
      <c r="O6" s="267"/>
      <c r="P6" s="267"/>
      <c r="Q6" s="267"/>
    </row>
    <row r="7" spans="1:35" s="8" customFormat="1" ht="21">
      <c r="A7" s="101">
        <v>2</v>
      </c>
      <c r="B7" s="102" t="s">
        <v>14</v>
      </c>
      <c r="C7" s="102" t="s">
        <v>444</v>
      </c>
      <c r="D7" s="102">
        <v>1</v>
      </c>
      <c r="E7" s="102">
        <v>48</v>
      </c>
      <c r="F7" s="102">
        <v>16</v>
      </c>
      <c r="G7" s="102">
        <v>128</v>
      </c>
      <c r="H7" s="102">
        <v>192</v>
      </c>
      <c r="I7" s="102">
        <v>4</v>
      </c>
      <c r="J7" s="102" t="s">
        <v>14</v>
      </c>
      <c r="K7" s="102" t="s">
        <v>444</v>
      </c>
      <c r="L7" s="102">
        <v>1</v>
      </c>
      <c r="M7" s="102">
        <v>48</v>
      </c>
      <c r="N7" s="102">
        <v>16</v>
      </c>
      <c r="O7" s="102">
        <v>128</v>
      </c>
      <c r="P7" s="102">
        <v>192</v>
      </c>
      <c r="Q7" s="102">
        <v>4</v>
      </c>
      <c r="R7"/>
      <c r="S7" s="122"/>
      <c r="T7" s="122"/>
      <c r="U7" s="122"/>
      <c r="V7" s="122"/>
      <c r="W7" s="122"/>
      <c r="X7" s="122"/>
      <c r="Y7" s="122"/>
      <c r="Z7" s="122"/>
      <c r="AA7" s="122"/>
      <c r="AB7" s="122"/>
      <c r="AC7" s="122"/>
      <c r="AD7" s="122"/>
      <c r="AE7" s="122"/>
      <c r="AF7" s="122"/>
      <c r="AG7" s="122"/>
      <c r="AH7" s="122"/>
      <c r="AI7" s="122"/>
    </row>
    <row r="8" spans="1:35" s="8" customFormat="1">
      <c r="A8" s="101">
        <v>3</v>
      </c>
      <c r="B8" s="102" t="s">
        <v>16</v>
      </c>
      <c r="C8" s="102" t="s">
        <v>444</v>
      </c>
      <c r="D8" s="102">
        <v>1</v>
      </c>
      <c r="E8" s="102">
        <v>48</v>
      </c>
      <c r="F8" s="102">
        <v>16</v>
      </c>
      <c r="G8" s="102">
        <v>128</v>
      </c>
      <c r="H8" s="102">
        <v>192</v>
      </c>
      <c r="I8" s="102">
        <v>4</v>
      </c>
      <c r="J8" s="102" t="s">
        <v>16</v>
      </c>
      <c r="K8" s="102" t="s">
        <v>444</v>
      </c>
      <c r="L8" s="102">
        <v>1</v>
      </c>
      <c r="M8" s="102">
        <v>48</v>
      </c>
      <c r="N8" s="102">
        <v>16</v>
      </c>
      <c r="O8" s="102">
        <v>128</v>
      </c>
      <c r="P8" s="102">
        <v>192</v>
      </c>
      <c r="Q8" s="102">
        <v>4</v>
      </c>
      <c r="R8"/>
      <c r="S8" s="122"/>
      <c r="T8" s="122"/>
      <c r="U8" s="122"/>
      <c r="V8" s="122"/>
      <c r="W8" s="122"/>
      <c r="X8" s="122"/>
      <c r="Y8" s="122"/>
      <c r="Z8" s="122"/>
      <c r="AA8" s="122"/>
      <c r="AB8" s="122"/>
      <c r="AC8" s="122"/>
      <c r="AD8" s="122"/>
      <c r="AE8" s="122"/>
      <c r="AF8" s="122"/>
      <c r="AG8" s="122"/>
      <c r="AH8" s="122"/>
      <c r="AI8" s="122"/>
    </row>
    <row r="9" spans="1:35">
      <c r="A9" s="249" t="s">
        <v>18</v>
      </c>
      <c r="B9" s="249"/>
      <c r="C9" s="249"/>
      <c r="D9" s="103">
        <v>1</v>
      </c>
      <c r="E9" s="103">
        <v>48</v>
      </c>
      <c r="F9" s="103">
        <v>16</v>
      </c>
      <c r="G9" s="103">
        <v>128</v>
      </c>
      <c r="H9" s="104">
        <v>192</v>
      </c>
      <c r="I9" s="105">
        <v>4</v>
      </c>
      <c r="J9" s="256" t="s">
        <v>18</v>
      </c>
      <c r="K9" s="257"/>
      <c r="L9" s="102">
        <v>1</v>
      </c>
      <c r="M9" s="103">
        <v>48</v>
      </c>
      <c r="N9" s="103">
        <v>16</v>
      </c>
      <c r="O9" s="103">
        <v>128</v>
      </c>
      <c r="P9" s="104">
        <v>192</v>
      </c>
      <c r="Q9" s="105">
        <v>4</v>
      </c>
    </row>
    <row r="10" spans="1:35" s="8" customFormat="1">
      <c r="A10" s="101"/>
      <c r="B10" s="102" t="s">
        <v>19</v>
      </c>
      <c r="C10" s="103" t="s">
        <v>444</v>
      </c>
      <c r="D10" s="251"/>
      <c r="E10" s="251"/>
      <c r="F10" s="251"/>
      <c r="G10" s="251"/>
      <c r="H10" s="251"/>
      <c r="I10" s="251"/>
      <c r="J10" s="102" t="s">
        <v>19</v>
      </c>
      <c r="K10" s="103" t="s">
        <v>444</v>
      </c>
      <c r="L10" s="251"/>
      <c r="M10" s="251"/>
      <c r="N10" s="251"/>
      <c r="O10" s="251"/>
      <c r="P10" s="251"/>
      <c r="Q10" s="251"/>
      <c r="R10"/>
      <c r="S10" s="122"/>
      <c r="T10" s="122"/>
      <c r="U10" s="122"/>
      <c r="V10" s="122"/>
      <c r="W10" s="122"/>
      <c r="X10" s="122"/>
      <c r="Y10" s="122"/>
      <c r="Z10" s="122"/>
      <c r="AA10" s="122"/>
      <c r="AB10" s="122"/>
      <c r="AC10" s="122"/>
      <c r="AD10" s="122"/>
      <c r="AE10" s="122"/>
      <c r="AF10" s="122"/>
      <c r="AG10" s="122"/>
      <c r="AH10" s="122"/>
      <c r="AI10" s="122"/>
    </row>
    <row r="11" spans="1:35">
      <c r="A11" s="249" t="s">
        <v>20</v>
      </c>
      <c r="B11" s="249"/>
      <c r="C11" s="249"/>
      <c r="D11" s="103">
        <v>1</v>
      </c>
      <c r="E11" s="103">
        <v>48</v>
      </c>
      <c r="F11" s="103">
        <v>16</v>
      </c>
      <c r="G11" s="103">
        <v>128</v>
      </c>
      <c r="H11" s="104">
        <v>192</v>
      </c>
      <c r="I11" s="105">
        <v>4</v>
      </c>
      <c r="J11" s="256" t="s">
        <v>20</v>
      </c>
      <c r="K11" s="257"/>
      <c r="L11" s="103">
        <v>1</v>
      </c>
      <c r="M11" s="103">
        <v>48</v>
      </c>
      <c r="N11" s="103">
        <v>16</v>
      </c>
      <c r="O11" s="103">
        <v>128</v>
      </c>
      <c r="P11" s="104">
        <v>192</v>
      </c>
      <c r="Q11" s="105">
        <v>4</v>
      </c>
    </row>
    <row r="12" spans="1:35" s="8" customFormat="1">
      <c r="A12" s="101"/>
      <c r="B12" s="102" t="s">
        <v>21</v>
      </c>
      <c r="C12" s="103" t="s">
        <v>444</v>
      </c>
      <c r="D12" s="251"/>
      <c r="E12" s="251"/>
      <c r="F12" s="251"/>
      <c r="G12" s="251"/>
      <c r="H12" s="251"/>
      <c r="I12" s="251"/>
      <c r="J12" s="102" t="s">
        <v>21</v>
      </c>
      <c r="K12" s="103" t="s">
        <v>444</v>
      </c>
      <c r="L12" s="251"/>
      <c r="M12" s="251"/>
      <c r="N12" s="251"/>
      <c r="O12" s="251"/>
      <c r="P12" s="251"/>
      <c r="Q12" s="251"/>
      <c r="R12"/>
      <c r="S12" s="122"/>
      <c r="T12" s="122"/>
      <c r="U12" s="122"/>
      <c r="V12" s="122"/>
      <c r="W12" s="122"/>
      <c r="X12" s="122"/>
      <c r="Y12" s="122"/>
      <c r="Z12" s="122"/>
      <c r="AA12" s="122"/>
      <c r="AB12" s="122"/>
      <c r="AC12" s="122"/>
      <c r="AD12" s="122"/>
      <c r="AE12" s="122"/>
      <c r="AF12" s="122"/>
      <c r="AG12" s="122"/>
      <c r="AH12" s="122"/>
      <c r="AI12" s="122"/>
    </row>
    <row r="13" spans="1:35">
      <c r="A13" s="249" t="s">
        <v>22</v>
      </c>
      <c r="B13" s="249"/>
      <c r="C13" s="249"/>
      <c r="D13" s="103">
        <v>1</v>
      </c>
      <c r="E13" s="103">
        <v>48</v>
      </c>
      <c r="F13" s="103">
        <v>16</v>
      </c>
      <c r="G13" s="103">
        <v>128</v>
      </c>
      <c r="H13" s="104">
        <v>192</v>
      </c>
      <c r="I13" s="105">
        <v>4</v>
      </c>
      <c r="J13" s="254" t="s">
        <v>22</v>
      </c>
      <c r="K13" s="255"/>
      <c r="L13" s="103">
        <v>1</v>
      </c>
      <c r="M13" s="103">
        <v>48</v>
      </c>
      <c r="N13" s="103">
        <v>16</v>
      </c>
      <c r="O13" s="103">
        <v>128</v>
      </c>
      <c r="P13" s="104">
        <v>192</v>
      </c>
      <c r="Q13" s="105">
        <v>4</v>
      </c>
    </row>
    <row r="14" spans="1:35" s="8" customFormat="1">
      <c r="A14" s="101"/>
      <c r="B14" s="102" t="s">
        <v>23</v>
      </c>
      <c r="C14" s="103" t="s">
        <v>444</v>
      </c>
      <c r="D14" s="251"/>
      <c r="E14" s="251"/>
      <c r="F14" s="251"/>
      <c r="G14" s="251"/>
      <c r="H14" s="251"/>
      <c r="I14" s="251"/>
      <c r="J14" s="102" t="s">
        <v>23</v>
      </c>
      <c r="K14" s="103" t="s">
        <v>444</v>
      </c>
      <c r="L14" s="251"/>
      <c r="M14" s="251"/>
      <c r="N14" s="251"/>
      <c r="O14" s="251"/>
      <c r="P14" s="251"/>
      <c r="Q14" s="251"/>
      <c r="R14"/>
      <c r="S14" s="122"/>
      <c r="T14" s="122"/>
      <c r="U14" s="122"/>
      <c r="V14" s="122"/>
      <c r="W14" s="122"/>
      <c r="X14" s="122"/>
      <c r="Y14" s="122"/>
      <c r="Z14" s="122"/>
      <c r="AA14" s="122"/>
      <c r="AB14" s="122"/>
      <c r="AC14" s="122"/>
      <c r="AD14" s="122"/>
      <c r="AE14" s="122"/>
      <c r="AF14" s="122"/>
      <c r="AG14" s="122"/>
      <c r="AH14" s="122"/>
      <c r="AI14" s="122"/>
    </row>
    <row r="15" spans="1:35">
      <c r="A15" s="258"/>
      <c r="B15" s="259"/>
      <c r="C15" s="259"/>
      <c r="D15" s="259"/>
      <c r="E15" s="259"/>
      <c r="F15" s="259"/>
      <c r="G15" s="259"/>
      <c r="H15" s="259"/>
      <c r="I15" s="260"/>
      <c r="J15" s="254" t="s">
        <v>24</v>
      </c>
      <c r="K15" s="255"/>
      <c r="L15" s="103">
        <v>1</v>
      </c>
      <c r="M15" s="103">
        <v>48</v>
      </c>
      <c r="N15" s="103">
        <v>16</v>
      </c>
      <c r="O15" s="103">
        <v>128</v>
      </c>
      <c r="P15" s="104">
        <v>192</v>
      </c>
      <c r="Q15" s="105">
        <v>4</v>
      </c>
    </row>
    <row r="16" spans="1:35" s="8" customFormat="1">
      <c r="A16" s="261"/>
      <c r="B16" s="262"/>
      <c r="C16" s="262"/>
      <c r="D16" s="262"/>
      <c r="E16" s="262"/>
      <c r="F16" s="262"/>
      <c r="G16" s="262"/>
      <c r="H16" s="262"/>
      <c r="I16" s="263"/>
      <c r="J16" s="102" t="s">
        <v>25</v>
      </c>
      <c r="K16" s="103" t="s">
        <v>444</v>
      </c>
      <c r="L16" s="251"/>
      <c r="M16" s="251"/>
      <c r="N16" s="251"/>
      <c r="O16" s="251"/>
      <c r="P16" s="251"/>
      <c r="Q16" s="251"/>
      <c r="R16"/>
      <c r="S16" s="122"/>
      <c r="T16" s="122"/>
      <c r="U16" s="122"/>
      <c r="V16" s="122"/>
      <c r="W16" s="122"/>
      <c r="X16" s="122"/>
      <c r="Y16" s="122"/>
      <c r="Z16" s="122"/>
      <c r="AA16" s="122"/>
      <c r="AB16" s="122"/>
      <c r="AC16" s="122"/>
      <c r="AD16" s="122"/>
      <c r="AE16" s="122"/>
      <c r="AF16" s="122"/>
      <c r="AG16" s="122"/>
      <c r="AH16" s="122"/>
      <c r="AI16" s="122"/>
    </row>
    <row r="17" spans="1:18">
      <c r="A17" s="246" t="s">
        <v>26</v>
      </c>
      <c r="B17" s="246"/>
      <c r="C17" s="246"/>
      <c r="D17" s="246"/>
      <c r="E17" s="103">
        <f>SUM(E7:E8,E9+E5)</f>
        <v>192</v>
      </c>
      <c r="F17" s="103">
        <f t="shared" ref="F17:H17" si="0">SUM(F7:F8,F9+F5)</f>
        <v>64</v>
      </c>
      <c r="G17" s="103">
        <f t="shared" si="0"/>
        <v>512</v>
      </c>
      <c r="H17" s="103">
        <f t="shared" si="0"/>
        <v>768</v>
      </c>
      <c r="I17" s="103">
        <f>SUM(I7:I8,I11+I5)</f>
        <v>16</v>
      </c>
      <c r="J17" s="247" t="s">
        <v>26</v>
      </c>
      <c r="K17" s="247"/>
      <c r="L17" s="247"/>
      <c r="M17" s="103">
        <f>SUM(M7:M8,M9+M5)</f>
        <v>192</v>
      </c>
      <c r="N17" s="103">
        <f t="shared" ref="N17:P17" si="1">SUM(N7:N8,N9+N5)</f>
        <v>64</v>
      </c>
      <c r="O17" s="103">
        <f t="shared" si="1"/>
        <v>512</v>
      </c>
      <c r="P17" s="103">
        <f t="shared" si="1"/>
        <v>768</v>
      </c>
      <c r="Q17" s="103">
        <f>SUM(Q7:Q8,Q11+Q5)</f>
        <v>16</v>
      </c>
    </row>
    <row r="18" spans="1:18">
      <c r="A18" s="248" t="s">
        <v>27</v>
      </c>
      <c r="B18" s="248"/>
      <c r="C18" s="248"/>
      <c r="D18" s="248"/>
      <c r="E18" s="248"/>
      <c r="F18" s="248"/>
      <c r="G18" s="248"/>
      <c r="H18" s="248"/>
      <c r="I18" s="248"/>
      <c r="J18" s="248"/>
      <c r="K18" s="248"/>
      <c r="L18" s="248"/>
      <c r="M18" s="248"/>
      <c r="N18" s="248"/>
      <c r="O18" s="248"/>
      <c r="P18" s="248"/>
      <c r="Q18" s="248"/>
    </row>
    <row r="19" spans="1:18" s="5" customFormat="1">
      <c r="A19" s="108"/>
      <c r="B19" s="103" t="s">
        <v>448</v>
      </c>
      <c r="C19" s="103" t="s">
        <v>444</v>
      </c>
      <c r="D19" s="103">
        <v>2</v>
      </c>
      <c r="E19" s="103">
        <v>0</v>
      </c>
      <c r="F19" s="103">
        <v>48</v>
      </c>
      <c r="G19" s="103">
        <v>336</v>
      </c>
      <c r="H19" s="104">
        <v>384</v>
      </c>
      <c r="I19" s="105">
        <v>4</v>
      </c>
      <c r="J19" s="102" t="s">
        <v>28</v>
      </c>
      <c r="K19" s="103" t="s">
        <v>444</v>
      </c>
      <c r="L19" s="103">
        <v>2</v>
      </c>
      <c r="M19" s="103">
        <v>0</v>
      </c>
      <c r="N19" s="103">
        <v>48</v>
      </c>
      <c r="O19" s="103">
        <v>336</v>
      </c>
      <c r="P19" s="104">
        <v>384</v>
      </c>
      <c r="Q19" s="105">
        <v>4</v>
      </c>
      <c r="R19"/>
    </row>
    <row r="20" spans="1:18">
      <c r="A20" s="249" t="s">
        <v>18</v>
      </c>
      <c r="B20" s="249"/>
      <c r="C20" s="249"/>
      <c r="D20" s="103">
        <v>2</v>
      </c>
      <c r="E20" s="103">
        <v>48</v>
      </c>
      <c r="F20" s="103">
        <v>16</v>
      </c>
      <c r="G20" s="103">
        <v>128</v>
      </c>
      <c r="H20" s="104">
        <v>192</v>
      </c>
      <c r="I20" s="105">
        <v>4</v>
      </c>
      <c r="J20" s="249" t="s">
        <v>18</v>
      </c>
      <c r="K20" s="249"/>
      <c r="L20" s="249"/>
      <c r="M20" s="103">
        <v>48</v>
      </c>
      <c r="N20" s="103">
        <v>16</v>
      </c>
      <c r="O20" s="103">
        <v>128</v>
      </c>
      <c r="P20" s="104">
        <v>192</v>
      </c>
      <c r="Q20" s="105">
        <v>4</v>
      </c>
    </row>
    <row r="21" spans="1:18">
      <c r="A21" s="250"/>
      <c r="B21" s="103" t="s">
        <v>29</v>
      </c>
      <c r="C21" s="103" t="s">
        <v>444</v>
      </c>
      <c r="D21" s="250"/>
      <c r="E21" s="250"/>
      <c r="F21" s="250"/>
      <c r="G21" s="250"/>
      <c r="H21" s="250"/>
      <c r="I21" s="250"/>
      <c r="J21" s="103" t="s">
        <v>29</v>
      </c>
      <c r="K21" s="103" t="s">
        <v>444</v>
      </c>
      <c r="L21" s="250"/>
      <c r="M21" s="250"/>
      <c r="N21" s="250"/>
      <c r="O21" s="250"/>
      <c r="P21" s="250"/>
      <c r="Q21" s="250"/>
    </row>
    <row r="22" spans="1:18">
      <c r="A22" s="250"/>
      <c r="B22" s="103" t="s">
        <v>30</v>
      </c>
      <c r="C22" s="103" t="s">
        <v>444</v>
      </c>
      <c r="D22" s="250"/>
      <c r="E22" s="250"/>
      <c r="F22" s="250"/>
      <c r="G22" s="250"/>
      <c r="H22" s="250"/>
      <c r="I22" s="250"/>
      <c r="J22" s="103" t="s">
        <v>30</v>
      </c>
      <c r="K22" s="103" t="s">
        <v>444</v>
      </c>
      <c r="L22" s="250"/>
      <c r="M22" s="250"/>
      <c r="N22" s="250"/>
      <c r="O22" s="250"/>
      <c r="P22" s="250"/>
      <c r="Q22" s="250"/>
    </row>
    <row r="23" spans="1:18">
      <c r="A23" s="250"/>
      <c r="B23" s="103" t="s">
        <v>31</v>
      </c>
      <c r="C23" s="103" t="s">
        <v>444</v>
      </c>
      <c r="D23" s="250"/>
      <c r="E23" s="250"/>
      <c r="F23" s="250"/>
      <c r="G23" s="250"/>
      <c r="H23" s="250"/>
      <c r="I23" s="250"/>
      <c r="J23" s="103" t="s">
        <v>31</v>
      </c>
      <c r="K23" s="103" t="s">
        <v>444</v>
      </c>
      <c r="L23" s="250"/>
      <c r="M23" s="250"/>
      <c r="N23" s="250"/>
      <c r="O23" s="250"/>
      <c r="P23" s="250"/>
      <c r="Q23" s="250"/>
    </row>
    <row r="24" spans="1:18">
      <c r="A24" s="250"/>
      <c r="B24" s="103" t="s">
        <v>32</v>
      </c>
      <c r="C24" s="103" t="s">
        <v>444</v>
      </c>
      <c r="D24" s="250"/>
      <c r="E24" s="250"/>
      <c r="F24" s="250"/>
      <c r="G24" s="250"/>
      <c r="H24" s="250"/>
      <c r="I24" s="250"/>
      <c r="J24" s="103" t="s">
        <v>32</v>
      </c>
      <c r="K24" s="103" t="s">
        <v>444</v>
      </c>
      <c r="L24" s="250"/>
      <c r="M24" s="250"/>
      <c r="N24" s="250"/>
      <c r="O24" s="250"/>
      <c r="P24" s="250"/>
      <c r="Q24" s="250"/>
    </row>
    <row r="25" spans="1:18">
      <c r="A25" s="249" t="s">
        <v>20</v>
      </c>
      <c r="B25" s="249"/>
      <c r="C25" s="249"/>
      <c r="D25" s="103">
        <v>2</v>
      </c>
      <c r="E25" s="103">
        <v>48</v>
      </c>
      <c r="F25" s="103">
        <v>16</v>
      </c>
      <c r="G25" s="103">
        <v>128</v>
      </c>
      <c r="H25" s="104">
        <v>192</v>
      </c>
      <c r="I25" s="105">
        <v>4</v>
      </c>
      <c r="J25" s="249" t="s">
        <v>20</v>
      </c>
      <c r="K25" s="249"/>
      <c r="L25" s="249"/>
      <c r="M25" s="103">
        <v>48</v>
      </c>
      <c r="N25" s="103">
        <v>16</v>
      </c>
      <c r="O25" s="103">
        <v>128</v>
      </c>
      <c r="P25" s="104">
        <v>192</v>
      </c>
      <c r="Q25" s="105">
        <v>4</v>
      </c>
    </row>
    <row r="26" spans="1:18">
      <c r="A26" s="250"/>
      <c r="B26" s="103" t="s">
        <v>33</v>
      </c>
      <c r="C26" s="103" t="s">
        <v>444</v>
      </c>
      <c r="D26" s="250"/>
      <c r="E26" s="250"/>
      <c r="F26" s="250"/>
      <c r="G26" s="250"/>
      <c r="H26" s="250"/>
      <c r="I26" s="250"/>
      <c r="J26" s="103" t="s">
        <v>33</v>
      </c>
      <c r="K26" s="103" t="s">
        <v>444</v>
      </c>
      <c r="L26" s="250"/>
      <c r="M26" s="250"/>
      <c r="N26" s="250"/>
      <c r="O26" s="250"/>
      <c r="P26" s="250"/>
      <c r="Q26" s="250"/>
    </row>
    <row r="27" spans="1:18">
      <c r="A27" s="250"/>
      <c r="B27" s="103" t="s">
        <v>34</v>
      </c>
      <c r="C27" s="103" t="s">
        <v>444</v>
      </c>
      <c r="D27" s="250"/>
      <c r="E27" s="250"/>
      <c r="F27" s="250"/>
      <c r="G27" s="250"/>
      <c r="H27" s="250"/>
      <c r="I27" s="250"/>
      <c r="J27" s="103" t="s">
        <v>34</v>
      </c>
      <c r="K27" s="103" t="s">
        <v>444</v>
      </c>
      <c r="L27" s="250"/>
      <c r="M27" s="250"/>
      <c r="N27" s="250"/>
      <c r="O27" s="250"/>
      <c r="P27" s="250"/>
      <c r="Q27" s="250"/>
    </row>
    <row r="28" spans="1:18">
      <c r="A28" s="250"/>
      <c r="B28" s="103" t="s">
        <v>35</v>
      </c>
      <c r="C28" s="103" t="s">
        <v>444</v>
      </c>
      <c r="D28" s="250"/>
      <c r="E28" s="250"/>
      <c r="F28" s="250"/>
      <c r="G28" s="250"/>
      <c r="H28" s="250"/>
      <c r="I28" s="250"/>
      <c r="J28" s="103" t="s">
        <v>35</v>
      </c>
      <c r="K28" s="103" t="s">
        <v>444</v>
      </c>
      <c r="L28" s="250"/>
      <c r="M28" s="250"/>
      <c r="N28" s="250"/>
      <c r="O28" s="250"/>
      <c r="P28" s="250"/>
      <c r="Q28" s="250"/>
    </row>
    <row r="29" spans="1:18">
      <c r="A29" s="250"/>
      <c r="B29" s="103" t="s">
        <v>36</v>
      </c>
      <c r="C29" s="103" t="s">
        <v>444</v>
      </c>
      <c r="D29" s="250"/>
      <c r="E29" s="250"/>
      <c r="F29" s="250"/>
      <c r="G29" s="250"/>
      <c r="H29" s="250"/>
      <c r="I29" s="250"/>
      <c r="J29" s="103" t="s">
        <v>36</v>
      </c>
      <c r="K29" s="103" t="s">
        <v>444</v>
      </c>
      <c r="L29" s="250"/>
      <c r="M29" s="250"/>
      <c r="N29" s="250"/>
      <c r="O29" s="250"/>
      <c r="P29" s="250"/>
      <c r="Q29" s="250"/>
    </row>
    <row r="30" spans="1:18">
      <c r="A30" s="249" t="s">
        <v>22</v>
      </c>
      <c r="B30" s="249"/>
      <c r="C30" s="249"/>
      <c r="D30" s="103">
        <v>2</v>
      </c>
      <c r="E30" s="103">
        <v>48</v>
      </c>
      <c r="F30" s="103">
        <v>16</v>
      </c>
      <c r="G30" s="103">
        <v>128</v>
      </c>
      <c r="H30" s="104">
        <v>192</v>
      </c>
      <c r="I30" s="105">
        <v>4</v>
      </c>
      <c r="J30" s="249" t="s">
        <v>22</v>
      </c>
      <c r="K30" s="249"/>
      <c r="L30" s="249"/>
      <c r="M30" s="103">
        <v>48</v>
      </c>
      <c r="N30" s="103">
        <v>16</v>
      </c>
      <c r="O30" s="103">
        <v>128</v>
      </c>
      <c r="P30" s="104">
        <v>192</v>
      </c>
      <c r="Q30" s="105">
        <v>4</v>
      </c>
    </row>
    <row r="31" spans="1:18">
      <c r="A31" s="250"/>
      <c r="B31" s="103" t="s">
        <v>37</v>
      </c>
      <c r="C31" s="103" t="s">
        <v>444</v>
      </c>
      <c r="D31" s="250"/>
      <c r="E31" s="250"/>
      <c r="F31" s="250"/>
      <c r="G31" s="250"/>
      <c r="H31" s="250"/>
      <c r="I31" s="250"/>
      <c r="J31" s="103" t="s">
        <v>37</v>
      </c>
      <c r="K31" s="103" t="s">
        <v>444</v>
      </c>
      <c r="L31" s="250"/>
      <c r="M31" s="250"/>
      <c r="N31" s="250"/>
      <c r="O31" s="250"/>
      <c r="P31" s="250"/>
      <c r="Q31" s="250"/>
    </row>
    <row r="32" spans="1:18">
      <c r="A32" s="250"/>
      <c r="B32" s="103" t="s">
        <v>38</v>
      </c>
      <c r="C32" s="103" t="s">
        <v>444</v>
      </c>
      <c r="D32" s="250"/>
      <c r="E32" s="250"/>
      <c r="F32" s="250"/>
      <c r="G32" s="250"/>
      <c r="H32" s="250"/>
      <c r="I32" s="250"/>
      <c r="J32" s="103" t="s">
        <v>38</v>
      </c>
      <c r="K32" s="103" t="s">
        <v>444</v>
      </c>
      <c r="L32" s="250"/>
      <c r="M32" s="250"/>
      <c r="N32" s="250"/>
      <c r="O32" s="250"/>
      <c r="P32" s="250"/>
      <c r="Q32" s="250"/>
    </row>
    <row r="33" spans="1:19">
      <c r="A33" s="250"/>
      <c r="B33" s="103" t="s">
        <v>39</v>
      </c>
      <c r="C33" s="103" t="s">
        <v>444</v>
      </c>
      <c r="D33" s="250"/>
      <c r="E33" s="250"/>
      <c r="F33" s="250"/>
      <c r="G33" s="250"/>
      <c r="H33" s="250"/>
      <c r="I33" s="250"/>
      <c r="J33" s="103" t="s">
        <v>39</v>
      </c>
      <c r="K33" s="103" t="s">
        <v>444</v>
      </c>
      <c r="L33" s="250"/>
      <c r="M33" s="250"/>
      <c r="N33" s="250"/>
      <c r="O33" s="250"/>
      <c r="P33" s="250"/>
      <c r="Q33" s="250"/>
    </row>
    <row r="34" spans="1:19">
      <c r="A34" s="250"/>
      <c r="B34" s="103" t="s">
        <v>49</v>
      </c>
      <c r="C34" s="103" t="s">
        <v>444</v>
      </c>
      <c r="D34" s="250"/>
      <c r="E34" s="250"/>
      <c r="F34" s="250"/>
      <c r="G34" s="250"/>
      <c r="H34" s="250"/>
      <c r="I34" s="250"/>
      <c r="J34" s="103" t="s">
        <v>40</v>
      </c>
      <c r="K34" s="103" t="s">
        <v>444</v>
      </c>
      <c r="L34" s="250"/>
      <c r="M34" s="250"/>
      <c r="N34" s="250"/>
      <c r="O34" s="250"/>
      <c r="P34" s="250"/>
      <c r="Q34" s="250"/>
    </row>
    <row r="35" spans="1:19">
      <c r="A35" s="249" t="s">
        <v>447</v>
      </c>
      <c r="B35" s="249"/>
      <c r="C35" s="249"/>
      <c r="D35" s="103">
        <v>2</v>
      </c>
      <c r="E35" s="103">
        <v>48</v>
      </c>
      <c r="F35" s="103">
        <v>16</v>
      </c>
      <c r="G35" s="103">
        <v>128</v>
      </c>
      <c r="H35" s="104">
        <v>192</v>
      </c>
      <c r="I35" s="105">
        <v>4</v>
      </c>
      <c r="J35" s="249" t="s">
        <v>24</v>
      </c>
      <c r="K35" s="249"/>
      <c r="L35" s="249"/>
      <c r="M35" s="103">
        <v>48</v>
      </c>
      <c r="N35" s="103">
        <v>16</v>
      </c>
      <c r="O35" s="103">
        <v>128</v>
      </c>
      <c r="P35" s="104">
        <v>192</v>
      </c>
      <c r="Q35" s="105">
        <v>4</v>
      </c>
    </row>
    <row r="36" spans="1:19">
      <c r="A36" s="103"/>
      <c r="B36" s="103" t="s">
        <v>450</v>
      </c>
      <c r="C36" s="103" t="s">
        <v>444</v>
      </c>
      <c r="D36" s="250"/>
      <c r="E36" s="250"/>
      <c r="F36" s="250"/>
      <c r="G36" s="250"/>
      <c r="H36" s="250"/>
      <c r="I36" s="250"/>
      <c r="J36" s="103" t="s">
        <v>41</v>
      </c>
      <c r="K36" s="103" t="s">
        <v>444</v>
      </c>
      <c r="L36" s="250"/>
      <c r="M36" s="250"/>
      <c r="N36" s="250"/>
      <c r="O36" s="250"/>
      <c r="P36" s="250"/>
      <c r="Q36" s="250"/>
    </row>
    <row r="37" spans="1:19">
      <c r="A37" s="103"/>
      <c r="B37" s="103" t="s">
        <v>451</v>
      </c>
      <c r="C37" s="103" t="s">
        <v>444</v>
      </c>
      <c r="D37" s="250"/>
      <c r="E37" s="250"/>
      <c r="F37" s="250"/>
      <c r="G37" s="250"/>
      <c r="H37" s="250"/>
      <c r="I37" s="250"/>
      <c r="J37" s="103" t="s">
        <v>42</v>
      </c>
      <c r="K37" s="103" t="s">
        <v>444</v>
      </c>
      <c r="L37" s="250"/>
      <c r="M37" s="250"/>
      <c r="N37" s="250"/>
      <c r="O37" s="250"/>
      <c r="P37" s="250"/>
      <c r="Q37" s="250"/>
    </row>
    <row r="38" spans="1:19">
      <c r="A38" s="103"/>
      <c r="B38" s="103" t="s">
        <v>41</v>
      </c>
      <c r="C38" s="103" t="s">
        <v>444</v>
      </c>
      <c r="D38" s="250"/>
      <c r="E38" s="250"/>
      <c r="F38" s="250"/>
      <c r="G38" s="250"/>
      <c r="H38" s="250"/>
      <c r="I38" s="250"/>
      <c r="J38" s="146" t="s">
        <v>43</v>
      </c>
      <c r="K38" s="146" t="s">
        <v>444</v>
      </c>
      <c r="L38" s="250"/>
      <c r="M38" s="250"/>
      <c r="N38" s="250"/>
      <c r="O38" s="250"/>
      <c r="P38" s="250"/>
      <c r="Q38" s="250"/>
    </row>
    <row r="39" spans="1:19">
      <c r="A39" s="103"/>
      <c r="B39" s="103" t="s">
        <v>452</v>
      </c>
      <c r="C39" s="103" t="s">
        <v>444</v>
      </c>
      <c r="D39" s="250"/>
      <c r="E39" s="250"/>
      <c r="F39" s="250"/>
      <c r="G39" s="250"/>
      <c r="H39" s="250"/>
      <c r="I39" s="250"/>
      <c r="J39" s="148"/>
      <c r="K39" s="148"/>
      <c r="L39" s="250"/>
      <c r="M39" s="250"/>
      <c r="N39" s="250"/>
      <c r="O39" s="250"/>
      <c r="P39" s="250"/>
      <c r="Q39" s="250"/>
    </row>
    <row r="40" spans="1:19">
      <c r="A40" s="103"/>
      <c r="B40" s="103" t="s">
        <v>453</v>
      </c>
      <c r="C40" s="103" t="s">
        <v>444</v>
      </c>
      <c r="D40" s="250"/>
      <c r="E40" s="250"/>
      <c r="F40" s="250"/>
      <c r="G40" s="250"/>
      <c r="H40" s="250"/>
      <c r="I40" s="250"/>
      <c r="J40" s="103" t="s">
        <v>44</v>
      </c>
      <c r="K40" s="103" t="s">
        <v>444</v>
      </c>
      <c r="L40" s="250"/>
      <c r="M40" s="250"/>
      <c r="N40" s="250"/>
      <c r="O40" s="250"/>
      <c r="P40" s="250"/>
      <c r="Q40" s="250"/>
    </row>
    <row r="41" spans="1:19">
      <c r="A41" s="246" t="s">
        <v>26</v>
      </c>
      <c r="B41" s="246"/>
      <c r="C41" s="246"/>
      <c r="D41" s="246"/>
      <c r="E41" s="103">
        <f>SUM(E19:E20,E25,E30)</f>
        <v>144</v>
      </c>
      <c r="F41" s="103">
        <f>SUM(F19:F20,F25,F30)</f>
        <v>96</v>
      </c>
      <c r="G41" s="103">
        <f>SUM(G19:G20,G25,G30)</f>
        <v>720</v>
      </c>
      <c r="H41" s="103">
        <f>SUM(H19:H20,H25,H30)</f>
        <v>960</v>
      </c>
      <c r="I41" s="103">
        <f>SUM(I19:I20,I25,I30)</f>
        <v>16</v>
      </c>
      <c r="J41" s="247" t="s">
        <v>26</v>
      </c>
      <c r="K41" s="247"/>
      <c r="L41" s="247"/>
      <c r="M41" s="103">
        <f>SUM(M19:M20,M25,M30)</f>
        <v>144</v>
      </c>
      <c r="N41" s="103">
        <f>SUM(N19:N20,N25,N30)</f>
        <v>96</v>
      </c>
      <c r="O41" s="103">
        <f>SUM(O19:O20,O25,O30)</f>
        <v>720</v>
      </c>
      <c r="P41" s="103">
        <f>SUM(P19:P20,P25,P30)</f>
        <v>960</v>
      </c>
      <c r="Q41" s="103">
        <f>SUM(Q19:Q20,Q25,Q30)</f>
        <v>16</v>
      </c>
      <c r="S41" t="str">
        <f t="shared" ref="S41" si="2">UPPER(B41)</f>
        <v/>
      </c>
    </row>
    <row r="42" spans="1:19">
      <c r="A42" s="248" t="s">
        <v>443</v>
      </c>
      <c r="B42" s="248"/>
      <c r="C42" s="248"/>
      <c r="D42" s="248"/>
      <c r="E42" s="248"/>
      <c r="F42" s="248"/>
      <c r="G42" s="248"/>
      <c r="H42" s="248"/>
      <c r="I42" s="248"/>
      <c r="J42" s="248"/>
      <c r="K42" s="248"/>
      <c r="L42" s="248"/>
      <c r="M42" s="248"/>
      <c r="N42" s="248"/>
      <c r="O42" s="248"/>
      <c r="P42" s="248"/>
      <c r="Q42" s="248"/>
    </row>
    <row r="43" spans="1:19" s="5" customFormat="1">
      <c r="A43" s="103">
        <v>10</v>
      </c>
      <c r="B43" s="103" t="s">
        <v>376</v>
      </c>
      <c r="C43" s="103" t="s">
        <v>444</v>
      </c>
      <c r="D43" s="103">
        <v>3</v>
      </c>
      <c r="E43" s="103">
        <v>0</v>
      </c>
      <c r="F43" s="103">
        <v>0</v>
      </c>
      <c r="G43" s="103">
        <v>348</v>
      </c>
      <c r="H43" s="104">
        <v>348</v>
      </c>
      <c r="I43" s="105">
        <v>8</v>
      </c>
      <c r="J43" s="103" t="s">
        <v>45</v>
      </c>
      <c r="K43" s="103" t="s">
        <v>444</v>
      </c>
      <c r="L43" s="103">
        <v>3</v>
      </c>
      <c r="M43" s="103">
        <v>0</v>
      </c>
      <c r="N43" s="103">
        <v>0</v>
      </c>
      <c r="O43" s="103">
        <v>348</v>
      </c>
      <c r="P43" s="104">
        <v>348</v>
      </c>
      <c r="Q43" s="105">
        <v>8</v>
      </c>
      <c r="R43"/>
    </row>
    <row r="44" spans="1:19">
      <c r="A44" s="249" t="s">
        <v>447</v>
      </c>
      <c r="B44" s="249"/>
      <c r="C44" s="249"/>
      <c r="D44" s="103">
        <v>2</v>
      </c>
      <c r="E44" s="103">
        <v>48</v>
      </c>
      <c r="F44" s="103">
        <v>16</v>
      </c>
      <c r="G44" s="103">
        <v>128</v>
      </c>
      <c r="H44" s="104">
        <v>192</v>
      </c>
      <c r="I44" s="105">
        <v>4</v>
      </c>
      <c r="J44" s="256" t="s">
        <v>18</v>
      </c>
      <c r="K44" s="257"/>
      <c r="L44" s="103">
        <v>3</v>
      </c>
      <c r="M44" s="103">
        <v>48</v>
      </c>
      <c r="N44" s="103">
        <v>16</v>
      </c>
      <c r="O44" s="103">
        <v>128</v>
      </c>
      <c r="P44" s="104">
        <v>192</v>
      </c>
      <c r="Q44" s="105">
        <v>4</v>
      </c>
    </row>
    <row r="45" spans="1:19" ht="24">
      <c r="A45" s="127"/>
      <c r="B45" s="127" t="s">
        <v>455</v>
      </c>
      <c r="C45" s="127" t="s">
        <v>444</v>
      </c>
      <c r="D45" s="243"/>
      <c r="E45" s="243"/>
      <c r="F45" s="243"/>
      <c r="G45" s="243"/>
      <c r="H45" s="243"/>
      <c r="I45" s="243"/>
      <c r="J45" s="103" t="s">
        <v>46</v>
      </c>
      <c r="K45" s="103" t="s">
        <v>444</v>
      </c>
      <c r="L45" s="265"/>
      <c r="M45" s="265"/>
      <c r="N45" s="265"/>
      <c r="O45" s="265"/>
      <c r="P45" s="265"/>
      <c r="Q45" s="265"/>
    </row>
    <row r="46" spans="1:19">
      <c r="A46" s="127"/>
      <c r="B46" s="127" t="s">
        <v>458</v>
      </c>
      <c r="C46" s="127" t="s">
        <v>444</v>
      </c>
      <c r="D46" s="243"/>
      <c r="E46" s="243"/>
      <c r="F46" s="243"/>
      <c r="G46" s="243"/>
      <c r="H46" s="243"/>
      <c r="I46" s="243"/>
      <c r="J46" s="256" t="s">
        <v>20</v>
      </c>
      <c r="K46" s="257"/>
      <c r="L46" s="103">
        <v>3</v>
      </c>
      <c r="M46" s="103">
        <v>48</v>
      </c>
      <c r="N46" s="103">
        <v>16</v>
      </c>
      <c r="O46" s="103">
        <v>128</v>
      </c>
      <c r="P46" s="104">
        <v>192</v>
      </c>
      <c r="Q46" s="105">
        <v>4</v>
      </c>
    </row>
    <row r="47" spans="1:19">
      <c r="A47" s="127"/>
      <c r="B47" s="127" t="s">
        <v>457</v>
      </c>
      <c r="C47" s="127" t="s">
        <v>444</v>
      </c>
      <c r="D47" s="243"/>
      <c r="E47" s="243"/>
      <c r="F47" s="243"/>
      <c r="G47" s="243"/>
      <c r="H47" s="243"/>
      <c r="I47" s="243"/>
      <c r="J47" s="103" t="s">
        <v>47</v>
      </c>
      <c r="K47" s="103" t="s">
        <v>444</v>
      </c>
      <c r="L47" s="250"/>
      <c r="M47" s="250"/>
      <c r="N47" s="250"/>
      <c r="O47" s="250"/>
      <c r="P47" s="250"/>
      <c r="Q47" s="250"/>
    </row>
    <row r="48" spans="1:19">
      <c r="A48" s="127"/>
      <c r="B48" s="237" t="s">
        <v>456</v>
      </c>
      <c r="C48" s="237" t="s">
        <v>444</v>
      </c>
      <c r="D48" s="243"/>
      <c r="E48" s="243"/>
      <c r="F48" s="243"/>
      <c r="G48" s="243"/>
      <c r="H48" s="243"/>
      <c r="I48" s="243"/>
      <c r="J48" s="103" t="s">
        <v>460</v>
      </c>
      <c r="K48" s="103" t="s">
        <v>444</v>
      </c>
      <c r="L48" s="250"/>
      <c r="M48" s="250"/>
      <c r="N48" s="250"/>
      <c r="O48" s="250"/>
      <c r="P48" s="250"/>
      <c r="Q48" s="250"/>
    </row>
    <row r="49" spans="1:17" ht="24">
      <c r="A49" s="127"/>
      <c r="B49" s="239"/>
      <c r="C49" s="239"/>
      <c r="D49" s="243"/>
      <c r="E49" s="243"/>
      <c r="F49" s="243"/>
      <c r="G49" s="243"/>
      <c r="H49" s="243"/>
      <c r="I49" s="243"/>
      <c r="J49" s="103" t="s">
        <v>48</v>
      </c>
      <c r="K49" s="103" t="s">
        <v>444</v>
      </c>
      <c r="L49" s="250"/>
      <c r="M49" s="250"/>
      <c r="N49" s="250"/>
      <c r="O49" s="250"/>
      <c r="P49" s="250"/>
      <c r="Q49" s="250"/>
    </row>
    <row r="50" spans="1:17">
      <c r="A50" s="127"/>
      <c r="B50" s="127" t="s">
        <v>459</v>
      </c>
      <c r="C50" s="127" t="s">
        <v>444</v>
      </c>
      <c r="D50" s="243"/>
      <c r="E50" s="243"/>
      <c r="F50" s="243"/>
      <c r="G50" s="243"/>
      <c r="H50" s="243"/>
      <c r="I50" s="243"/>
      <c r="J50" s="254" t="s">
        <v>22</v>
      </c>
      <c r="K50" s="255"/>
      <c r="L50" s="103">
        <v>3</v>
      </c>
      <c r="M50" s="103">
        <v>48</v>
      </c>
      <c r="N50" s="103">
        <v>16</v>
      </c>
      <c r="O50" s="103">
        <v>128</v>
      </c>
      <c r="P50" s="104">
        <v>192</v>
      </c>
      <c r="Q50" s="105">
        <v>4</v>
      </c>
    </row>
    <row r="51" spans="1:17" ht="13">
      <c r="A51" s="128"/>
      <c r="B51" s="127" t="s">
        <v>460</v>
      </c>
      <c r="C51" s="127" t="s">
        <v>444</v>
      </c>
      <c r="D51" s="243"/>
      <c r="E51" s="243"/>
      <c r="F51" s="243"/>
      <c r="G51" s="243"/>
      <c r="H51" s="243"/>
      <c r="I51" s="243"/>
      <c r="J51" s="103" t="s">
        <v>49</v>
      </c>
      <c r="K51" s="103" t="s">
        <v>444</v>
      </c>
      <c r="L51" s="265"/>
      <c r="M51" s="265"/>
      <c r="N51" s="265"/>
      <c r="O51" s="265"/>
      <c r="P51" s="265"/>
      <c r="Q51" s="265"/>
    </row>
    <row r="52" spans="1:17">
      <c r="A52" s="128"/>
      <c r="B52" s="127" t="s">
        <v>461</v>
      </c>
      <c r="C52" s="127" t="s">
        <v>444</v>
      </c>
      <c r="D52" s="243"/>
      <c r="E52" s="243"/>
      <c r="F52" s="243"/>
      <c r="G52" s="243"/>
      <c r="H52" s="243"/>
      <c r="I52" s="243"/>
      <c r="J52" s="254" t="s">
        <v>24</v>
      </c>
      <c r="K52" s="255"/>
      <c r="L52" s="103">
        <v>3</v>
      </c>
      <c r="M52" s="103">
        <v>48</v>
      </c>
      <c r="N52" s="103">
        <v>16</v>
      </c>
      <c r="O52" s="103">
        <v>128</v>
      </c>
      <c r="P52" s="104">
        <v>192</v>
      </c>
      <c r="Q52" s="105">
        <v>4</v>
      </c>
    </row>
    <row r="53" spans="1:17" ht="13">
      <c r="A53" s="128"/>
      <c r="B53" s="127" t="s">
        <v>462</v>
      </c>
      <c r="C53" s="127" t="s">
        <v>444</v>
      </c>
      <c r="D53" s="243"/>
      <c r="E53" s="243"/>
      <c r="F53" s="243"/>
      <c r="G53" s="243"/>
      <c r="H53" s="243"/>
      <c r="I53" s="243"/>
      <c r="J53" s="103" t="s">
        <v>50</v>
      </c>
      <c r="K53" s="103" t="s">
        <v>444</v>
      </c>
      <c r="L53" s="265"/>
      <c r="M53" s="265"/>
      <c r="N53" s="265"/>
      <c r="O53" s="265"/>
      <c r="P53" s="265"/>
      <c r="Q53" s="265"/>
    </row>
    <row r="54" spans="1:17">
      <c r="A54" s="268" t="s">
        <v>26</v>
      </c>
      <c r="B54" s="269"/>
      <c r="C54" s="269"/>
      <c r="D54" s="270"/>
      <c r="E54" s="103">
        <f>SUM(E43:E44)</f>
        <v>48</v>
      </c>
      <c r="F54" s="103">
        <f t="shared" ref="F54:H54" si="3">SUM(F43:F44)</f>
        <v>16</v>
      </c>
      <c r="G54" s="103">
        <f t="shared" si="3"/>
        <v>476</v>
      </c>
      <c r="H54" s="103">
        <f t="shared" si="3"/>
        <v>540</v>
      </c>
      <c r="I54" s="103">
        <f>SUM(I43:I44)</f>
        <v>12</v>
      </c>
      <c r="J54" s="247" t="s">
        <v>26</v>
      </c>
      <c r="K54" s="247"/>
      <c r="L54" s="247"/>
      <c r="M54" s="103">
        <f>SUM(M43:M44)</f>
        <v>48</v>
      </c>
      <c r="N54" s="103">
        <f>SUM(N43:N44)</f>
        <v>16</v>
      </c>
      <c r="O54" s="103">
        <f>SUM(O43:O44)</f>
        <v>476</v>
      </c>
      <c r="P54" s="103">
        <f>SUM(P43:P44)</f>
        <v>540</v>
      </c>
      <c r="Q54" s="103">
        <f>SUM(Q43:Q44)</f>
        <v>12</v>
      </c>
    </row>
    <row r="55" spans="1:17">
      <c r="A55" s="236" t="s">
        <v>51</v>
      </c>
      <c r="B55" s="236"/>
      <c r="C55" s="236"/>
      <c r="D55" s="125"/>
      <c r="E55" s="126">
        <f>SUM(E54+E41+E17)</f>
        <v>384</v>
      </c>
      <c r="F55" s="126">
        <f>SUM(F54+F41+F17)</f>
        <v>176</v>
      </c>
      <c r="G55" s="126">
        <f>SUM(G54+G41+G17)</f>
        <v>1708</v>
      </c>
      <c r="H55" s="126">
        <f>SUM(H54+H41+H17)</f>
        <v>2268</v>
      </c>
      <c r="I55" s="126">
        <f>SUM(I54+I41+I17)</f>
        <v>44</v>
      </c>
      <c r="J55" s="236" t="s">
        <v>51</v>
      </c>
      <c r="K55" s="236"/>
      <c r="L55" s="236"/>
      <c r="M55" s="126">
        <f>SUM(M54+M41+M17)</f>
        <v>384</v>
      </c>
      <c r="N55" s="126">
        <f>SUM(N54+N41+N17)</f>
        <v>176</v>
      </c>
      <c r="O55" s="126">
        <f>SUM(O54+O41+O17)</f>
        <v>1708</v>
      </c>
      <c r="P55" s="126">
        <f>SUM(P54+P41+P17)</f>
        <v>2268</v>
      </c>
      <c r="Q55" s="126">
        <f>SUM(Q54+Q41+Q17)</f>
        <v>44</v>
      </c>
    </row>
  </sheetData>
  <mergeCells count="72">
    <mergeCell ref="E2:H2"/>
    <mergeCell ref="I2:I3"/>
    <mergeCell ref="J2:J3"/>
    <mergeCell ref="A31:A34"/>
    <mergeCell ref="D31:I34"/>
    <mergeCell ref="A20:C20"/>
    <mergeCell ref="A21:A24"/>
    <mergeCell ref="D21:I24"/>
    <mergeCell ref="A25:C25"/>
    <mergeCell ref="A54:D54"/>
    <mergeCell ref="J52:K52"/>
    <mergeCell ref="A55:C55"/>
    <mergeCell ref="L2:L3"/>
    <mergeCell ref="M2:P2"/>
    <mergeCell ref="L26:Q29"/>
    <mergeCell ref="L31:Q34"/>
    <mergeCell ref="L36:Q40"/>
    <mergeCell ref="L45:Q45"/>
    <mergeCell ref="A44:C44"/>
    <mergeCell ref="A35:C35"/>
    <mergeCell ref="D36:I40"/>
    <mergeCell ref="A41:D41"/>
    <mergeCell ref="A26:A29"/>
    <mergeCell ref="D26:I29"/>
    <mergeCell ref="A30:C30"/>
    <mergeCell ref="A6:I6"/>
    <mergeCell ref="Q2:Q3"/>
    <mergeCell ref="L10:Q10"/>
    <mergeCell ref="L12:Q12"/>
    <mergeCell ref="L14:Q14"/>
    <mergeCell ref="J6:Q6"/>
    <mergeCell ref="A11:C11"/>
    <mergeCell ref="D12:I12"/>
    <mergeCell ref="A13:C13"/>
    <mergeCell ref="D14:I14"/>
    <mergeCell ref="A9:C9"/>
    <mergeCell ref="D10:I10"/>
    <mergeCell ref="J9:K9"/>
    <mergeCell ref="A2:A3"/>
    <mergeCell ref="B2:B3"/>
    <mergeCell ref="D2:D3"/>
    <mergeCell ref="J54:L54"/>
    <mergeCell ref="J55:L55"/>
    <mergeCell ref="A15:I16"/>
    <mergeCell ref="B1:I1"/>
    <mergeCell ref="J1:Q1"/>
    <mergeCell ref="J20:L20"/>
    <mergeCell ref="J25:L25"/>
    <mergeCell ref="J30:L30"/>
    <mergeCell ref="J35:L35"/>
    <mergeCell ref="L47:Q49"/>
    <mergeCell ref="L51:Q51"/>
    <mergeCell ref="L53:Q53"/>
    <mergeCell ref="A4:Q4"/>
    <mergeCell ref="A18:Q18"/>
    <mergeCell ref="A42:Q42"/>
    <mergeCell ref="J17:L17"/>
    <mergeCell ref="J50:K50"/>
    <mergeCell ref="B48:B49"/>
    <mergeCell ref="C48:C49"/>
    <mergeCell ref="J11:K11"/>
    <mergeCell ref="J13:K13"/>
    <mergeCell ref="J15:K15"/>
    <mergeCell ref="J38:J39"/>
    <mergeCell ref="K38:K39"/>
    <mergeCell ref="D45:I53"/>
    <mergeCell ref="J44:K44"/>
    <mergeCell ref="J46:K46"/>
    <mergeCell ref="J41:L41"/>
    <mergeCell ref="L16:Q16"/>
    <mergeCell ref="L21:Q24"/>
    <mergeCell ref="A17:D17"/>
  </mergeCells>
  <pageMargins left="0.7" right="0.7" top="0.75" bottom="0.75" header="0.3" footer="0.3"/>
  <pageSetup scale="62" fitToWidth="0"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INV</vt:lpstr>
      <vt:lpstr>PRO</vt:lpstr>
      <vt:lpstr>syllabus</vt:lpstr>
      <vt:lpstr>Plan Transicion</vt:lpstr>
      <vt:lpstr>diferencias</vt:lpstr>
      <vt:lpstr>RES 155 </vt:lpstr>
      <vt:lpstr>Hoja4</vt:lpstr>
      <vt:lpstr>cambios</vt:lpstr>
      <vt:lpstr>vice ac</vt:lpstr>
      <vt:lpstr>datos vi</vt:lpstr>
      <vt:lpstr>vice con</vt:lpstr>
      <vt:lpstr>Hoja1</vt:lpstr>
      <vt:lpstr>Compilado 2020-2024</vt:lpstr>
      <vt:lpstr>PRO Tranciscion</vt:lpstr>
      <vt:lpstr>INV Trancision</vt:lpstr>
      <vt:lpstr>Hoja1!_Toc169507128</vt:lpstr>
    </vt:vector>
  </TitlesOfParts>
  <Manager/>
  <Company>Universidad Distrital Francisco José de Caldas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RUBIANO SUAREZ ALISON KATHERINE</dc:creator>
  <cp:keywords/>
  <dc:description/>
  <cp:lastModifiedBy>RUBIANO SUAREZ ALISON KATHERINE</cp:lastModifiedBy>
  <cp:revision/>
  <cp:lastPrinted>2025-01-30T14:25:07Z</cp:lastPrinted>
  <dcterms:created xsi:type="dcterms:W3CDTF">2024-03-13T01:08:44Z</dcterms:created>
  <dcterms:modified xsi:type="dcterms:W3CDTF">2025-02-18T14:57:09Z</dcterms:modified>
  <cp:category/>
  <cp:contentStatus/>
</cp:coreProperties>
</file>